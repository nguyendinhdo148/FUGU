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y\Desktop\"/>
    </mc:Choice>
  </mc:AlternateContent>
  <xr:revisionPtr revIDLastSave="0" documentId="13_ncr:1_{594FFCED-1C7E-4981-8960-5A4819C28897}" xr6:coauthVersionLast="47" xr6:coauthVersionMax="47" xr10:uidLastSave="{00000000-0000-0000-0000-000000000000}"/>
  <bookViews>
    <workbookView xWindow="-120" yWindow="-120" windowWidth="15600" windowHeight="11160" firstSheet="9" activeTab="10" xr2:uid="{00000000-000D-0000-FFFF-FFFF00000000}"/>
  </bookViews>
  <sheets>
    <sheet name="DOANH THU T2" sheetId="1" state="hidden" r:id="rId1"/>
    <sheet name="DOANH THU T42024" sheetId="2" state="hidden" r:id="rId2"/>
    <sheet name="DOANH THU T3" sheetId="3" state="hidden" r:id="rId3"/>
    <sheet name="DOANH THU T1" sheetId="4" state="hidden" r:id="rId4"/>
    <sheet name="DOANH THU T2 " sheetId="5" state="hidden" r:id="rId5"/>
    <sheet name="DOANH THU T9 2025" sheetId="11" r:id="rId6"/>
    <sheet name="DOANH THU T10 2025" sheetId="12" r:id="rId7"/>
    <sheet name="DOANH THU T11 2025" sheetId="13" r:id="rId8"/>
    <sheet name="DOANH THU T12 2025" sheetId="14" r:id="rId9"/>
    <sheet name="DOANH THU T1 2026" sheetId="15" r:id="rId10"/>
    <sheet name="DOANH THU T2 2026" sheetId="16" r:id="rId11"/>
    <sheet name="DOANH THU T8 2025" sheetId="10" r:id="rId12"/>
    <sheet name="DOANH THU T7 2025" sheetId="9" r:id="rId13"/>
    <sheet name="DOANH THU T6 2025" sheetId="8" r:id="rId14"/>
    <sheet name="DOANH THU T42025" sheetId="6" r:id="rId15"/>
    <sheet name="DOANH THU T5 2025" sheetId="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2" i="16" l="1"/>
  <c r="K62" i="16" l="1"/>
  <c r="I58" i="16"/>
  <c r="K58" i="16" s="1"/>
  <c r="K56" i="16"/>
  <c r="I56" i="16"/>
  <c r="K54" i="16"/>
  <c r="I54" i="16"/>
  <c r="K52" i="16"/>
  <c r="I52" i="16"/>
  <c r="I47" i="16"/>
  <c r="K47" i="16" s="1"/>
  <c r="I50" i="16"/>
  <c r="K50" i="16" s="1"/>
  <c r="I32" i="16"/>
  <c r="K32" i="16" s="1"/>
  <c r="I30" i="16"/>
  <c r="K30" i="16" s="1"/>
  <c r="I28" i="16"/>
  <c r="K28" i="16" s="1"/>
  <c r="I24" i="16"/>
  <c r="K24" i="16" s="1"/>
  <c r="I22" i="16"/>
  <c r="K22" i="16" s="1"/>
  <c r="I17" i="16"/>
  <c r="K17" i="16" s="1"/>
  <c r="I15" i="16"/>
  <c r="K15" i="16" s="1"/>
  <c r="I13" i="16"/>
  <c r="K13" i="16" s="1"/>
  <c r="I11" i="16"/>
  <c r="K11" i="16" s="1"/>
  <c r="I9" i="16"/>
  <c r="K9" i="16" s="1"/>
  <c r="I7" i="16"/>
  <c r="K7" i="16" s="1"/>
  <c r="I5" i="16"/>
  <c r="K5" i="16" s="1"/>
  <c r="L49" i="16"/>
  <c r="L34" i="16" s="1"/>
  <c r="J49" i="16"/>
  <c r="J34" i="16" s="1"/>
  <c r="H49" i="16"/>
  <c r="G49" i="16"/>
  <c r="F49" i="16"/>
  <c r="E49" i="16"/>
  <c r="D49" i="16"/>
  <c r="C49" i="16"/>
  <c r="H34" i="16"/>
  <c r="E34" i="16"/>
  <c r="D34" i="16"/>
  <c r="C34" i="16"/>
  <c r="I20" i="16"/>
  <c r="L19" i="16"/>
  <c r="J19" i="16"/>
  <c r="H19" i="16"/>
  <c r="G19" i="16"/>
  <c r="E19" i="16"/>
  <c r="D19" i="16"/>
  <c r="C19" i="16"/>
  <c r="L4" i="16"/>
  <c r="J4" i="16"/>
  <c r="H4" i="16"/>
  <c r="G4" i="16"/>
  <c r="F4" i="16"/>
  <c r="E4" i="16"/>
  <c r="D4" i="16"/>
  <c r="C4" i="16"/>
  <c r="I68" i="15"/>
  <c r="I66" i="15"/>
  <c r="K66" i="15" s="1"/>
  <c r="I64" i="15"/>
  <c r="K64" i="15" s="1"/>
  <c r="I62" i="15"/>
  <c r="K62" i="15" s="1"/>
  <c r="I19" i="16" l="1"/>
  <c r="K19" i="16" s="1"/>
  <c r="I4" i="16"/>
  <c r="K4" i="16" s="1"/>
  <c r="K20" i="16"/>
  <c r="I34" i="16"/>
  <c r="K34" i="16" s="1"/>
  <c r="I49" i="16"/>
  <c r="K49" i="16" s="1"/>
  <c r="G64" i="16"/>
  <c r="E64" i="16"/>
  <c r="J64" i="16"/>
  <c r="D64" i="16"/>
  <c r="F64" i="16"/>
  <c r="L64" i="16"/>
  <c r="C64" i="16"/>
  <c r="H64" i="16"/>
  <c r="I60" i="15"/>
  <c r="K60" i="15" s="1"/>
  <c r="I58" i="15"/>
  <c r="K58" i="15" s="1"/>
  <c r="I56" i="15"/>
  <c r="K56" i="15" s="1"/>
  <c r="I54" i="15"/>
  <c r="K54" i="15" s="1"/>
  <c r="I52" i="15"/>
  <c r="K52" i="15" s="1"/>
  <c r="I47" i="15"/>
  <c r="K47" i="15" s="1"/>
  <c r="I45" i="15"/>
  <c r="K45" i="15" s="1"/>
  <c r="I43" i="15"/>
  <c r="K43" i="15" s="1"/>
  <c r="I41" i="15"/>
  <c r="K41" i="15" s="1"/>
  <c r="I39" i="15"/>
  <c r="K39" i="15" s="1"/>
  <c r="I64" i="16" l="1"/>
  <c r="K64" i="16" s="1"/>
  <c r="I37" i="15"/>
  <c r="K37" i="15" s="1"/>
  <c r="I32" i="15"/>
  <c r="K32" i="15" s="1"/>
  <c r="I30" i="15"/>
  <c r="K30" i="15" s="1"/>
  <c r="I28" i="15"/>
  <c r="K28" i="15" s="1"/>
  <c r="I26" i="15"/>
  <c r="K26" i="15" s="1"/>
  <c r="I24" i="15"/>
  <c r="K24" i="15" s="1"/>
  <c r="I22" i="15"/>
  <c r="K22" i="15" s="1"/>
  <c r="H34" i="15"/>
  <c r="I17" i="15"/>
  <c r="K17" i="15" s="1"/>
  <c r="I15" i="15"/>
  <c r="K15" i="15" s="1"/>
  <c r="I13" i="15"/>
  <c r="K13" i="15" s="1"/>
  <c r="I11" i="15"/>
  <c r="K11" i="15" s="1"/>
  <c r="I9" i="15"/>
  <c r="K9" i="15" s="1"/>
  <c r="I7" i="15"/>
  <c r="K7" i="15" s="1"/>
  <c r="I50" i="15"/>
  <c r="K50" i="15" s="1"/>
  <c r="L49" i="15"/>
  <c r="J49" i="15"/>
  <c r="H49" i="15"/>
  <c r="G49" i="15"/>
  <c r="F49" i="15"/>
  <c r="E49" i="15"/>
  <c r="D49" i="15"/>
  <c r="C49" i="15"/>
  <c r="I35" i="15"/>
  <c r="I34" i="15" s="1"/>
  <c r="L34" i="15"/>
  <c r="J34" i="15"/>
  <c r="F34" i="15"/>
  <c r="E34" i="15"/>
  <c r="D34" i="15"/>
  <c r="C34" i="15"/>
  <c r="I20" i="15"/>
  <c r="L19" i="15"/>
  <c r="J19" i="15"/>
  <c r="H19" i="15"/>
  <c r="G19" i="15"/>
  <c r="F19" i="15"/>
  <c r="E19" i="15"/>
  <c r="D19" i="15"/>
  <c r="C19" i="15"/>
  <c r="I5" i="15"/>
  <c r="K5" i="15" s="1"/>
  <c r="L4" i="15"/>
  <c r="J4" i="15"/>
  <c r="H4" i="15"/>
  <c r="G4" i="15"/>
  <c r="F4" i="15"/>
  <c r="E4" i="15"/>
  <c r="D4" i="15"/>
  <c r="C4" i="15"/>
  <c r="K68" i="14"/>
  <c r="I68" i="14"/>
  <c r="I66" i="14"/>
  <c r="K66" i="14" s="1"/>
  <c r="I64" i="14"/>
  <c r="K64" i="14" s="1"/>
  <c r="I62" i="14"/>
  <c r="K62" i="14" s="1"/>
  <c r="I60" i="14"/>
  <c r="K60" i="14" s="1"/>
  <c r="I58" i="14"/>
  <c r="K58" i="14" s="1"/>
  <c r="K56" i="14"/>
  <c r="I56" i="14"/>
  <c r="I54" i="14"/>
  <c r="K54" i="14" s="1"/>
  <c r="K52" i="14"/>
  <c r="I52" i="14"/>
  <c r="I50" i="14"/>
  <c r="K50" i="14" s="1"/>
  <c r="I45" i="14"/>
  <c r="K45" i="14" s="1"/>
  <c r="K43" i="14"/>
  <c r="I43" i="14"/>
  <c r="I41" i="14"/>
  <c r="K41" i="14" s="1"/>
  <c r="K39" i="14"/>
  <c r="I39" i="14"/>
  <c r="I37" i="14"/>
  <c r="K37" i="14" s="1"/>
  <c r="L34" i="14"/>
  <c r="J34" i="14"/>
  <c r="F34" i="14"/>
  <c r="E34" i="14"/>
  <c r="D34" i="14"/>
  <c r="C34" i="14"/>
  <c r="I35" i="14"/>
  <c r="K35" i="14" s="1"/>
  <c r="I32" i="14"/>
  <c r="K32" i="14" s="1"/>
  <c r="I30" i="14"/>
  <c r="K30" i="14" s="1"/>
  <c r="I28" i="14"/>
  <c r="K28" i="14" s="1"/>
  <c r="I26" i="14"/>
  <c r="K26" i="14" s="1"/>
  <c r="I24" i="14"/>
  <c r="K24" i="14" s="1"/>
  <c r="I22" i="14"/>
  <c r="K22" i="14" s="1"/>
  <c r="I20" i="14"/>
  <c r="K20" i="14" s="1"/>
  <c r="I17" i="14"/>
  <c r="K17" i="14" s="1"/>
  <c r="I15" i="14"/>
  <c r="K15" i="14" s="1"/>
  <c r="H34" i="14"/>
  <c r="H19" i="14"/>
  <c r="H4" i="14"/>
  <c r="I13" i="14"/>
  <c r="K13" i="14" s="1"/>
  <c r="I11" i="14"/>
  <c r="K11" i="14" s="1"/>
  <c r="I9" i="14"/>
  <c r="K9" i="14" s="1"/>
  <c r="I7" i="14"/>
  <c r="K7" i="14" s="1"/>
  <c r="I5" i="14"/>
  <c r="K5" i="14" s="1"/>
  <c r="L49" i="14"/>
  <c r="J49" i="14"/>
  <c r="H49" i="14"/>
  <c r="G49" i="14"/>
  <c r="F49" i="14"/>
  <c r="E49" i="14"/>
  <c r="D49" i="14"/>
  <c r="C49" i="14"/>
  <c r="L19" i="14"/>
  <c r="J19" i="14"/>
  <c r="G19" i="14"/>
  <c r="F19" i="14"/>
  <c r="E19" i="14"/>
  <c r="D19" i="14"/>
  <c r="C19" i="14"/>
  <c r="L4" i="14"/>
  <c r="J4" i="14"/>
  <c r="G4" i="14"/>
  <c r="F4" i="14"/>
  <c r="E4" i="14"/>
  <c r="D4" i="14"/>
  <c r="C4" i="14"/>
  <c r="K64" i="13"/>
  <c r="I64" i="13"/>
  <c r="I60" i="13"/>
  <c r="K60" i="13" s="1"/>
  <c r="I58" i="13"/>
  <c r="K58" i="13" s="1"/>
  <c r="I56" i="13"/>
  <c r="K56" i="13" s="1"/>
  <c r="I54" i="13"/>
  <c r="K54" i="13" s="1"/>
  <c r="D70" i="12"/>
  <c r="C70" i="12"/>
  <c r="C49" i="12"/>
  <c r="I52" i="13"/>
  <c r="K52" i="13" s="1"/>
  <c r="I47" i="13"/>
  <c r="K47" i="13" s="1"/>
  <c r="I45" i="13"/>
  <c r="K45" i="13" s="1"/>
  <c r="I43" i="13"/>
  <c r="K43" i="13" s="1"/>
  <c r="I41" i="13"/>
  <c r="K41" i="13" s="1"/>
  <c r="I39" i="13"/>
  <c r="K39" i="13" s="1"/>
  <c r="I37" i="13"/>
  <c r="K37" i="13" s="1"/>
  <c r="I32" i="13"/>
  <c r="K32" i="13" s="1"/>
  <c r="I30" i="13"/>
  <c r="K30" i="13" s="1"/>
  <c r="I28" i="13"/>
  <c r="K28" i="13" s="1"/>
  <c r="I26" i="13"/>
  <c r="K26" i="13" s="1"/>
  <c r="I24" i="13"/>
  <c r="K24" i="13" s="1"/>
  <c r="I22" i="13"/>
  <c r="K22" i="13" s="1"/>
  <c r="I20" i="13"/>
  <c r="K20" i="13" s="1"/>
  <c r="I17" i="13"/>
  <c r="K17" i="13" s="1"/>
  <c r="I15" i="13"/>
  <c r="K15" i="13" s="1"/>
  <c r="I13" i="13"/>
  <c r="K13" i="13" s="1"/>
  <c r="I11" i="13"/>
  <c r="K11" i="13" s="1"/>
  <c r="I9" i="13"/>
  <c r="K9" i="13" s="1"/>
  <c r="I7" i="13"/>
  <c r="K7" i="13" s="1"/>
  <c r="I5" i="13"/>
  <c r="K5" i="13" s="1"/>
  <c r="I68" i="12"/>
  <c r="K68" i="12" s="1"/>
  <c r="I35" i="13"/>
  <c r="K35" i="13" s="1"/>
  <c r="I50" i="13"/>
  <c r="L49" i="13"/>
  <c r="J49" i="13"/>
  <c r="H49" i="13"/>
  <c r="G49" i="13"/>
  <c r="F49" i="13"/>
  <c r="E49" i="13"/>
  <c r="D49" i="13"/>
  <c r="C49" i="13"/>
  <c r="L34" i="13"/>
  <c r="J34" i="13"/>
  <c r="H34" i="13"/>
  <c r="G34" i="13"/>
  <c r="F34" i="13"/>
  <c r="E34" i="13"/>
  <c r="D34" i="13"/>
  <c r="C34" i="13"/>
  <c r="L19" i="13"/>
  <c r="J19" i="13"/>
  <c r="H19" i="13"/>
  <c r="G19" i="13"/>
  <c r="F19" i="13"/>
  <c r="E19" i="13"/>
  <c r="D19" i="13"/>
  <c r="C19" i="13"/>
  <c r="L4" i="13"/>
  <c r="J4" i="13"/>
  <c r="G4" i="13"/>
  <c r="F4" i="13"/>
  <c r="E4" i="13"/>
  <c r="D4" i="13"/>
  <c r="C4" i="13"/>
  <c r="I66" i="12"/>
  <c r="K66" i="12" s="1"/>
  <c r="I64" i="12"/>
  <c r="K64" i="12" s="1"/>
  <c r="I62" i="12"/>
  <c r="K62" i="12" s="1"/>
  <c r="I60" i="12"/>
  <c r="K60" i="12" s="1"/>
  <c r="I58" i="12"/>
  <c r="K58" i="12" s="1"/>
  <c r="I56" i="12"/>
  <c r="K56" i="12" s="1"/>
  <c r="I54" i="12"/>
  <c r="K54" i="12" s="1"/>
  <c r="I52" i="12"/>
  <c r="K52" i="12" s="1"/>
  <c r="I47" i="12"/>
  <c r="K47" i="12" s="1"/>
  <c r="I45" i="12"/>
  <c r="K45" i="12" s="1"/>
  <c r="I43" i="12"/>
  <c r="K43" i="12" s="1"/>
  <c r="I41" i="12"/>
  <c r="K41" i="12" s="1"/>
  <c r="I39" i="12"/>
  <c r="K39" i="12" s="1"/>
  <c r="I37" i="12"/>
  <c r="K37" i="12" s="1"/>
  <c r="I32" i="12"/>
  <c r="K32" i="12" s="1"/>
  <c r="I30" i="12"/>
  <c r="K30" i="12" s="1"/>
  <c r="I28" i="12"/>
  <c r="K28" i="12" s="1"/>
  <c r="I22" i="12"/>
  <c r="K22" i="12" s="1"/>
  <c r="I26" i="12"/>
  <c r="K26" i="12" s="1"/>
  <c r="I20" i="12"/>
  <c r="H17" i="12"/>
  <c r="I17" i="12"/>
  <c r="K17" i="12" s="1"/>
  <c r="H15" i="12"/>
  <c r="I15" i="12"/>
  <c r="K15" i="12" s="1"/>
  <c r="I13" i="12"/>
  <c r="K13" i="12" s="1"/>
  <c r="I11" i="12"/>
  <c r="K11" i="12" s="1"/>
  <c r="I9" i="12"/>
  <c r="K9" i="12" s="1"/>
  <c r="I7" i="12"/>
  <c r="K7" i="12" s="1"/>
  <c r="I5" i="12"/>
  <c r="I19" i="15" l="1"/>
  <c r="K34" i="15"/>
  <c r="E70" i="15"/>
  <c r="I4" i="15"/>
  <c r="K4" i="15" s="1"/>
  <c r="K35" i="15"/>
  <c r="F70" i="15"/>
  <c r="L70" i="15"/>
  <c r="C70" i="15"/>
  <c r="H70" i="15"/>
  <c r="J70" i="15"/>
  <c r="G70" i="15"/>
  <c r="D70" i="15"/>
  <c r="K19" i="15"/>
  <c r="K20" i="15"/>
  <c r="I49" i="15"/>
  <c r="K49" i="15" s="1"/>
  <c r="I34" i="14"/>
  <c r="K34" i="14" s="1"/>
  <c r="I19" i="14"/>
  <c r="F70" i="14"/>
  <c r="K19" i="14"/>
  <c r="L70" i="14"/>
  <c r="I4" i="14"/>
  <c r="K4" i="14" s="1"/>
  <c r="J70" i="14"/>
  <c r="D70" i="14"/>
  <c r="H70" i="14"/>
  <c r="G70" i="14"/>
  <c r="E70" i="14"/>
  <c r="C70" i="14"/>
  <c r="I49" i="14"/>
  <c r="K49" i="14" s="1"/>
  <c r="C68" i="13"/>
  <c r="D68" i="13"/>
  <c r="I19" i="13"/>
  <c r="K19" i="13" s="1"/>
  <c r="E68" i="13"/>
  <c r="I34" i="13"/>
  <c r="K34" i="13" s="1"/>
  <c r="F68" i="13"/>
  <c r="J68" i="13"/>
  <c r="I49" i="13"/>
  <c r="K49" i="13" s="1"/>
  <c r="H4" i="13"/>
  <c r="H68" i="13" s="1"/>
  <c r="G68" i="13"/>
  <c r="L68" i="13"/>
  <c r="K50" i="13"/>
  <c r="I4" i="13"/>
  <c r="H66" i="11"/>
  <c r="I66" i="11"/>
  <c r="M66" i="11" s="1"/>
  <c r="J4" i="12"/>
  <c r="J19" i="12"/>
  <c r="J34" i="12"/>
  <c r="L19" i="12"/>
  <c r="L4" i="12"/>
  <c r="L49" i="12"/>
  <c r="J49" i="12"/>
  <c r="D49" i="12"/>
  <c r="E49" i="12"/>
  <c r="F49" i="12"/>
  <c r="G49" i="12"/>
  <c r="I50" i="12"/>
  <c r="K50" i="12" s="1"/>
  <c r="I35" i="12"/>
  <c r="K35" i="12" s="1"/>
  <c r="L34" i="12"/>
  <c r="G34" i="12"/>
  <c r="F34" i="12"/>
  <c r="E34" i="12"/>
  <c r="D34" i="12"/>
  <c r="C34" i="12"/>
  <c r="G19" i="12"/>
  <c r="D19" i="12"/>
  <c r="C19" i="12"/>
  <c r="K5" i="12"/>
  <c r="G4" i="12"/>
  <c r="F4" i="12"/>
  <c r="E4" i="12"/>
  <c r="D4" i="12"/>
  <c r="C4" i="12"/>
  <c r="N49" i="11"/>
  <c r="D49" i="11"/>
  <c r="E49" i="11"/>
  <c r="F49" i="11"/>
  <c r="G49" i="11"/>
  <c r="J49" i="11"/>
  <c r="K49" i="11"/>
  <c r="L49" i="11"/>
  <c r="C49" i="11"/>
  <c r="I70" i="15" l="1"/>
  <c r="K70" i="15" s="1"/>
  <c r="I70" i="14"/>
  <c r="K70" i="14" s="1"/>
  <c r="K4" i="13"/>
  <c r="I68" i="13"/>
  <c r="K68" i="13" s="1"/>
  <c r="J70" i="12"/>
  <c r="G70" i="12"/>
  <c r="L70" i="12"/>
  <c r="I49" i="12"/>
  <c r="K49" i="12" s="1"/>
  <c r="I19" i="12"/>
  <c r="K19" i="12" s="1"/>
  <c r="E19" i="12"/>
  <c r="E70" i="12" s="1"/>
  <c r="K20" i="12"/>
  <c r="I34" i="12"/>
  <c r="I4" i="12"/>
  <c r="K4" i="12" s="1"/>
  <c r="F19" i="12"/>
  <c r="F70" i="12" s="1"/>
  <c r="I64" i="11"/>
  <c r="M64" i="11" s="1"/>
  <c r="I62" i="11"/>
  <c r="M62" i="11" s="1"/>
  <c r="I60" i="11"/>
  <c r="M60" i="11" s="1"/>
  <c r="I56" i="11"/>
  <c r="M56" i="11" s="1"/>
  <c r="I58" i="11"/>
  <c r="M58" i="11" s="1"/>
  <c r="I54" i="11"/>
  <c r="M54" i="11" s="1"/>
  <c r="I52" i="11"/>
  <c r="H52" i="11" s="1"/>
  <c r="I50" i="11"/>
  <c r="H50" i="11"/>
  <c r="I47" i="11"/>
  <c r="H47" i="11" s="1"/>
  <c r="I43" i="11"/>
  <c r="M43" i="11" s="1"/>
  <c r="I45" i="11"/>
  <c r="M45" i="11" s="1"/>
  <c r="I41" i="11"/>
  <c r="H41" i="11" s="1"/>
  <c r="I39" i="11"/>
  <c r="H39" i="11" s="1"/>
  <c r="I37" i="11"/>
  <c r="H37" i="11" s="1"/>
  <c r="I35" i="11"/>
  <c r="H35" i="11" s="1"/>
  <c r="C32" i="11"/>
  <c r="C19" i="11" s="1"/>
  <c r="E30" i="11"/>
  <c r="I30" i="11" s="1"/>
  <c r="H30" i="11" s="1"/>
  <c r="I28" i="11"/>
  <c r="M28" i="11" s="1"/>
  <c r="H26" i="11"/>
  <c r="F26" i="11"/>
  <c r="I26" i="11" s="1"/>
  <c r="M26" i="11" s="1"/>
  <c r="I24" i="11"/>
  <c r="H24" i="11" s="1"/>
  <c r="I22" i="11"/>
  <c r="H22" i="11" s="1"/>
  <c r="I20" i="11"/>
  <c r="M20" i="11" s="1"/>
  <c r="I17" i="11"/>
  <c r="M17" i="11" s="1"/>
  <c r="I13" i="11"/>
  <c r="H13" i="11" s="1"/>
  <c r="I11" i="11"/>
  <c r="H11" i="11" s="1"/>
  <c r="F9" i="11"/>
  <c r="I9" i="11" s="1"/>
  <c r="H9" i="11" s="1"/>
  <c r="I7" i="11"/>
  <c r="H7" i="11" s="1"/>
  <c r="I5" i="11"/>
  <c r="M5" i="11" s="1"/>
  <c r="N34" i="11"/>
  <c r="L34" i="11"/>
  <c r="K34" i="11"/>
  <c r="J34" i="11"/>
  <c r="G34" i="11"/>
  <c r="F34" i="11"/>
  <c r="E34" i="11"/>
  <c r="D34" i="11"/>
  <c r="C34" i="11"/>
  <c r="N19" i="11"/>
  <c r="L19" i="11"/>
  <c r="K19" i="11"/>
  <c r="J19" i="11"/>
  <c r="G19" i="11"/>
  <c r="D19" i="11"/>
  <c r="N4" i="11"/>
  <c r="L4" i="11"/>
  <c r="K4" i="11"/>
  <c r="J4" i="11"/>
  <c r="G4" i="11"/>
  <c r="F4" i="11"/>
  <c r="E4" i="11"/>
  <c r="C4" i="11"/>
  <c r="I68" i="10"/>
  <c r="H68" i="10" s="1"/>
  <c r="I66" i="10"/>
  <c r="H66" i="10" s="1"/>
  <c r="M62" i="10"/>
  <c r="I64" i="10"/>
  <c r="H64" i="10" s="1"/>
  <c r="I60" i="10"/>
  <c r="M60" i="10" s="1"/>
  <c r="I58" i="10"/>
  <c r="H58" i="10" s="1"/>
  <c r="I56" i="10"/>
  <c r="M56" i="10" s="1"/>
  <c r="D55" i="10"/>
  <c r="E55" i="10"/>
  <c r="F55" i="10"/>
  <c r="G55" i="10"/>
  <c r="J55" i="10"/>
  <c r="K55" i="10"/>
  <c r="L55" i="10"/>
  <c r="C55" i="10"/>
  <c r="H53" i="10"/>
  <c r="I53" i="10"/>
  <c r="M53" i="10" s="1"/>
  <c r="M49" i="10"/>
  <c r="M51" i="10"/>
  <c r="H51" i="10"/>
  <c r="I47" i="10"/>
  <c r="H47" i="10" s="1"/>
  <c r="D45" i="10"/>
  <c r="I45" i="10" s="1"/>
  <c r="H45" i="10" s="1"/>
  <c r="G68" i="11" l="1"/>
  <c r="I55" i="10"/>
  <c r="H4" i="12"/>
  <c r="H34" i="12"/>
  <c r="H19" i="12"/>
  <c r="K34" i="12"/>
  <c r="M64" i="10"/>
  <c r="H56" i="10"/>
  <c r="M58" i="10"/>
  <c r="M68" i="10"/>
  <c r="M52" i="11"/>
  <c r="H60" i="10"/>
  <c r="M50" i="11"/>
  <c r="I49" i="11"/>
  <c r="M49" i="11" s="1"/>
  <c r="F19" i="11"/>
  <c r="F68" i="11" s="1"/>
  <c r="E19" i="11"/>
  <c r="I32" i="11"/>
  <c r="H32" i="11" s="1"/>
  <c r="H54" i="11"/>
  <c r="H49" i="11" s="1"/>
  <c r="M39" i="11"/>
  <c r="M35" i="11"/>
  <c r="H45" i="11"/>
  <c r="M47" i="11"/>
  <c r="M41" i="11"/>
  <c r="M37" i="11"/>
  <c r="M22" i="11"/>
  <c r="H28" i="11"/>
  <c r="M24" i="11"/>
  <c r="M30" i="11"/>
  <c r="H20" i="11"/>
  <c r="M7" i="11"/>
  <c r="M11" i="11"/>
  <c r="H5" i="11"/>
  <c r="M13" i="11"/>
  <c r="H17" i="11"/>
  <c r="M9" i="11"/>
  <c r="L68" i="11"/>
  <c r="C68" i="11"/>
  <c r="N68" i="11"/>
  <c r="E68" i="11"/>
  <c r="K68" i="11"/>
  <c r="J68" i="11"/>
  <c r="I34" i="11"/>
  <c r="H34" i="11"/>
  <c r="D4" i="11"/>
  <c r="D68" i="11" s="1"/>
  <c r="I4" i="11"/>
  <c r="M4" i="11" s="1"/>
  <c r="M66" i="10"/>
  <c r="M45" i="10"/>
  <c r="M47" i="10"/>
  <c r="C34" i="10"/>
  <c r="D34" i="10"/>
  <c r="E34" i="10"/>
  <c r="F34" i="10"/>
  <c r="G34" i="10"/>
  <c r="I43" i="10"/>
  <c r="M43" i="10" s="1"/>
  <c r="I41" i="10"/>
  <c r="K34" i="10"/>
  <c r="H39" i="10"/>
  <c r="I39" i="10"/>
  <c r="M39" i="10" s="1"/>
  <c r="I37" i="10"/>
  <c r="M37" i="10" s="1"/>
  <c r="I35" i="10"/>
  <c r="M35" i="10" s="1"/>
  <c r="H35" i="10"/>
  <c r="H32" i="10"/>
  <c r="I32" i="10"/>
  <c r="M32" i="10" s="1"/>
  <c r="I30" i="10"/>
  <c r="M30" i="10" s="1"/>
  <c r="I28" i="10"/>
  <c r="M28" i="10" s="1"/>
  <c r="I26" i="10"/>
  <c r="H26" i="10" s="1"/>
  <c r="F24" i="10"/>
  <c r="I24" i="10" s="1"/>
  <c r="I22" i="10"/>
  <c r="M22" i="10" s="1"/>
  <c r="I20" i="10"/>
  <c r="M20" i="10" s="1"/>
  <c r="H17" i="10"/>
  <c r="I17" i="10"/>
  <c r="M17" i="10" s="1"/>
  <c r="I15" i="10"/>
  <c r="H15" i="10" s="1"/>
  <c r="I13" i="10"/>
  <c r="H13" i="10" s="1"/>
  <c r="I11" i="10"/>
  <c r="H11" i="10" s="1"/>
  <c r="F9" i="10"/>
  <c r="I9" i="10" s="1"/>
  <c r="D7" i="10"/>
  <c r="I7" i="10" s="1"/>
  <c r="M7" i="10" s="1"/>
  <c r="I5" i="10"/>
  <c r="M5" i="10" s="1"/>
  <c r="N19" i="10"/>
  <c r="L19" i="10"/>
  <c r="K19" i="10"/>
  <c r="J19" i="10"/>
  <c r="G19" i="10"/>
  <c r="E19" i="10"/>
  <c r="D19" i="10"/>
  <c r="C19" i="10"/>
  <c r="N4" i="10"/>
  <c r="L4" i="10"/>
  <c r="K4" i="10"/>
  <c r="J4" i="10"/>
  <c r="G4" i="10"/>
  <c r="F4" i="10"/>
  <c r="E4" i="10"/>
  <c r="C4" i="10"/>
  <c r="D66" i="9"/>
  <c r="I66" i="9" s="1"/>
  <c r="M66" i="9" s="1"/>
  <c r="E64" i="9"/>
  <c r="I64" i="9" s="1"/>
  <c r="H64" i="9" s="1"/>
  <c r="I62" i="9"/>
  <c r="M62" i="9" s="1"/>
  <c r="I60" i="9"/>
  <c r="M60" i="9" s="1"/>
  <c r="I58" i="9"/>
  <c r="M58" i="9" s="1"/>
  <c r="E56" i="9"/>
  <c r="I54" i="9"/>
  <c r="H54" i="9" s="1"/>
  <c r="F56" i="9"/>
  <c r="F52" i="9"/>
  <c r="D52" i="9"/>
  <c r="I52" i="9" s="1"/>
  <c r="C50" i="9"/>
  <c r="D50" i="9"/>
  <c r="D49" i="9" s="1"/>
  <c r="F47" i="9"/>
  <c r="I47" i="9" s="1"/>
  <c r="H47" i="9" s="1"/>
  <c r="I45" i="9"/>
  <c r="M45" i="9" s="1"/>
  <c r="H45" i="9"/>
  <c r="I43" i="9"/>
  <c r="M43" i="9" s="1"/>
  <c r="H43" i="9"/>
  <c r="E41" i="9"/>
  <c r="I41" i="9" s="1"/>
  <c r="M41" i="9" s="1"/>
  <c r="H41" i="9"/>
  <c r="C39" i="9"/>
  <c r="I39" i="9" s="1"/>
  <c r="M39" i="9" s="1"/>
  <c r="H39" i="9"/>
  <c r="H37" i="9"/>
  <c r="I37" i="9"/>
  <c r="M37" i="9" s="1"/>
  <c r="F32" i="9"/>
  <c r="E32" i="9"/>
  <c r="I32" i="9" s="1"/>
  <c r="M32" i="9" s="1"/>
  <c r="I30" i="9"/>
  <c r="M30" i="9" s="1"/>
  <c r="H30" i="9"/>
  <c r="E28" i="9"/>
  <c r="I28" i="9"/>
  <c r="M28" i="9" s="1"/>
  <c r="H28" i="9"/>
  <c r="I24" i="9"/>
  <c r="M24" i="9" s="1"/>
  <c r="E26" i="9"/>
  <c r="I26" i="9" s="1"/>
  <c r="M26" i="9" s="1"/>
  <c r="H26" i="9"/>
  <c r="H20" i="9"/>
  <c r="E20" i="9"/>
  <c r="H17" i="9"/>
  <c r="F17" i="9"/>
  <c r="I17" i="9" s="1"/>
  <c r="M17" i="9" s="1"/>
  <c r="I15" i="9"/>
  <c r="M15" i="9" s="1"/>
  <c r="H15" i="9"/>
  <c r="H13" i="9"/>
  <c r="I13" i="9"/>
  <c r="M13" i="9" s="1"/>
  <c r="H11" i="9"/>
  <c r="G11" i="9"/>
  <c r="I11" i="9" s="1"/>
  <c r="M11" i="9" s="1"/>
  <c r="H9" i="9"/>
  <c r="D9" i="9"/>
  <c r="I9" i="9" s="1"/>
  <c r="M9" i="9" s="1"/>
  <c r="E7" i="9"/>
  <c r="E4" i="9" s="1"/>
  <c r="F5" i="9"/>
  <c r="C5" i="9"/>
  <c r="C4" i="9" s="1"/>
  <c r="I50" i="9"/>
  <c r="H50" i="9" s="1"/>
  <c r="O49" i="9"/>
  <c r="N49" i="9"/>
  <c r="L49" i="9"/>
  <c r="K49" i="9"/>
  <c r="J49" i="9"/>
  <c r="G49" i="9"/>
  <c r="C49" i="9"/>
  <c r="I35" i="9"/>
  <c r="M35" i="9" s="1"/>
  <c r="N34" i="9"/>
  <c r="L34" i="9"/>
  <c r="K34" i="9"/>
  <c r="J34" i="9"/>
  <c r="G34" i="9"/>
  <c r="E34" i="9"/>
  <c r="D34" i="9"/>
  <c r="I20" i="9"/>
  <c r="M20" i="9" s="1"/>
  <c r="N19" i="9"/>
  <c r="L19" i="9"/>
  <c r="K19" i="9"/>
  <c r="J19" i="9"/>
  <c r="G19" i="9"/>
  <c r="F19" i="9"/>
  <c r="D19" i="9"/>
  <c r="C19" i="9"/>
  <c r="I5" i="9"/>
  <c r="H5" i="9" s="1"/>
  <c r="N4" i="9"/>
  <c r="L4" i="9"/>
  <c r="K4" i="9"/>
  <c r="J4" i="9"/>
  <c r="G4" i="9"/>
  <c r="I66" i="8"/>
  <c r="M66" i="8" s="1"/>
  <c r="H66" i="8"/>
  <c r="I64" i="8"/>
  <c r="M64" i="8" s="1"/>
  <c r="I62" i="8"/>
  <c r="M62" i="8" s="1"/>
  <c r="E60" i="8"/>
  <c r="I60" i="8" s="1"/>
  <c r="H60" i="8" s="1"/>
  <c r="I58" i="8"/>
  <c r="M58" i="8" s="1"/>
  <c r="H58" i="8"/>
  <c r="I56" i="8"/>
  <c r="M56" i="8" s="1"/>
  <c r="I54" i="8"/>
  <c r="M54" i="8" s="1"/>
  <c r="H52" i="8"/>
  <c r="I52" i="8"/>
  <c r="M52" i="8" s="1"/>
  <c r="E50" i="8"/>
  <c r="I50" i="8" s="1"/>
  <c r="M50" i="8" s="1"/>
  <c r="C50" i="8"/>
  <c r="H47" i="8"/>
  <c r="I47" i="8"/>
  <c r="M47" i="8" s="1"/>
  <c r="I45" i="8"/>
  <c r="M45" i="8" s="1"/>
  <c r="I43" i="8"/>
  <c r="H43" i="8" s="1"/>
  <c r="I41" i="8"/>
  <c r="M41" i="8" s="1"/>
  <c r="F39" i="8"/>
  <c r="I39" i="8" s="1"/>
  <c r="M39" i="8" s="1"/>
  <c r="G39" i="8"/>
  <c r="G34" i="8" s="1"/>
  <c r="H37" i="8"/>
  <c r="F37" i="8"/>
  <c r="I37" i="8" s="1"/>
  <c r="M37" i="8" s="1"/>
  <c r="D49" i="8"/>
  <c r="F49" i="8"/>
  <c r="G49" i="8"/>
  <c r="J49" i="8"/>
  <c r="K49" i="8"/>
  <c r="L49" i="8"/>
  <c r="N49" i="8"/>
  <c r="O49" i="8"/>
  <c r="C49" i="8"/>
  <c r="N34" i="8"/>
  <c r="D34" i="8"/>
  <c r="E34" i="8"/>
  <c r="J34" i="8"/>
  <c r="K34" i="8"/>
  <c r="L34" i="8"/>
  <c r="C34" i="8"/>
  <c r="I35" i="8"/>
  <c r="M35" i="8" s="1"/>
  <c r="I32" i="8"/>
  <c r="M32" i="8" s="1"/>
  <c r="I30" i="8"/>
  <c r="M30" i="8" s="1"/>
  <c r="H28" i="8"/>
  <c r="I28" i="8"/>
  <c r="M28" i="8" s="1"/>
  <c r="I26" i="8"/>
  <c r="M26" i="8" s="1"/>
  <c r="I24" i="8"/>
  <c r="M24" i="8" s="1"/>
  <c r="I22" i="8"/>
  <c r="M22" i="8" s="1"/>
  <c r="I9" i="8"/>
  <c r="M9" i="8" s="1"/>
  <c r="I20" i="8"/>
  <c r="M20" i="8" s="1"/>
  <c r="N19" i="8"/>
  <c r="L19" i="8"/>
  <c r="H19" i="8"/>
  <c r="K19" i="8"/>
  <c r="J19" i="8"/>
  <c r="G19" i="8"/>
  <c r="F19" i="8"/>
  <c r="E19" i="8"/>
  <c r="D19" i="8"/>
  <c r="C19" i="8"/>
  <c r="I17" i="8"/>
  <c r="M17" i="8" s="1"/>
  <c r="I15" i="8"/>
  <c r="M15" i="8" s="1"/>
  <c r="H13" i="8"/>
  <c r="H4" i="8" s="1"/>
  <c r="I13" i="8"/>
  <c r="M13" i="8" s="1"/>
  <c r="I11" i="8"/>
  <c r="M11" i="8" s="1"/>
  <c r="I7" i="8"/>
  <c r="M7" i="8" s="1"/>
  <c r="I5" i="8"/>
  <c r="M5" i="8" s="1"/>
  <c r="N4" i="8"/>
  <c r="L4" i="8"/>
  <c r="K4" i="8"/>
  <c r="J4" i="8"/>
  <c r="G4" i="8"/>
  <c r="F4" i="8"/>
  <c r="E4" i="8"/>
  <c r="D4" i="8"/>
  <c r="C4" i="8"/>
  <c r="J66" i="7"/>
  <c r="O66" i="7" s="1"/>
  <c r="J68" i="7"/>
  <c r="O68" i="7" s="1"/>
  <c r="J56" i="7"/>
  <c r="O56" i="7" s="1"/>
  <c r="J58" i="7"/>
  <c r="O58" i="7" s="1"/>
  <c r="J60" i="7"/>
  <c r="J62" i="7"/>
  <c r="O62" i="7" s="1"/>
  <c r="J64" i="7"/>
  <c r="O64" i="7" s="1"/>
  <c r="I64" i="7"/>
  <c r="O60" i="7"/>
  <c r="J54" i="7"/>
  <c r="O54" i="7" s="1"/>
  <c r="J52" i="7"/>
  <c r="O52" i="7" s="1"/>
  <c r="J50" i="7"/>
  <c r="O50" i="7" s="1"/>
  <c r="I50" i="7"/>
  <c r="I49" i="7" s="1"/>
  <c r="J47" i="7"/>
  <c r="O47" i="7" s="1"/>
  <c r="I47" i="7"/>
  <c r="H55" i="10" l="1"/>
  <c r="F34" i="8"/>
  <c r="D4" i="9"/>
  <c r="C34" i="9"/>
  <c r="C68" i="9" s="1"/>
  <c r="F49" i="9"/>
  <c r="H62" i="9"/>
  <c r="M64" i="9"/>
  <c r="H41" i="8"/>
  <c r="H34" i="8" s="1"/>
  <c r="H64" i="8"/>
  <c r="F4" i="9"/>
  <c r="I19" i="11"/>
  <c r="M19" i="11" s="1"/>
  <c r="M32" i="11"/>
  <c r="H54" i="8"/>
  <c r="H49" i="8" s="1"/>
  <c r="I7" i="9"/>
  <c r="M7" i="9" s="1"/>
  <c r="M54" i="9"/>
  <c r="I56" i="9"/>
  <c r="H56" i="9" s="1"/>
  <c r="H66" i="9"/>
  <c r="E49" i="8"/>
  <c r="E68" i="8" s="1"/>
  <c r="H4" i="11"/>
  <c r="M34" i="11"/>
  <c r="H19" i="11"/>
  <c r="C70" i="10"/>
  <c r="K70" i="10"/>
  <c r="I34" i="10"/>
  <c r="E70" i="10"/>
  <c r="G70" i="10"/>
  <c r="F19" i="10"/>
  <c r="F70" i="10" s="1"/>
  <c r="D4" i="10"/>
  <c r="D70" i="10" s="1"/>
  <c r="H24" i="10"/>
  <c r="H19" i="10" s="1"/>
  <c r="M24" i="10"/>
  <c r="M26" i="10"/>
  <c r="M15" i="10"/>
  <c r="H5" i="10"/>
  <c r="H7" i="10"/>
  <c r="M11" i="10"/>
  <c r="M13" i="10"/>
  <c r="H9" i="10"/>
  <c r="M9" i="10"/>
  <c r="I4" i="10"/>
  <c r="M4" i="10" s="1"/>
  <c r="M56" i="9"/>
  <c r="M47" i="9"/>
  <c r="H32" i="9"/>
  <c r="H19" i="9"/>
  <c r="E19" i="9"/>
  <c r="H7" i="9"/>
  <c r="H4" i="9" s="1"/>
  <c r="L68" i="9"/>
  <c r="N68" i="9"/>
  <c r="J68" i="9"/>
  <c r="I4" i="9"/>
  <c r="M4" i="9" s="1"/>
  <c r="G68" i="9"/>
  <c r="D68" i="9"/>
  <c r="H34" i="9"/>
  <c r="K68" i="9"/>
  <c r="I34" i="9"/>
  <c r="M50" i="9"/>
  <c r="I49" i="9"/>
  <c r="M49" i="9" s="1"/>
  <c r="M5" i="9"/>
  <c r="I19" i="9"/>
  <c r="M19" i="9" s="1"/>
  <c r="F34" i="9"/>
  <c r="E49" i="9"/>
  <c r="M60" i="8"/>
  <c r="I49" i="8"/>
  <c r="M49" i="8" s="1"/>
  <c r="M43" i="8"/>
  <c r="I34" i="8"/>
  <c r="M34" i="8" s="1"/>
  <c r="I19" i="8"/>
  <c r="M19" i="8" s="1"/>
  <c r="N68" i="8"/>
  <c r="F68" i="8"/>
  <c r="C68" i="8"/>
  <c r="K68" i="8"/>
  <c r="L68" i="8"/>
  <c r="G68" i="8"/>
  <c r="D68" i="8"/>
  <c r="J68" i="8"/>
  <c r="I4" i="8"/>
  <c r="J49" i="7"/>
  <c r="J45" i="7"/>
  <c r="J20" i="7"/>
  <c r="J32" i="7"/>
  <c r="O32" i="7" s="1"/>
  <c r="J43" i="7"/>
  <c r="O43" i="7" s="1"/>
  <c r="J41" i="7"/>
  <c r="O41" i="7" s="1"/>
  <c r="J39" i="7"/>
  <c r="O39" i="7" s="1"/>
  <c r="J9" i="7"/>
  <c r="J37" i="7"/>
  <c r="O37" i="7" s="1"/>
  <c r="J35" i="7"/>
  <c r="O35" i="7" s="1"/>
  <c r="J30" i="7"/>
  <c r="O30" i="7" s="1"/>
  <c r="J28" i="7"/>
  <c r="O28" i="7" s="1"/>
  <c r="J24" i="7"/>
  <c r="O24" i="7" s="1"/>
  <c r="J22" i="7"/>
  <c r="O22" i="7" s="1"/>
  <c r="J17" i="7"/>
  <c r="O17" i="7" s="1"/>
  <c r="J15" i="7"/>
  <c r="O15" i="7" s="1"/>
  <c r="H68" i="11" l="1"/>
  <c r="H68" i="8"/>
  <c r="I68" i="11"/>
  <c r="M68" i="11" s="1"/>
  <c r="F68" i="9"/>
  <c r="H4" i="10"/>
  <c r="H52" i="9"/>
  <c r="H49" i="9" s="1"/>
  <c r="H68" i="9" s="1"/>
  <c r="M52" i="9"/>
  <c r="E68" i="9"/>
  <c r="I68" i="9"/>
  <c r="M68" i="9" s="1"/>
  <c r="M34" i="9"/>
  <c r="M4" i="8"/>
  <c r="I68" i="8"/>
  <c r="M68" i="8" s="1"/>
  <c r="J34" i="7"/>
  <c r="O45" i="7"/>
  <c r="J19" i="7"/>
  <c r="O20" i="7"/>
  <c r="I11" i="7"/>
  <c r="I5" i="7"/>
  <c r="I7" i="7"/>
  <c r="P49" i="7" l="1"/>
  <c r="N49" i="7"/>
  <c r="M49" i="7"/>
  <c r="L49" i="7"/>
  <c r="K49" i="7"/>
  <c r="H49" i="7"/>
  <c r="G49" i="7"/>
  <c r="F49" i="7"/>
  <c r="E49" i="7"/>
  <c r="D49" i="7"/>
  <c r="P34" i="7"/>
  <c r="N34" i="7"/>
  <c r="M34" i="7"/>
  <c r="L34" i="7"/>
  <c r="K34" i="7"/>
  <c r="I34" i="7"/>
  <c r="H34" i="7"/>
  <c r="G34" i="7"/>
  <c r="F34" i="7"/>
  <c r="E34" i="7"/>
  <c r="D34" i="7"/>
  <c r="P19" i="7"/>
  <c r="N19" i="7"/>
  <c r="M19" i="7"/>
  <c r="L19" i="7"/>
  <c r="K19" i="7"/>
  <c r="I19" i="7"/>
  <c r="H19" i="7"/>
  <c r="G19" i="7"/>
  <c r="F19" i="7"/>
  <c r="E19" i="7"/>
  <c r="D19" i="7"/>
  <c r="J13" i="7"/>
  <c r="O13" i="7" s="1"/>
  <c r="J11" i="7"/>
  <c r="O9" i="7"/>
  <c r="J7" i="7"/>
  <c r="O7" i="7" s="1"/>
  <c r="J5" i="7"/>
  <c r="P4" i="7"/>
  <c r="N4" i="7"/>
  <c r="M4" i="7"/>
  <c r="L4" i="7"/>
  <c r="K4" i="7"/>
  <c r="H4" i="7"/>
  <c r="G4" i="7"/>
  <c r="F4" i="7"/>
  <c r="E4" i="7"/>
  <c r="D4" i="7"/>
  <c r="O49" i="7" l="1"/>
  <c r="M70" i="7"/>
  <c r="O5" i="7"/>
  <c r="J4" i="7"/>
  <c r="J70" i="7" s="1"/>
  <c r="K70" i="7"/>
  <c r="G70" i="7"/>
  <c r="O34" i="7"/>
  <c r="P70" i="7"/>
  <c r="O19" i="7"/>
  <c r="D70" i="7"/>
  <c r="H70" i="7"/>
  <c r="F70" i="7"/>
  <c r="L70" i="7"/>
  <c r="I4" i="7"/>
  <c r="I70" i="7" s="1"/>
  <c r="N70" i="7"/>
  <c r="E70" i="7"/>
  <c r="O11" i="7"/>
  <c r="O70" i="7" l="1"/>
  <c r="O4" i="7"/>
  <c r="J70" i="6" l="1"/>
  <c r="O70" i="6" s="1"/>
  <c r="J68" i="6"/>
  <c r="O68" i="6" s="1"/>
  <c r="J66" i="6"/>
  <c r="O66" i="6" s="1"/>
  <c r="J64" i="6"/>
  <c r="O64" i="6" s="1"/>
  <c r="J62" i="6"/>
  <c r="O62" i="6" s="1"/>
  <c r="J60" i="6"/>
  <c r="O60" i="6" s="1"/>
  <c r="J58" i="6"/>
  <c r="O58" i="6" s="1"/>
  <c r="O56" i="6"/>
  <c r="J56" i="6"/>
  <c r="J54" i="6"/>
  <c r="O54" i="6" s="1"/>
  <c r="P53" i="6"/>
  <c r="N53" i="6"/>
  <c r="M53" i="6"/>
  <c r="L53" i="6"/>
  <c r="K53" i="6"/>
  <c r="I53" i="6"/>
  <c r="H53" i="6"/>
  <c r="G53" i="6"/>
  <c r="F53" i="6"/>
  <c r="E53" i="6"/>
  <c r="D53" i="6"/>
  <c r="J51" i="6"/>
  <c r="O51" i="6" s="1"/>
  <c r="J49" i="6"/>
  <c r="O49" i="6" s="1"/>
  <c r="J47" i="6"/>
  <c r="O47" i="6" s="1"/>
  <c r="J45" i="6"/>
  <c r="O45" i="6" s="1"/>
  <c r="J43" i="6"/>
  <c r="O43" i="6" s="1"/>
  <c r="I43" i="6"/>
  <c r="J41" i="6"/>
  <c r="O41" i="6" s="1"/>
  <c r="J39" i="6"/>
  <c r="O39" i="6" s="1"/>
  <c r="P38" i="6"/>
  <c r="N38" i="6"/>
  <c r="M38" i="6"/>
  <c r="L38" i="6"/>
  <c r="K38" i="6"/>
  <c r="I38" i="6"/>
  <c r="H38" i="6"/>
  <c r="G38" i="6"/>
  <c r="F38" i="6"/>
  <c r="E38" i="6"/>
  <c r="D38" i="6"/>
  <c r="J36" i="6"/>
  <c r="O36" i="6" s="1"/>
  <c r="J34" i="6"/>
  <c r="O34" i="6" s="1"/>
  <c r="J32" i="6"/>
  <c r="O32" i="6" s="1"/>
  <c r="J30" i="6"/>
  <c r="O30" i="6" s="1"/>
  <c r="J28" i="6"/>
  <c r="O28" i="6" s="1"/>
  <c r="I28" i="6"/>
  <c r="J26" i="6"/>
  <c r="O26" i="6" s="1"/>
  <c r="J24" i="6"/>
  <c r="O24" i="6" s="1"/>
  <c r="P23" i="6"/>
  <c r="N23" i="6"/>
  <c r="M23" i="6"/>
  <c r="L23" i="6"/>
  <c r="K23" i="6"/>
  <c r="I23" i="6"/>
  <c r="H23" i="6"/>
  <c r="G23" i="6"/>
  <c r="F23" i="6"/>
  <c r="E23" i="6"/>
  <c r="D23" i="6"/>
  <c r="J19" i="6"/>
  <c r="O19" i="6" s="1"/>
  <c r="I19" i="6"/>
  <c r="I8" i="6" s="1"/>
  <c r="J17" i="6"/>
  <c r="O17" i="6" s="1"/>
  <c r="J15" i="6"/>
  <c r="O15" i="6" s="1"/>
  <c r="J13" i="6"/>
  <c r="O13" i="6" s="1"/>
  <c r="J11" i="6"/>
  <c r="O11" i="6" s="1"/>
  <c r="J9" i="6"/>
  <c r="O9" i="6" s="1"/>
  <c r="P8" i="6"/>
  <c r="N8" i="6"/>
  <c r="M8" i="6"/>
  <c r="L8" i="6"/>
  <c r="K8" i="6"/>
  <c r="K72" i="6" s="1"/>
  <c r="H8" i="6"/>
  <c r="G8" i="6"/>
  <c r="F8" i="6"/>
  <c r="F72" i="6" s="1"/>
  <c r="E8" i="6"/>
  <c r="D8" i="6"/>
  <c r="J68" i="5"/>
  <c r="O68" i="5" s="1"/>
  <c r="J66" i="5"/>
  <c r="O66" i="5" s="1"/>
  <c r="J64" i="5"/>
  <c r="O64" i="5" s="1"/>
  <c r="J60" i="5"/>
  <c r="O60" i="5" s="1"/>
  <c r="J58" i="5"/>
  <c r="O58" i="5" s="1"/>
  <c r="P57" i="5"/>
  <c r="N57" i="5"/>
  <c r="M57" i="5"/>
  <c r="L57" i="5"/>
  <c r="K57" i="5"/>
  <c r="I57" i="5"/>
  <c r="H57" i="5"/>
  <c r="G57" i="5"/>
  <c r="F57" i="5"/>
  <c r="E57" i="5"/>
  <c r="D57" i="5"/>
  <c r="J53" i="5"/>
  <c r="O53" i="5" s="1"/>
  <c r="O51" i="5"/>
  <c r="F51" i="5"/>
  <c r="J51" i="5" s="1"/>
  <c r="J49" i="5"/>
  <c r="O49" i="5" s="1"/>
  <c r="J47" i="5"/>
  <c r="O47" i="5" s="1"/>
  <c r="J45" i="5"/>
  <c r="O45" i="5" s="1"/>
  <c r="J43" i="5"/>
  <c r="O43" i="5" s="1"/>
  <c r="P42" i="5"/>
  <c r="N42" i="5"/>
  <c r="M42" i="5"/>
  <c r="L42" i="5"/>
  <c r="K42" i="5"/>
  <c r="I42" i="5"/>
  <c r="H42" i="5"/>
  <c r="G42" i="5"/>
  <c r="F42" i="5"/>
  <c r="E42" i="5"/>
  <c r="D42" i="5"/>
  <c r="J40" i="5"/>
  <c r="O40" i="5" s="1"/>
  <c r="J38" i="5"/>
  <c r="O38" i="5" s="1"/>
  <c r="F36" i="5"/>
  <c r="J36" i="5" s="1"/>
  <c r="O36" i="5" s="1"/>
  <c r="J34" i="5"/>
  <c r="O34" i="5" s="1"/>
  <c r="I34" i="5"/>
  <c r="I27" i="5" s="1"/>
  <c r="J32" i="5"/>
  <c r="O32" i="5" s="1"/>
  <c r="J30" i="5"/>
  <c r="O30" i="5" s="1"/>
  <c r="J28" i="5"/>
  <c r="P27" i="5"/>
  <c r="N27" i="5"/>
  <c r="M27" i="5"/>
  <c r="L27" i="5"/>
  <c r="K27" i="5"/>
  <c r="H27" i="5"/>
  <c r="G27" i="5"/>
  <c r="E27" i="5"/>
  <c r="D27" i="5"/>
  <c r="J25" i="5"/>
  <c r="O25" i="5" s="1"/>
  <c r="J23" i="5"/>
  <c r="O23" i="5" s="1"/>
  <c r="J21" i="5"/>
  <c r="O21" i="5" s="1"/>
  <c r="J19" i="5"/>
  <c r="O19" i="5" s="1"/>
  <c r="J17" i="5"/>
  <c r="O17" i="5" s="1"/>
  <c r="J15" i="5"/>
  <c r="O15" i="5" s="1"/>
  <c r="J13" i="5"/>
  <c r="O13" i="5" s="1"/>
  <c r="J11" i="5"/>
  <c r="O11" i="5" s="1"/>
  <c r="J9" i="5"/>
  <c r="O9" i="5" s="1"/>
  <c r="P8" i="5"/>
  <c r="N8" i="5"/>
  <c r="M8" i="5"/>
  <c r="L8" i="5"/>
  <c r="K8" i="5"/>
  <c r="I8" i="5"/>
  <c r="H8" i="5"/>
  <c r="G8" i="5"/>
  <c r="F8" i="5"/>
  <c r="E8" i="5"/>
  <c r="D8" i="5"/>
  <c r="J92" i="4"/>
  <c r="O92" i="4" s="1"/>
  <c r="J90" i="4"/>
  <c r="O90" i="4" s="1"/>
  <c r="J88" i="4"/>
  <c r="O88" i="4" s="1"/>
  <c r="J86" i="4"/>
  <c r="O86" i="4" s="1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J81" i="4"/>
  <c r="O81" i="4" s="1"/>
  <c r="I81" i="4"/>
  <c r="I58" i="4" s="1"/>
  <c r="J79" i="4"/>
  <c r="O79" i="4" s="1"/>
  <c r="J77" i="4"/>
  <c r="O77" i="4" s="1"/>
  <c r="J75" i="4"/>
  <c r="O75" i="4" s="1"/>
  <c r="J73" i="4"/>
  <c r="O73" i="4" s="1"/>
  <c r="J71" i="4"/>
  <c r="O71" i="4" s="1"/>
  <c r="J69" i="4"/>
  <c r="O69" i="4" s="1"/>
  <c r="J67" i="4"/>
  <c r="O67" i="4" s="1"/>
  <c r="J65" i="4"/>
  <c r="O65" i="4" s="1"/>
  <c r="J63" i="4"/>
  <c r="O63" i="4" s="1"/>
  <c r="J61" i="4"/>
  <c r="O61" i="4" s="1"/>
  <c r="P58" i="4"/>
  <c r="N58" i="4"/>
  <c r="M58" i="4"/>
  <c r="L58" i="4"/>
  <c r="K58" i="4"/>
  <c r="H58" i="4"/>
  <c r="G58" i="4"/>
  <c r="F58" i="4"/>
  <c r="E58" i="4"/>
  <c r="D58" i="4"/>
  <c r="J56" i="4"/>
  <c r="O56" i="4" s="1"/>
  <c r="J54" i="4"/>
  <c r="O54" i="4" s="1"/>
  <c r="J52" i="4"/>
  <c r="O52" i="4" s="1"/>
  <c r="I52" i="4"/>
  <c r="I33" i="4" s="1"/>
  <c r="J50" i="4"/>
  <c r="O50" i="4" s="1"/>
  <c r="J48" i="4"/>
  <c r="O48" i="4" s="1"/>
  <c r="J46" i="4"/>
  <c r="O46" i="4" s="1"/>
  <c r="J44" i="4"/>
  <c r="O44" i="4" s="1"/>
  <c r="J42" i="4"/>
  <c r="O42" i="4" s="1"/>
  <c r="J40" i="4"/>
  <c r="O40" i="4" s="1"/>
  <c r="J38" i="4"/>
  <c r="O38" i="4" s="1"/>
  <c r="J36" i="4"/>
  <c r="O36" i="4" s="1"/>
  <c r="P33" i="4"/>
  <c r="N33" i="4"/>
  <c r="M33" i="4"/>
  <c r="L33" i="4"/>
  <c r="K33" i="4"/>
  <c r="H33" i="4"/>
  <c r="G33" i="4"/>
  <c r="F33" i="4"/>
  <c r="E33" i="4"/>
  <c r="D33" i="4"/>
  <c r="J31" i="4"/>
  <c r="O31" i="4" s="1"/>
  <c r="J29" i="4"/>
  <c r="O29" i="4" s="1"/>
  <c r="J27" i="4"/>
  <c r="O27" i="4" s="1"/>
  <c r="J25" i="4"/>
  <c r="O25" i="4" s="1"/>
  <c r="F23" i="4"/>
  <c r="J23" i="4" s="1"/>
  <c r="O23" i="4" s="1"/>
  <c r="J21" i="4"/>
  <c r="O21" i="4" s="1"/>
  <c r="J19" i="4"/>
  <c r="O19" i="4" s="1"/>
  <c r="J17" i="4"/>
  <c r="O17" i="4" s="1"/>
  <c r="O15" i="4"/>
  <c r="J15" i="4"/>
  <c r="J13" i="4"/>
  <c r="O13" i="4" s="1"/>
  <c r="J11" i="4"/>
  <c r="P8" i="4"/>
  <c r="N8" i="4"/>
  <c r="M8" i="4"/>
  <c r="L8" i="4"/>
  <c r="L108" i="4" s="1"/>
  <c r="K8" i="4"/>
  <c r="I8" i="4"/>
  <c r="H8" i="4"/>
  <c r="G8" i="4"/>
  <c r="E8" i="4"/>
  <c r="E108" i="4" s="1"/>
  <c r="D8" i="4"/>
  <c r="J73" i="3"/>
  <c r="O73" i="3" s="1"/>
  <c r="J71" i="3"/>
  <c r="O71" i="3" s="1"/>
  <c r="J69" i="3"/>
  <c r="O69" i="3" s="1"/>
  <c r="J67" i="3"/>
  <c r="O67" i="3" s="1"/>
  <c r="J65" i="3"/>
  <c r="O65" i="3" s="1"/>
  <c r="J63" i="3"/>
  <c r="O63" i="3" s="1"/>
  <c r="O61" i="3"/>
  <c r="J61" i="3"/>
  <c r="P60" i="3"/>
  <c r="N60" i="3"/>
  <c r="M60" i="3"/>
  <c r="L60" i="3"/>
  <c r="K60" i="3"/>
  <c r="I60" i="3"/>
  <c r="H60" i="3"/>
  <c r="G60" i="3"/>
  <c r="F60" i="3"/>
  <c r="E60" i="3"/>
  <c r="D60" i="3"/>
  <c r="J58" i="3"/>
  <c r="O58" i="3" s="1"/>
  <c r="J56" i="3"/>
  <c r="O56" i="3" s="1"/>
  <c r="J55" i="3"/>
  <c r="O55" i="3" s="1"/>
  <c r="J54" i="3"/>
  <c r="O54" i="3" s="1"/>
  <c r="J52" i="3"/>
  <c r="O52" i="3" s="1"/>
  <c r="J50" i="3"/>
  <c r="O50" i="3" s="1"/>
  <c r="J48" i="3"/>
  <c r="O48" i="3" s="1"/>
  <c r="J46" i="3"/>
  <c r="P45" i="3"/>
  <c r="N45" i="3"/>
  <c r="M45" i="3"/>
  <c r="L45" i="3"/>
  <c r="K45" i="3"/>
  <c r="I45" i="3"/>
  <c r="H45" i="3"/>
  <c r="G45" i="3"/>
  <c r="F45" i="3"/>
  <c r="E45" i="3"/>
  <c r="D45" i="3"/>
  <c r="J43" i="3"/>
  <c r="O43" i="3" s="1"/>
  <c r="J41" i="3"/>
  <c r="O41" i="3" s="1"/>
  <c r="J39" i="3"/>
  <c r="O39" i="3" s="1"/>
  <c r="J37" i="3"/>
  <c r="O37" i="3" s="1"/>
  <c r="J35" i="3"/>
  <c r="O35" i="3" s="1"/>
  <c r="J33" i="3"/>
  <c r="O33" i="3" s="1"/>
  <c r="J31" i="3"/>
  <c r="O31" i="3" s="1"/>
  <c r="I31" i="3"/>
  <c r="I30" i="3" s="1"/>
  <c r="P30" i="3"/>
  <c r="N30" i="3"/>
  <c r="M30" i="3"/>
  <c r="L30" i="3"/>
  <c r="K30" i="3"/>
  <c r="H30" i="3"/>
  <c r="G30" i="3"/>
  <c r="F30" i="3"/>
  <c r="E30" i="3"/>
  <c r="D30" i="3"/>
  <c r="J28" i="3"/>
  <c r="O28" i="3" s="1"/>
  <c r="J27" i="3"/>
  <c r="O27" i="3" s="1"/>
  <c r="J26" i="3"/>
  <c r="O26" i="3" s="1"/>
  <c r="J24" i="3"/>
  <c r="O24" i="3" s="1"/>
  <c r="J22" i="3"/>
  <c r="O22" i="3" s="1"/>
  <c r="J20" i="3"/>
  <c r="O20" i="3" s="1"/>
  <c r="J18" i="3"/>
  <c r="J16" i="3"/>
  <c r="O16" i="3" s="1"/>
  <c r="P15" i="3"/>
  <c r="N15" i="3"/>
  <c r="M15" i="3"/>
  <c r="L15" i="3"/>
  <c r="K15" i="3"/>
  <c r="I15" i="3"/>
  <c r="H15" i="3"/>
  <c r="G15" i="3"/>
  <c r="F15" i="3"/>
  <c r="E15" i="3"/>
  <c r="D15" i="3"/>
  <c r="J13" i="3"/>
  <c r="O13" i="3" s="1"/>
  <c r="J11" i="3"/>
  <c r="O11" i="3" s="1"/>
  <c r="J10" i="3"/>
  <c r="O10" i="3" s="1"/>
  <c r="J9" i="3"/>
  <c r="P8" i="3"/>
  <c r="N8" i="3"/>
  <c r="M8" i="3"/>
  <c r="L8" i="3"/>
  <c r="K8" i="3"/>
  <c r="I8" i="3"/>
  <c r="H8" i="3"/>
  <c r="F8" i="3"/>
  <c r="E8" i="3"/>
  <c r="D8" i="3"/>
  <c r="J66" i="2"/>
  <c r="J64" i="2"/>
  <c r="O64" i="2" s="1"/>
  <c r="J62" i="2"/>
  <c r="O62" i="2" s="1"/>
  <c r="J60" i="2"/>
  <c r="O60" i="2" s="1"/>
  <c r="J58" i="2"/>
  <c r="O58" i="2" s="1"/>
  <c r="J56" i="2"/>
  <c r="O56" i="2" s="1"/>
  <c r="J54" i="2"/>
  <c r="O54" i="2" s="1"/>
  <c r="P53" i="2"/>
  <c r="N53" i="2"/>
  <c r="M53" i="2"/>
  <c r="L53" i="2"/>
  <c r="K53" i="2"/>
  <c r="I53" i="2"/>
  <c r="H53" i="2"/>
  <c r="G53" i="2"/>
  <c r="F53" i="2"/>
  <c r="E53" i="2"/>
  <c r="J51" i="2"/>
  <c r="O51" i="2" s="1"/>
  <c r="J49" i="2"/>
  <c r="O49" i="2" s="1"/>
  <c r="J47" i="2"/>
  <c r="O47" i="2" s="1"/>
  <c r="J43" i="2"/>
  <c r="O43" i="2" s="1"/>
  <c r="J41" i="2"/>
  <c r="O41" i="2" s="1"/>
  <c r="J39" i="2"/>
  <c r="O39" i="2" s="1"/>
  <c r="P38" i="2"/>
  <c r="N38" i="2"/>
  <c r="M38" i="2"/>
  <c r="L38" i="2"/>
  <c r="K38" i="2"/>
  <c r="I38" i="2"/>
  <c r="H38" i="2"/>
  <c r="G38" i="2"/>
  <c r="F38" i="2"/>
  <c r="E38" i="2"/>
  <c r="D38" i="2"/>
  <c r="J36" i="2"/>
  <c r="O36" i="2" s="1"/>
  <c r="J34" i="2"/>
  <c r="O34" i="2" s="1"/>
  <c r="J32" i="2"/>
  <c r="O32" i="2" s="1"/>
  <c r="J30" i="2"/>
  <c r="O30" i="2" s="1"/>
  <c r="J29" i="2"/>
  <c r="O29" i="2" s="1"/>
  <c r="J28" i="2"/>
  <c r="O28" i="2" s="1"/>
  <c r="O26" i="2"/>
  <c r="J26" i="2"/>
  <c r="J24" i="2"/>
  <c r="P23" i="2"/>
  <c r="N23" i="2"/>
  <c r="M23" i="2"/>
  <c r="L23" i="2"/>
  <c r="K23" i="2"/>
  <c r="I23" i="2"/>
  <c r="I68" i="2" s="1"/>
  <c r="H23" i="2"/>
  <c r="G23" i="2"/>
  <c r="F23" i="2"/>
  <c r="E23" i="2"/>
  <c r="D23" i="2"/>
  <c r="J21" i="2"/>
  <c r="O21" i="2" s="1"/>
  <c r="J19" i="2"/>
  <c r="O19" i="2" s="1"/>
  <c r="J17" i="2"/>
  <c r="O17" i="2" s="1"/>
  <c r="J15" i="2"/>
  <c r="O15" i="2" s="1"/>
  <c r="J13" i="2"/>
  <c r="O13" i="2" s="1"/>
  <c r="J11" i="2"/>
  <c r="O11" i="2" s="1"/>
  <c r="J9" i="2"/>
  <c r="P8" i="2"/>
  <c r="N8" i="2"/>
  <c r="M8" i="2"/>
  <c r="L8" i="2"/>
  <c r="L68" i="2" s="1"/>
  <c r="K8" i="2"/>
  <c r="I8" i="2"/>
  <c r="H8" i="2"/>
  <c r="G8" i="2"/>
  <c r="G68" i="2" s="1"/>
  <c r="F8" i="2"/>
  <c r="E8" i="2"/>
  <c r="D8" i="2"/>
  <c r="J69" i="1"/>
  <c r="O69" i="1" s="1"/>
  <c r="J67" i="1"/>
  <c r="O67" i="1" s="1"/>
  <c r="J65" i="1"/>
  <c r="O65" i="1" s="1"/>
  <c r="J63" i="1"/>
  <c r="O63" i="1" s="1"/>
  <c r="P62" i="1"/>
  <c r="N62" i="1"/>
  <c r="M62" i="1"/>
  <c r="L62" i="1"/>
  <c r="K62" i="1"/>
  <c r="I62" i="1"/>
  <c r="H62" i="1"/>
  <c r="G62" i="1"/>
  <c r="F62" i="1"/>
  <c r="E62" i="1"/>
  <c r="D62" i="1"/>
  <c r="J60" i="1"/>
  <c r="O60" i="1" s="1"/>
  <c r="J58" i="1"/>
  <c r="O58" i="1" s="1"/>
  <c r="J56" i="1"/>
  <c r="O56" i="1" s="1"/>
  <c r="J54" i="1"/>
  <c r="O54" i="1" s="1"/>
  <c r="J52" i="1"/>
  <c r="O52" i="1" s="1"/>
  <c r="J50" i="1"/>
  <c r="O50" i="1" s="1"/>
  <c r="J48" i="1"/>
  <c r="O48" i="1" s="1"/>
  <c r="P47" i="1"/>
  <c r="N47" i="1"/>
  <c r="M47" i="1"/>
  <c r="L47" i="1"/>
  <c r="K47" i="1"/>
  <c r="I47" i="1"/>
  <c r="H47" i="1"/>
  <c r="G47" i="1"/>
  <c r="F47" i="1"/>
  <c r="E47" i="1"/>
  <c r="D47" i="1"/>
  <c r="J45" i="1"/>
  <c r="O45" i="1" s="1"/>
  <c r="J43" i="1"/>
  <c r="O43" i="1" s="1"/>
  <c r="J41" i="1"/>
  <c r="O41" i="1" s="1"/>
  <c r="J39" i="1"/>
  <c r="O39" i="1" s="1"/>
  <c r="J37" i="1"/>
  <c r="O37" i="1" s="1"/>
  <c r="J35" i="1"/>
  <c r="O35" i="1" s="1"/>
  <c r="P32" i="1"/>
  <c r="N32" i="1"/>
  <c r="M32" i="1"/>
  <c r="L32" i="1"/>
  <c r="K32" i="1"/>
  <c r="I32" i="1"/>
  <c r="H32" i="1"/>
  <c r="G32" i="1"/>
  <c r="F32" i="1"/>
  <c r="E32" i="1"/>
  <c r="D32" i="1"/>
  <c r="J22" i="1"/>
  <c r="O22" i="1" s="1"/>
  <c r="J20" i="1"/>
  <c r="J18" i="1"/>
  <c r="O18" i="1" s="1"/>
  <c r="P17" i="1"/>
  <c r="N17" i="1"/>
  <c r="M17" i="1"/>
  <c r="L17" i="1"/>
  <c r="K17" i="1"/>
  <c r="I17" i="1"/>
  <c r="H17" i="1"/>
  <c r="G17" i="1"/>
  <c r="F17" i="1"/>
  <c r="E17" i="1"/>
  <c r="D17" i="1"/>
  <c r="J15" i="1"/>
  <c r="O15" i="1" s="1"/>
  <c r="J13" i="1"/>
  <c r="O13" i="1" s="1"/>
  <c r="J12" i="1"/>
  <c r="J11" i="1"/>
  <c r="O11" i="1" s="1"/>
  <c r="J9" i="1"/>
  <c r="O9" i="1" s="1"/>
  <c r="P8" i="1"/>
  <c r="N8" i="1"/>
  <c r="M8" i="1"/>
  <c r="L8" i="1"/>
  <c r="K8" i="1"/>
  <c r="I8" i="1"/>
  <c r="H8" i="1"/>
  <c r="G8" i="1"/>
  <c r="F8" i="1"/>
  <c r="E8" i="1"/>
  <c r="D8" i="1"/>
  <c r="F71" i="1" l="1"/>
  <c r="H71" i="1"/>
  <c r="M72" i="6"/>
  <c r="K108" i="4"/>
  <c r="P108" i="4"/>
  <c r="J58" i="4"/>
  <c r="J8" i="6"/>
  <c r="N72" i="6"/>
  <c r="I71" i="1"/>
  <c r="M68" i="2"/>
  <c r="G108" i="4"/>
  <c r="H108" i="4"/>
  <c r="G72" i="5"/>
  <c r="L72" i="5"/>
  <c r="F27" i="5"/>
  <c r="J47" i="1"/>
  <c r="O62" i="1"/>
  <c r="G75" i="3"/>
  <c r="N71" i="1"/>
  <c r="J8" i="1"/>
  <c r="D75" i="3"/>
  <c r="I75" i="3"/>
  <c r="J45" i="3"/>
  <c r="D108" i="4"/>
  <c r="D72" i="5"/>
  <c r="H72" i="5"/>
  <c r="M72" i="5"/>
  <c r="O47" i="1"/>
  <c r="L71" i="1"/>
  <c r="O12" i="1"/>
  <c r="D71" i="1"/>
  <c r="E68" i="2"/>
  <c r="N75" i="3"/>
  <c r="O46" i="3"/>
  <c r="O45" i="3" s="1"/>
  <c r="G72" i="6"/>
  <c r="M71" i="1"/>
  <c r="J17" i="1"/>
  <c r="E71" i="1"/>
  <c r="F68" i="2"/>
  <c r="K68" i="2"/>
  <c r="P68" i="2"/>
  <c r="O38" i="2"/>
  <c r="F75" i="3"/>
  <c r="K75" i="3"/>
  <c r="M108" i="4"/>
  <c r="E72" i="5"/>
  <c r="I72" i="5"/>
  <c r="D72" i="6"/>
  <c r="H72" i="6"/>
  <c r="L72" i="6"/>
  <c r="O32" i="1"/>
  <c r="P71" i="1"/>
  <c r="H68" i="2"/>
  <c r="O53" i="2"/>
  <c r="H75" i="3"/>
  <c r="M75" i="3"/>
  <c r="I108" i="4"/>
  <c r="K72" i="5"/>
  <c r="P72" i="5"/>
  <c r="F72" i="5"/>
  <c r="J57" i="5"/>
  <c r="O57" i="5" s="1"/>
  <c r="N72" i="5"/>
  <c r="E72" i="6"/>
  <c r="I72" i="6"/>
  <c r="J8" i="4"/>
  <c r="O58" i="4"/>
  <c r="O8" i="1"/>
  <c r="O30" i="3"/>
  <c r="O60" i="3"/>
  <c r="O33" i="4"/>
  <c r="K71" i="1"/>
  <c r="J53" i="2"/>
  <c r="J60" i="3"/>
  <c r="O11" i="4"/>
  <c r="O28" i="5"/>
  <c r="J27" i="5"/>
  <c r="O27" i="5" s="1"/>
  <c r="G71" i="1"/>
  <c r="O20" i="1"/>
  <c r="O17" i="1" s="1"/>
  <c r="J32" i="1"/>
  <c r="O9" i="2"/>
  <c r="O8" i="2" s="1"/>
  <c r="J8" i="2"/>
  <c r="E75" i="3"/>
  <c r="P75" i="3"/>
  <c r="J15" i="3"/>
  <c r="F8" i="4"/>
  <c r="F108" i="4" s="1"/>
  <c r="N108" i="4"/>
  <c r="O8" i="6"/>
  <c r="J62" i="1"/>
  <c r="N68" i="2"/>
  <c r="O24" i="2"/>
  <c r="O23" i="2" s="1"/>
  <c r="J23" i="2"/>
  <c r="L75" i="3"/>
  <c r="O9" i="3"/>
  <c r="O8" i="3" s="1"/>
  <c r="J8" i="3"/>
  <c r="O18" i="3"/>
  <c r="O15" i="3" s="1"/>
  <c r="J30" i="3"/>
  <c r="J33" i="4"/>
  <c r="P72" i="6"/>
  <c r="J38" i="2"/>
  <c r="J8" i="5"/>
  <c r="J42" i="5"/>
  <c r="O42" i="5" s="1"/>
  <c r="J23" i="6"/>
  <c r="O23" i="6" s="1"/>
  <c r="J38" i="6"/>
  <c r="O38" i="6" s="1"/>
  <c r="J53" i="6"/>
  <c r="O53" i="6" s="1"/>
  <c r="J75" i="3" l="1"/>
  <c r="J71" i="1"/>
  <c r="J68" i="2"/>
  <c r="J72" i="6"/>
  <c r="O72" i="6" s="1"/>
  <c r="O68" i="2"/>
  <c r="O71" i="1"/>
  <c r="O75" i="3"/>
  <c r="O8" i="5"/>
  <c r="J72" i="5"/>
  <c r="O72" i="5" s="1"/>
  <c r="J108" i="4"/>
  <c r="O108" i="4" s="1"/>
  <c r="O8" i="4"/>
  <c r="I19" i="10"/>
  <c r="I70" i="10" s="1"/>
  <c r="M19" i="10" l="1"/>
  <c r="L34" i="10"/>
  <c r="L70" i="10" s="1"/>
  <c r="M70" i="10" s="1"/>
  <c r="J34" i="10"/>
  <c r="J70" i="10" s="1"/>
  <c r="N34" i="10"/>
  <c r="N70" i="10" s="1"/>
  <c r="M41" i="10"/>
  <c r="H43" i="10"/>
  <c r="H34" i="10" s="1"/>
  <c r="H70" i="10" s="1"/>
  <c r="M34" i="10" l="1"/>
  <c r="M55" i="10"/>
  <c r="I70" i="12" l="1"/>
  <c r="K70" i="12" s="1"/>
  <c r="H49" i="12" l="1"/>
  <c r="H70" i="12" s="1"/>
  <c r="M49" i="14" l="1"/>
  <c r="O55" i="10"/>
  <c r="M49" i="16"/>
  <c r="M49" i="12"/>
  <c r="M49" i="15"/>
  <c r="O49" i="11"/>
  <c r="N55" i="10"/>
  <c r="D68" i="2"/>
  <c r="D53" i="2"/>
  <c r="M49" i="13"/>
</calcChain>
</file>

<file path=xl/sharedStrings.xml><?xml version="1.0" encoding="utf-8"?>
<sst xmlns="http://schemas.openxmlformats.org/spreadsheetml/2006/main" count="1263" uniqueCount="141">
  <si>
    <t>SEI DINING LOUNGE
BÁO CÁO DOANH THU NGÀY (2/2024)</t>
  </si>
  <si>
    <t>Ngày</t>
  </si>
  <si>
    <t>Thứ</t>
  </si>
  <si>
    <t>Buổi</t>
  </si>
  <si>
    <t>Hình thức thanh toán</t>
  </si>
  <si>
    <t>Doanh thu trước PPV &amp; VAT</t>
  </si>
  <si>
    <t>Doanh thu bao gồm PPV &amp; VAT</t>
  </si>
  <si>
    <t>Khác</t>
  </si>
  <si>
    <t>Số lượng khách</t>
  </si>
  <si>
    <t>Trung bình doanh thu/khách</t>
  </si>
  <si>
    <t>Số bill</t>
  </si>
  <si>
    <t>Ghi Chú</t>
  </si>
  <si>
    <t>Tiền mặt</t>
  </si>
  <si>
    <t>Chuyển khoản</t>
  </si>
  <si>
    <t>Cà thẻ</t>
  </si>
  <si>
    <t>Công nợ</t>
  </si>
  <si>
    <t>Điểm Founder</t>
  </si>
  <si>
    <t>Chi phí MKT</t>
  </si>
  <si>
    <t>CP tiếp khách</t>
  </si>
  <si>
    <t>BÁN THẺ FOUNDER</t>
  </si>
  <si>
    <t>TUẦN 1</t>
  </si>
  <si>
    <t>Thứ 5</t>
  </si>
  <si>
    <t>Tối</t>
  </si>
  <si>
    <t>Thứ 6</t>
  </si>
  <si>
    <t>Trưa</t>
  </si>
  <si>
    <t>Thứ 7</t>
  </si>
  <si>
    <t>1 bill công nơ anh Dũng</t>
  </si>
  <si>
    <t>Chủ nhật</t>
  </si>
  <si>
    <t>1 bill công nợ anh Hoài Nam</t>
  </si>
  <si>
    <t>TUẦN 2</t>
  </si>
  <si>
    <t>Thứ 2</t>
  </si>
  <si>
    <t>Thứ 3</t>
  </si>
  <si>
    <t>Thứ 4</t>
  </si>
  <si>
    <t>1 bill công nợ anh Phan Thành</t>
  </si>
  <si>
    <t>TUẦN 3</t>
  </si>
  <si>
    <t>1 bill công nợ anh Dũng</t>
  </si>
  <si>
    <t>TUẦN 4</t>
  </si>
  <si>
    <t xml:space="preserve">1 bill công  nơ Chú Chất </t>
  </si>
  <si>
    <t>1 bill công nợ anh Hoài Nam,        1 bill công nợ anh Phan Thành</t>
  </si>
  <si>
    <t>TUẦN 5</t>
  </si>
  <si>
    <t>TỔNG THÁNG</t>
  </si>
  <si>
    <t>IZAKAYA- HIBACHI
BÁO CÁO DOANH THU THÁNG 4 NĂM 2024</t>
  </si>
  <si>
    <t>1 bill công nợ Chú Chất, 1 bill công nợ anh Dũng</t>
  </si>
  <si>
    <t>1 bill công nợ Anh Dũng</t>
  </si>
  <si>
    <t>1 bill công nơ anh Bình Minh</t>
  </si>
  <si>
    <t>1 bill công nơ Chú Chất</t>
  </si>
  <si>
    <t>1 bill công nợ chú Chất</t>
  </si>
  <si>
    <t>1 bill công nợ anh Phan Thành 1 bill công nợ công ty Sài Gòn Cửu Long</t>
  </si>
  <si>
    <t>1 bill công nợ anh Phan Thành 1 bill công nơ anh Dũng</t>
  </si>
  <si>
    <t>SEI DINING LOUNGE
BÁO CÁO DOANH THU THÁNG 3 NĂM 2024</t>
  </si>
  <si>
    <t>1 bill công nơ anh Phan Thành</t>
  </si>
  <si>
    <t>1 bill công nơ anh Phan Hoàng</t>
  </si>
  <si>
    <t>1 bill công nơ anh Phan Thành, 1 bill công nơ anh Hoài Nam</t>
  </si>
  <si>
    <t>1 bill công nợ chú Chất, 1 bill công nơ anh Dũng</t>
  </si>
  <si>
    <t>1 bill công nợ chị Kim Cương</t>
  </si>
  <si>
    <t>1 bill công nợ anh Hoài Nam, 1 bill công nợ  của khách</t>
  </si>
  <si>
    <t>1 bill công nợ anh Toàn, 1 bill công nợ Ngân Hàng HSBC</t>
  </si>
  <si>
    <t xml:space="preserve">                                                          FUGU
                                                           BÁO CÁO DOANH THU THÁNG 01 NĂM 2025</t>
  </si>
  <si>
    <t>Hình Thức Thanh Toán</t>
  </si>
  <si>
    <t>1 Bill công nợ anh Thành</t>
  </si>
  <si>
    <t>Chủ Nhật</t>
  </si>
  <si>
    <t>1 Bill công nợ Chú Chất</t>
  </si>
  <si>
    <t>Thứ 8</t>
  </si>
  <si>
    <t>1 Bill công nợ anh Toàn</t>
  </si>
  <si>
    <t>1 Bill công nợ Anh Toàn</t>
  </si>
  <si>
    <t xml:space="preserve">                                                          FUGU
                                                           BÁO CÁO DOANH THU THÁNG 02 NĂM 2025</t>
  </si>
  <si>
    <t>1 Bill công nợ chú Chất</t>
  </si>
  <si>
    <t xml:space="preserve">                                                          FUGU
                                                           BÁO CÁO DOANH THU THÁNG 04 NĂM 2025</t>
  </si>
  <si>
    <t>1 bill công nợ anh Khánh
1 bill công nợ anh Hà
1 bill công nợ  Chú Chất</t>
  </si>
  <si>
    <t>1 bill công nợ anh Bình Minh</t>
  </si>
  <si>
    <t>1 Bill công nợ anh Hoàng
1 Bill công nợ chị Kim Cương</t>
  </si>
  <si>
    <t xml:space="preserve">Thứ 2 </t>
  </si>
  <si>
    <t>1 Bill công nợ anh Hùng</t>
  </si>
  <si>
    <t>1 Bill công nợ anh Hà</t>
  </si>
  <si>
    <t>2 bill công nợ chú Chất               1 bill công nợ anh Phúc (b a.Thành)                                      1 bill công nợ anh Hà (MB)</t>
  </si>
  <si>
    <t>1 bill công nợ anh Hùng (bạn anh Thành)</t>
  </si>
  <si>
    <t xml:space="preserve">                                                          FUGU
                                                           BÁO CÁO DOANH THU THÁNG 05 NĂM 2025</t>
  </si>
  <si>
    <t>.</t>
  </si>
  <si>
    <t>1 bill công nợ anh Hoàng</t>
  </si>
  <si>
    <t xml:space="preserve">Thứ 4 </t>
  </si>
  <si>
    <t>1 bill công nợ anh Linh</t>
  </si>
  <si>
    <t>1 bill công nợ chị Lin Đan</t>
  </si>
  <si>
    <t>1 Bill công nợ anh Dũng</t>
  </si>
  <si>
    <t xml:space="preserve">                                                          FUGU
                                                           BÁO CÁO DOANH THU THÁNG 06 NĂM 2025</t>
  </si>
  <si>
    <t>1  Bill công nợ anh Dân</t>
  </si>
  <si>
    <t xml:space="preserve">          </t>
  </si>
  <si>
    <t>1  Bill công nợ anh Hoài Nam</t>
  </si>
  <si>
    <t>1 Bill công nợ anh Hoài Nam</t>
  </si>
  <si>
    <t>1 Bill công nợ chị Kim Cương</t>
  </si>
  <si>
    <t>1 Bill công nợ anh Hoàng Hà</t>
  </si>
  <si>
    <t xml:space="preserve">                                                          FUGU
                                                           BÁO CÁO DOANH THU THÁNG 07 NĂM 2025</t>
  </si>
  <si>
    <t>1 bill công nợ anh Thành</t>
  </si>
  <si>
    <t>1 Bill công nợ anh Thiên Bình</t>
  </si>
  <si>
    <t>1 Bill công nợ anh Thiên Bình
1 Bill công nợ anh Bình Minh</t>
  </si>
  <si>
    <t>1  Bill công nợ anh Thành</t>
  </si>
  <si>
    <t>1  Bill công nợ anh Hùng
1  Bill công nợ anh Thiên Bình</t>
  </si>
  <si>
    <t>1 Bill công nợ anh Bình Minh
1 Bill công nợ anh Thiên Bình</t>
  </si>
  <si>
    <t>1 Bill công nợ anh Hà
1 Bill công nợ chú Chất</t>
  </si>
  <si>
    <t>1 Bill công nợ anh Bình Minh</t>
  </si>
  <si>
    <t xml:space="preserve">                                                          FUGU
                                                           BÁO CÁO DOANH THU THÁNG 08 NĂM 2025</t>
  </si>
  <si>
    <t>1 Bill công nợ anh Hà
1 Bill công nợ anh Hùng</t>
  </si>
  <si>
    <t xml:space="preserve">1 Bill công nợ anh Thành </t>
  </si>
  <si>
    <t>1 Bill công nợ anh Hà
1 Bill công nợ anh Minh</t>
  </si>
  <si>
    <t>1 Bill công nợ Anh Bình Minh</t>
  </si>
  <si>
    <t>1 Bill công nợ anh Tiến</t>
  </si>
  <si>
    <t>1 Bill công nợ anh Thành
1 Bill công nợ anh Hùng</t>
  </si>
  <si>
    <t xml:space="preserve">                                                          FUGU
                                                           BÁO CÁO DOANH THU THÁNG 09 NĂM 2025</t>
  </si>
  <si>
    <t>1 Bill công nợ anh Toàn ạ</t>
  </si>
  <si>
    <t xml:space="preserve">                                                          FUGU
                                                           BÁO CÁO DOANH THU THÁNG 10 NĂM 2025</t>
  </si>
  <si>
    <t>1 bill công nợ anh Thành         1 bill công nợ anh Toàn</t>
  </si>
  <si>
    <t xml:space="preserve">1 bill công nợ anh Toàn </t>
  </si>
  <si>
    <t xml:space="preserve">1 bill công nợ chú Chất               1 bill công nợ cô Trang </t>
  </si>
  <si>
    <t xml:space="preserve">1 bill công nợ anh Thành </t>
  </si>
  <si>
    <t xml:space="preserve">1 bill công nợ anh Hoàng Hà                1 bill công nợ chú Chất
</t>
  </si>
  <si>
    <t xml:space="preserve">1 bill công nợ anh Hoàng Hà
</t>
  </si>
  <si>
    <t>1 bill công nợ anh Thành         1 bill công nợ anh Vy</t>
  </si>
  <si>
    <t xml:space="preserve">1 bill công nợ anh Hoàng Hà    1bill công nợ chú Chất
</t>
  </si>
  <si>
    <t xml:space="preserve">                                                          FUGU
                                                           BÁO CÁO DOANH THU THÁNG 11 NĂM 2025</t>
  </si>
  <si>
    <t>1 bill công nợ chú Chất
1 bill công nợ chị Kim Cương</t>
  </si>
  <si>
    <t>2 bill công nợ anh Thành
1 bill công nợ tiệc The Google</t>
  </si>
  <si>
    <t>1 bill công nợ anh Hùng</t>
  </si>
  <si>
    <t>1 bill công nợ anh Toàn
1 bill công nợ anh Thành</t>
  </si>
  <si>
    <t>1 bill công nợ anh Bình Minh
1 bill công nợ anh Toàn</t>
  </si>
  <si>
    <t>1 bill công nợ chú Chất
1 bill công nợ anh Bình Minh</t>
  </si>
  <si>
    <t>1 bill công nợ tiệc 25/11 c Linh</t>
  </si>
  <si>
    <t xml:space="preserve">                                                          FUGU
                                                           BÁO CÁO DOANH THU THÁNG 12 NĂM 2025</t>
  </si>
  <si>
    <t>1 bill cong no chu Chat
1 bill cong no anh Hung</t>
  </si>
  <si>
    <t>1 bill công nợ anh Toàn</t>
  </si>
  <si>
    <t>1 bill công nợ anh Thành
1 bill công nợ anh Hùng</t>
  </si>
  <si>
    <t xml:space="preserve"> </t>
  </si>
  <si>
    <t>1 bill công nợ chú Chẩt</t>
  </si>
  <si>
    <t>1 bill công nợ anh Chính</t>
  </si>
  <si>
    <t>1 bill công nợ anh Hùng
1 bill công nợ anh Bình Minh
1 bill công nợ chú Chất</t>
  </si>
  <si>
    <t xml:space="preserve">                                                          FUGU
                                                           BÁO CÁO DOANH THU THÁNG 1 NĂM 2026</t>
  </si>
  <si>
    <t>1 bill công nợ anh Bình Minh
1 bill công nợ anh Thành</t>
  </si>
  <si>
    <t>1 bill công nợ tiệc chị Yến</t>
  </si>
  <si>
    <t>2 bill công nợ tiệc 16/1</t>
  </si>
  <si>
    <t>1 bill công nợ anh Bình Minh
1 bill công nợ tiệc 24/1</t>
  </si>
  <si>
    <t>1 bill công nợ anh Bình Minh
1 bill công nợ anh Thiên Bình</t>
  </si>
  <si>
    <t xml:space="preserve">                                                          FUGU
                                                           BÁO CÁO DOANH THU THÁNG 2 NĂM 2026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</si>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</sst>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10000]d/m/yyyy"/>
    <numFmt numFmtId="166" formatCode="_(* #,##0_);_(* \(#,##0\);_(* &quot;-&quot;??_);_(@_)"/>
    <numFmt numFmtId="167" formatCode="[$-1010000]d/m/yyyy;@"/>
  </numFmts>
  <fonts count="27" x14ac:knownFonts="1">
    <font>
      <sz val="11"/>
      <color theme="1"/>
      <name val="Calibri"/>
      <scheme val="minor"/>
    </font>
    <font>
      <b/>
      <sz val="26"/>
      <color theme="1"/>
      <name val="Arial"/>
      <family val="2"/>
    </font>
    <font>
      <sz val="11"/>
      <name val="Calibri"/>
      <family val="2"/>
    </font>
    <font>
      <sz val="20"/>
      <color theme="1"/>
      <name val="Arial"/>
      <family val="2"/>
    </font>
    <font>
      <b/>
      <sz val="20"/>
      <color theme="0"/>
      <name val="Arial"/>
      <family val="2"/>
    </font>
    <font>
      <b/>
      <sz val="22"/>
      <color theme="0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sz val="36"/>
      <color theme="1"/>
      <name val="Calibri"/>
      <family val="2"/>
    </font>
    <font>
      <b/>
      <sz val="36"/>
      <color theme="0"/>
      <name val="Arial"/>
      <family val="2"/>
    </font>
    <font>
      <sz val="26"/>
      <color theme="1"/>
      <name val="Arial"/>
      <family val="2"/>
    </font>
    <font>
      <sz val="26"/>
      <color theme="1"/>
      <name val="Calibri"/>
      <family val="2"/>
    </font>
    <font>
      <b/>
      <sz val="26"/>
      <color theme="0"/>
      <name val="Arial"/>
      <family val="2"/>
    </font>
    <font>
      <sz val="28"/>
      <color theme="1"/>
      <name val="Arial"/>
      <family val="2"/>
    </font>
    <font>
      <sz val="34"/>
      <color theme="1"/>
      <name val="Arial"/>
      <family val="2"/>
    </font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b/>
      <sz val="36"/>
      <color theme="0"/>
      <name val="Arial"/>
      <family val="2"/>
    </font>
    <font>
      <sz val="34"/>
      <color theme="1"/>
      <name val="Arial"/>
      <family val="2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60000"/>
        <bgColor rgb="FF860000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960000"/>
        <bgColor rgb="FF960000"/>
      </patternFill>
    </fill>
    <fill>
      <patternFill patternType="solid">
        <fgColor rgb="FFC00000"/>
        <bgColor rgb="FFC00000"/>
      </patternFill>
    </fill>
    <fill>
      <patternFill patternType="solid">
        <fgColor rgb="FFC00000"/>
        <bgColor theme="0"/>
      </patternFill>
    </fill>
    <fill>
      <patternFill patternType="solid">
        <fgColor rgb="FFC00000"/>
        <bgColor rgb="FF002060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7" fillId="0" borderId="0" applyFont="0" applyFill="0" applyBorder="0" applyAlignment="0" applyProtection="0"/>
  </cellStyleXfs>
  <cellXfs count="20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166" fontId="4" fillId="4" borderId="18" xfId="0" applyNumberFormat="1" applyFont="1" applyFill="1" applyBorder="1" applyAlignment="1">
      <alignment horizontal="right" vertical="center"/>
    </xf>
    <xf numFmtId="166" fontId="5" fillId="4" borderId="18" xfId="0" applyNumberFormat="1" applyFont="1" applyFill="1" applyBorder="1" applyAlignment="1">
      <alignment horizontal="right" vertical="center"/>
    </xf>
    <xf numFmtId="166" fontId="4" fillId="3" borderId="18" xfId="0" applyNumberFormat="1" applyFont="1" applyFill="1" applyBorder="1" applyAlignment="1">
      <alignment horizontal="center" vertical="center"/>
    </xf>
    <xf numFmtId="166" fontId="4" fillId="3" borderId="18" xfId="0" applyNumberFormat="1" applyFont="1" applyFill="1" applyBorder="1" applyAlignment="1">
      <alignment horizontal="center" vertical="center" wrapText="1"/>
    </xf>
    <xf numFmtId="166" fontId="6" fillId="6" borderId="18" xfId="0" applyNumberFormat="1" applyFont="1" applyFill="1" applyBorder="1" applyAlignment="1">
      <alignment horizontal="right" vertical="center"/>
    </xf>
    <xf numFmtId="3" fontId="3" fillId="6" borderId="18" xfId="0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left" vertical="center"/>
    </xf>
    <xf numFmtId="3" fontId="3" fillId="0" borderId="18" xfId="0" applyNumberFormat="1" applyFont="1" applyBorder="1" applyAlignment="1">
      <alignment horizontal="right"/>
    </xf>
    <xf numFmtId="3" fontId="3" fillId="0" borderId="18" xfId="0" applyNumberFormat="1" applyFont="1" applyBorder="1"/>
    <xf numFmtId="3" fontId="3" fillId="0" borderId="18" xfId="0" applyNumberFormat="1" applyFont="1" applyBorder="1" applyAlignment="1">
      <alignment horizontal="center"/>
    </xf>
    <xf numFmtId="0" fontId="3" fillId="0" borderId="11" xfId="0" applyFont="1" applyBorder="1" applyAlignment="1">
      <alignment horizontal="right" vertical="center"/>
    </xf>
    <xf numFmtId="3" fontId="6" fillId="6" borderId="18" xfId="0" applyNumberFormat="1" applyFont="1" applyFill="1" applyBorder="1" applyAlignment="1">
      <alignment horizontal="right"/>
    </xf>
    <xf numFmtId="3" fontId="4" fillId="8" borderId="18" xfId="0" applyNumberFormat="1" applyFont="1" applyFill="1" applyBorder="1" applyAlignment="1">
      <alignment horizontal="right" vertical="center"/>
    </xf>
    <xf numFmtId="0" fontId="3" fillId="0" borderId="7" xfId="0" applyFont="1" applyBorder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/>
    <xf numFmtId="166" fontId="11" fillId="4" borderId="18" xfId="0" applyNumberFormat="1" applyFont="1" applyFill="1" applyBorder="1" applyAlignment="1">
      <alignment horizontal="right" vertical="center"/>
    </xf>
    <xf numFmtId="166" fontId="11" fillId="3" borderId="18" xfId="0" applyNumberFormat="1" applyFont="1" applyFill="1" applyBorder="1" applyAlignment="1">
      <alignment horizontal="center" vertical="center" wrapText="1"/>
    </xf>
    <xf numFmtId="166" fontId="11" fillId="3" borderId="18" xfId="0" applyNumberFormat="1" applyFont="1" applyFill="1" applyBorder="1" applyAlignment="1">
      <alignment horizontal="center" vertical="center"/>
    </xf>
    <xf numFmtId="166" fontId="8" fillId="6" borderId="18" xfId="0" applyNumberFormat="1" applyFont="1" applyFill="1" applyBorder="1" applyAlignment="1">
      <alignment horizontal="right" vertical="center"/>
    </xf>
    <xf numFmtId="0" fontId="9" fillId="0" borderId="21" xfId="0" applyFont="1" applyBorder="1" applyAlignment="1">
      <alignment horizontal="left" vertical="center"/>
    </xf>
    <xf numFmtId="3" fontId="9" fillId="0" borderId="18" xfId="0" applyNumberFormat="1" applyFont="1" applyBorder="1"/>
    <xf numFmtId="3" fontId="9" fillId="0" borderId="18" xfId="0" applyNumberFormat="1" applyFont="1" applyBorder="1" applyAlignment="1">
      <alignment horizontal="right"/>
    </xf>
    <xf numFmtId="0" fontId="9" fillId="0" borderId="11" xfId="0" applyFont="1" applyBorder="1" applyAlignment="1">
      <alignment horizontal="right" vertical="center"/>
    </xf>
    <xf numFmtId="3" fontId="9" fillId="6" borderId="18" xfId="0" applyNumberFormat="1" applyFont="1" applyFill="1" applyBorder="1" applyAlignment="1">
      <alignment horizontal="center"/>
    </xf>
    <xf numFmtId="3" fontId="11" fillId="8" borderId="18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166" fontId="14" fillId="4" borderId="18" xfId="0" applyNumberFormat="1" applyFont="1" applyFill="1" applyBorder="1" applyAlignment="1">
      <alignment horizontal="right" vertical="center"/>
    </xf>
    <xf numFmtId="166" fontId="14" fillId="3" borderId="18" xfId="0" applyNumberFormat="1" applyFont="1" applyFill="1" applyBorder="1" applyAlignment="1">
      <alignment horizontal="center" vertical="center"/>
    </xf>
    <xf numFmtId="166" fontId="14" fillId="3" borderId="18" xfId="0" applyNumberFormat="1" applyFont="1" applyFill="1" applyBorder="1" applyAlignment="1">
      <alignment horizontal="center" vertical="center" wrapText="1"/>
    </xf>
    <xf numFmtId="166" fontId="1" fillId="6" borderId="18" xfId="0" applyNumberFormat="1" applyFont="1" applyFill="1" applyBorder="1" applyAlignment="1">
      <alignment horizontal="right" vertical="center"/>
    </xf>
    <xf numFmtId="3" fontId="12" fillId="6" borderId="18" xfId="0" applyNumberFormat="1" applyFont="1" applyFill="1" applyBorder="1" applyAlignment="1">
      <alignment horizontal="center"/>
    </xf>
    <xf numFmtId="0" fontId="12" fillId="0" borderId="21" xfId="0" applyFont="1" applyBorder="1" applyAlignment="1">
      <alignment horizontal="left" vertical="center"/>
    </xf>
    <xf numFmtId="3" fontId="12" fillId="0" borderId="18" xfId="0" applyNumberFormat="1" applyFont="1" applyBorder="1" applyAlignment="1">
      <alignment horizontal="right"/>
    </xf>
    <xf numFmtId="3" fontId="12" fillId="0" borderId="18" xfId="0" applyNumberFormat="1" applyFont="1" applyBorder="1"/>
    <xf numFmtId="3" fontId="12" fillId="0" borderId="18" xfId="0" applyNumberFormat="1" applyFont="1" applyBorder="1" applyAlignment="1">
      <alignment horizontal="center"/>
    </xf>
    <xf numFmtId="0" fontId="12" fillId="0" borderId="11" xfId="0" applyFont="1" applyBorder="1" applyAlignment="1">
      <alignment horizontal="right" vertical="center"/>
    </xf>
    <xf numFmtId="3" fontId="14" fillId="8" borderId="18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/>
    </xf>
    <xf numFmtId="0" fontId="8" fillId="2" borderId="18" xfId="0" applyFont="1" applyFill="1" applyBorder="1" applyAlignment="1">
      <alignment horizontal="center" vertical="center" wrapText="1"/>
    </xf>
    <xf numFmtId="166" fontId="11" fillId="9" borderId="18" xfId="0" applyNumberFormat="1" applyFont="1" applyFill="1" applyBorder="1" applyAlignment="1">
      <alignment horizontal="right" vertical="center"/>
    </xf>
    <xf numFmtId="0" fontId="18" fillId="2" borderId="36" xfId="0" applyFont="1" applyFill="1" applyBorder="1" applyAlignment="1">
      <alignment horizontal="center" vertical="center" wrapText="1"/>
    </xf>
    <xf numFmtId="166" fontId="20" fillId="11" borderId="36" xfId="1" applyNumberFormat="1" applyFont="1" applyFill="1" applyBorder="1" applyAlignment="1">
      <alignment horizontal="right" vertical="center"/>
    </xf>
    <xf numFmtId="166" fontId="20" fillId="11" borderId="36" xfId="0" applyNumberFormat="1" applyFont="1" applyFill="1" applyBorder="1" applyAlignment="1">
      <alignment horizontal="right" vertical="center"/>
    </xf>
    <xf numFmtId="166" fontId="18" fillId="6" borderId="36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right"/>
    </xf>
    <xf numFmtId="3" fontId="20" fillId="8" borderId="36" xfId="1" applyNumberFormat="1" applyFont="1" applyFill="1" applyBorder="1" applyAlignment="1">
      <alignment horizontal="right" vertical="center"/>
    </xf>
    <xf numFmtId="166" fontId="18" fillId="6" borderId="36" xfId="0" applyNumberFormat="1" applyFont="1" applyFill="1" applyBorder="1" applyAlignment="1">
      <alignment horizontal="left" vertical="center"/>
    </xf>
    <xf numFmtId="3" fontId="20" fillId="8" borderId="36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6" fontId="11" fillId="11" borderId="36" xfId="1" applyNumberFormat="1" applyFont="1" applyFill="1" applyBorder="1" applyAlignment="1">
      <alignment horizontal="right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right" vertical="center"/>
    </xf>
    <xf numFmtId="0" fontId="2" fillId="0" borderId="16" xfId="0" applyFont="1" applyBorder="1"/>
    <xf numFmtId="0" fontId="4" fillId="8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3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3" fillId="7" borderId="2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24" xfId="0" applyFont="1" applyBorder="1"/>
    <xf numFmtId="0" fontId="2" fillId="0" borderId="25" xfId="0" applyFont="1" applyBorder="1"/>
    <xf numFmtId="0" fontId="0" fillId="0" borderId="0" xfId="0"/>
    <xf numFmtId="0" fontId="2" fillId="0" borderId="26" xfId="0" applyFont="1" applyBorder="1"/>
    <xf numFmtId="0" fontId="2" fillId="0" borderId="21" xfId="0" applyFont="1" applyBorder="1"/>
    <xf numFmtId="0" fontId="2" fillId="0" borderId="7" xfId="0" applyFont="1" applyBorder="1"/>
    <xf numFmtId="0" fontId="2" fillId="0" borderId="27" xfId="0" applyFont="1" applyBorder="1"/>
    <xf numFmtId="0" fontId="2" fillId="0" borderId="20" xfId="0" applyFont="1" applyBorder="1"/>
    <xf numFmtId="3" fontId="3" fillId="0" borderId="9" xfId="0" applyNumberFormat="1" applyFont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6" fontId="4" fillId="5" borderId="9" xfId="0" applyNumberFormat="1" applyFont="1" applyFill="1" applyBorder="1" applyAlignment="1">
      <alignment horizontal="right" vertical="center" wrapText="1"/>
    </xf>
    <xf numFmtId="166" fontId="4" fillId="5" borderId="9" xfId="0" applyNumberFormat="1" applyFont="1" applyFill="1" applyBorder="1" applyAlignment="1">
      <alignment horizontal="right" vertical="center"/>
    </xf>
    <xf numFmtId="166" fontId="4" fillId="4" borderId="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7" xfId="0" applyFont="1" applyBorder="1"/>
    <xf numFmtId="166" fontId="4" fillId="3" borderId="9" xfId="0" applyNumberFormat="1" applyFont="1" applyFill="1" applyBorder="1" applyAlignment="1">
      <alignment horizontal="center" vertical="center" wrapText="1"/>
    </xf>
    <xf numFmtId="166" fontId="4" fillId="3" borderId="14" xfId="0" applyNumberFormat="1" applyFont="1" applyFill="1" applyBorder="1" applyAlignment="1">
      <alignment horizontal="right" vertical="center" wrapText="1"/>
    </xf>
    <xf numFmtId="0" fontId="2" fillId="0" borderId="19" xfId="0" applyFont="1" applyBorder="1"/>
    <xf numFmtId="165" fontId="4" fillId="3" borderId="9" xfId="0" applyNumberFormat="1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3" fontId="9" fillId="0" borderId="9" xfId="0" applyNumberFormat="1" applyFont="1" applyBorder="1" applyAlignment="1">
      <alignment horizontal="right" vertical="center"/>
    </xf>
    <xf numFmtId="3" fontId="9" fillId="0" borderId="9" xfId="0" applyNumberFormat="1" applyFont="1" applyBorder="1" applyAlignment="1">
      <alignment horizontal="center" vertical="center" wrapText="1"/>
    </xf>
    <xf numFmtId="165" fontId="9" fillId="0" borderId="9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166" fontId="11" fillId="5" borderId="9" xfId="0" applyNumberFormat="1" applyFont="1" applyFill="1" applyBorder="1" applyAlignment="1">
      <alignment horizontal="center" vertical="center" wrapText="1"/>
    </xf>
    <xf numFmtId="166" fontId="11" fillId="5" borderId="9" xfId="0" applyNumberFormat="1" applyFont="1" applyFill="1" applyBorder="1" applyAlignment="1">
      <alignment horizontal="right" vertical="center"/>
    </xf>
    <xf numFmtId="166" fontId="11" fillId="4" borderId="9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166" fontId="11" fillId="3" borderId="9" xfId="0" applyNumberFormat="1" applyFont="1" applyFill="1" applyBorder="1" applyAlignment="1">
      <alignment horizontal="center" vertical="center" wrapText="1"/>
    </xf>
    <xf numFmtId="166" fontId="11" fillId="3" borderId="14" xfId="0" applyNumberFormat="1" applyFont="1" applyFill="1" applyBorder="1" applyAlignment="1">
      <alignment horizontal="center" vertical="center" wrapText="1"/>
    </xf>
    <xf numFmtId="165" fontId="11" fillId="3" borderId="9" xfId="0" applyNumberFormat="1" applyFont="1" applyFill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right" vertical="center"/>
    </xf>
    <xf numFmtId="0" fontId="14" fillId="8" borderId="11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66" fontId="14" fillId="5" borderId="9" xfId="0" applyNumberFormat="1" applyFont="1" applyFill="1" applyBorder="1" applyAlignment="1">
      <alignment horizontal="right" vertical="center" wrapText="1"/>
    </xf>
    <xf numFmtId="166" fontId="14" fillId="5" borderId="9" xfId="0" applyNumberFormat="1" applyFont="1" applyFill="1" applyBorder="1" applyAlignment="1">
      <alignment horizontal="right" vertical="center"/>
    </xf>
    <xf numFmtId="166" fontId="14" fillId="4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166" fontId="14" fillId="3" borderId="9" xfId="0" applyNumberFormat="1" applyFont="1" applyFill="1" applyBorder="1" applyAlignment="1">
      <alignment horizontal="center" vertical="center" wrapText="1"/>
    </xf>
    <xf numFmtId="166" fontId="14" fillId="3" borderId="14" xfId="0" applyNumberFormat="1" applyFont="1" applyFill="1" applyBorder="1" applyAlignment="1">
      <alignment horizontal="right" vertical="center" wrapText="1"/>
    </xf>
    <xf numFmtId="165" fontId="14" fillId="3" borderId="9" xfId="0" applyNumberFormat="1" applyFont="1" applyFill="1" applyBorder="1" applyAlignment="1">
      <alignment horizontal="center" vertical="center"/>
    </xf>
    <xf numFmtId="3" fontId="9" fillId="0" borderId="9" xfId="0" applyNumberFormat="1" applyFont="1" applyBorder="1" applyAlignment="1">
      <alignment horizontal="left" vertical="top" wrapText="1"/>
    </xf>
    <xf numFmtId="3" fontId="9" fillId="0" borderId="9" xfId="0" applyNumberFormat="1" applyFont="1" applyBorder="1" applyAlignment="1">
      <alignment horizontal="left" vertical="center"/>
    </xf>
    <xf numFmtId="3" fontId="15" fillId="0" borderId="9" xfId="0" applyNumberFormat="1" applyFont="1" applyBorder="1" applyAlignment="1">
      <alignment horizontal="left" vertical="center" wrapText="1"/>
    </xf>
    <xf numFmtId="0" fontId="11" fillId="3" borderId="11" xfId="0" applyFont="1" applyFill="1" applyBorder="1" applyAlignment="1">
      <alignment horizontal="center" vertical="center"/>
    </xf>
    <xf numFmtId="166" fontId="11" fillId="5" borderId="9" xfId="0" applyNumberFormat="1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35" xfId="0" applyFont="1" applyBorder="1"/>
    <xf numFmtId="0" fontId="11" fillId="9" borderId="11" xfId="0" applyFont="1" applyFill="1" applyBorder="1" applyAlignment="1">
      <alignment horizontal="center" vertical="center" wrapText="1"/>
    </xf>
    <xf numFmtId="166" fontId="11" fillId="9" borderId="9" xfId="0" applyNumberFormat="1" applyFont="1" applyFill="1" applyBorder="1" applyAlignment="1">
      <alignment horizontal="center" vertical="center"/>
    </xf>
    <xf numFmtId="3" fontId="9" fillId="0" borderId="9" xfId="0" applyNumberFormat="1" applyFont="1" applyBorder="1" applyAlignment="1">
      <alignment horizontal="left" vertical="center" wrapText="1"/>
    </xf>
    <xf numFmtId="3" fontId="16" fillId="0" borderId="9" xfId="0" applyNumberFormat="1" applyFont="1" applyBorder="1" applyAlignment="1">
      <alignment horizontal="left" vertical="center" wrapText="1"/>
    </xf>
    <xf numFmtId="0" fontId="20" fillId="8" borderId="36" xfId="0" applyFont="1" applyFill="1" applyBorder="1" applyAlignment="1">
      <alignment horizontal="center" vertical="center"/>
    </xf>
    <xf numFmtId="3" fontId="19" fillId="0" borderId="37" xfId="0" applyNumberFormat="1" applyFont="1" applyBorder="1" applyAlignment="1">
      <alignment horizontal="right" vertical="center"/>
    </xf>
    <xf numFmtId="3" fontId="19" fillId="0" borderId="38" xfId="0" applyNumberFormat="1" applyFont="1" applyBorder="1" applyAlignment="1">
      <alignment horizontal="right" vertical="center"/>
    </xf>
    <xf numFmtId="3" fontId="19" fillId="0" borderId="36" xfId="0" applyNumberFormat="1" applyFont="1" applyBorder="1" applyAlignment="1">
      <alignment horizontal="right" vertical="center"/>
    </xf>
    <xf numFmtId="167" fontId="19" fillId="0" borderId="36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3" fontId="19" fillId="0" borderId="36" xfId="0" applyNumberFormat="1" applyFont="1" applyBorder="1" applyAlignment="1">
      <alignment horizontal="left" vertical="center" wrapText="1"/>
    </xf>
    <xf numFmtId="3" fontId="19" fillId="0" borderId="36" xfId="0" applyNumberFormat="1" applyFont="1" applyBorder="1" applyAlignment="1">
      <alignment horizontal="left" vertical="center"/>
    </xf>
    <xf numFmtId="3" fontId="9" fillId="0" borderId="36" xfId="0" applyNumberFormat="1" applyFont="1" applyBorder="1" applyAlignment="1">
      <alignment horizontal="left" vertical="center" wrapText="1"/>
    </xf>
    <xf numFmtId="3" fontId="9" fillId="0" borderId="36" xfId="0" applyNumberFormat="1" applyFont="1" applyBorder="1" applyAlignment="1">
      <alignment horizontal="left" vertical="center"/>
    </xf>
    <xf numFmtId="3" fontId="19" fillId="0" borderId="36" xfId="0" applyNumberFormat="1" applyFont="1" applyBorder="1" applyAlignment="1">
      <alignment horizontal="left" vertical="top" wrapText="1"/>
    </xf>
    <xf numFmtId="3" fontId="19" fillId="0" borderId="36" xfId="0" applyNumberFormat="1" applyFont="1" applyBorder="1" applyAlignment="1">
      <alignment horizontal="left" vertical="top"/>
    </xf>
    <xf numFmtId="0" fontId="18" fillId="6" borderId="36" xfId="0" applyFont="1" applyFill="1" applyBorder="1" applyAlignment="1">
      <alignment horizontal="center" vertical="center"/>
    </xf>
    <xf numFmtId="167" fontId="9" fillId="0" borderId="36" xfId="0" applyNumberFormat="1" applyFont="1" applyBorder="1" applyAlignment="1">
      <alignment horizontal="center" vertical="center"/>
    </xf>
    <xf numFmtId="3" fontId="9" fillId="0" borderId="36" xfId="0" applyNumberFormat="1" applyFont="1" applyBorder="1" applyAlignment="1">
      <alignment horizontal="right" vertical="center"/>
    </xf>
    <xf numFmtId="3" fontId="9" fillId="0" borderId="36" xfId="0" applyNumberFormat="1" applyFont="1" applyBorder="1" applyAlignment="1">
      <alignment horizontal="left" vertical="top" wrapText="1"/>
    </xf>
    <xf numFmtId="0" fontId="8" fillId="2" borderId="39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 wrapText="1"/>
    </xf>
    <xf numFmtId="167" fontId="20" fillId="3" borderId="36" xfId="0" applyNumberFormat="1" applyFont="1" applyFill="1" applyBorder="1" applyAlignment="1">
      <alignment horizontal="center" vertical="center"/>
    </xf>
    <xf numFmtId="0" fontId="20" fillId="10" borderId="36" xfId="0" applyFont="1" applyFill="1" applyBorder="1" applyAlignment="1">
      <alignment horizontal="center" vertical="center" wrapText="1"/>
    </xf>
    <xf numFmtId="166" fontId="20" fillId="3" borderId="36" xfId="1" applyNumberFormat="1" applyFont="1" applyFill="1" applyBorder="1" applyAlignment="1">
      <alignment horizontal="center" vertical="center" wrapText="1"/>
    </xf>
    <xf numFmtId="166" fontId="20" fillId="3" borderId="36" xfId="0" applyNumberFormat="1" applyFont="1" applyFill="1" applyBorder="1" applyAlignment="1">
      <alignment horizontal="center" vertical="center" wrapText="1"/>
    </xf>
    <xf numFmtId="166" fontId="20" fillId="5" borderId="36" xfId="0" applyNumberFormat="1" applyFont="1" applyFill="1" applyBorder="1" applyAlignment="1">
      <alignment horizontal="center" vertical="center" wrapText="1"/>
    </xf>
    <xf numFmtId="166" fontId="20" fillId="5" borderId="36" xfId="0" applyNumberFormat="1" applyFont="1" applyFill="1" applyBorder="1" applyAlignment="1">
      <alignment horizontal="center" vertical="center"/>
    </xf>
    <xf numFmtId="166" fontId="20" fillId="11" borderId="36" xfId="0" applyNumberFormat="1" applyFont="1" applyFill="1" applyBorder="1" applyAlignment="1">
      <alignment horizontal="left" vertical="center"/>
    </xf>
    <xf numFmtId="0" fontId="20" fillId="3" borderId="36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3" fontId="9" fillId="0" borderId="37" xfId="0" applyNumberFormat="1" applyFont="1" applyBorder="1" applyAlignment="1">
      <alignment horizontal="left" vertical="center" wrapText="1"/>
    </xf>
    <xf numFmtId="3" fontId="9" fillId="0" borderId="38" xfId="0" applyNumberFormat="1" applyFont="1" applyBorder="1" applyAlignment="1">
      <alignment horizontal="left" vertical="center" wrapText="1"/>
    </xf>
    <xf numFmtId="167" fontId="19" fillId="0" borderId="37" xfId="0" applyNumberFormat="1" applyFont="1" applyBorder="1" applyAlignment="1">
      <alignment horizontal="center" vertical="center"/>
    </xf>
    <xf numFmtId="167" fontId="19" fillId="0" borderId="38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8" fillId="6" borderId="36" xfId="0" applyFont="1" applyFill="1" applyBorder="1" applyAlignment="1">
      <alignment horizontal="center" vertical="center"/>
    </xf>
    <xf numFmtId="3" fontId="19" fillId="0" borderId="37" xfId="0" applyNumberFormat="1" applyFont="1" applyBorder="1" applyAlignment="1">
      <alignment horizontal="left" vertical="top" wrapText="1"/>
    </xf>
    <xf numFmtId="3" fontId="19" fillId="0" borderId="38" xfId="0" applyNumberFormat="1" applyFont="1" applyBorder="1" applyAlignment="1">
      <alignment horizontal="left" vertical="top" wrapText="1"/>
    </xf>
    <xf numFmtId="3" fontId="9" fillId="0" borderId="9" xfId="0" applyNumberFormat="1" applyFont="1" applyBorder="1" applyAlignment="1">
      <alignment horizontal="right" vertical="center" wrapText="1"/>
    </xf>
    <xf numFmtId="0" fontId="19" fillId="0" borderId="36" xfId="0" applyFont="1" applyBorder="1" applyAlignment="1">
      <alignment horizontal="center" vertical="center"/>
    </xf>
    <xf numFmtId="3" fontId="21" fillId="0" borderId="36" xfId="0" applyNumberFormat="1" applyFont="1" applyBorder="1" applyAlignment="1">
      <alignment horizontal="left" vertical="center" wrapText="1"/>
    </xf>
    <xf numFmtId="3" fontId="21" fillId="0" borderId="36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962025</xdr:colOff>
      <xdr:row>17</xdr:row>
      <xdr:rowOff>0</xdr:rowOff>
    </xdr:from>
    <xdr:ext cx="9877425" cy="4695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410387" y="1435724"/>
          <a:ext cx="9871226" cy="468855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6</xdr:col>
      <xdr:colOff>847725</xdr:colOff>
      <xdr:row>66</xdr:row>
      <xdr:rowOff>66675</xdr:rowOff>
    </xdr:from>
    <xdr:ext cx="165430200" cy="3028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2268696"/>
          <a:ext cx="10692000" cy="30226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2</xdr:col>
      <xdr:colOff>847725</xdr:colOff>
      <xdr:row>24</xdr:row>
      <xdr:rowOff>0</xdr:rowOff>
    </xdr:from>
    <xdr:ext cx="27346275" cy="12668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151350"/>
          <a:ext cx="10692000" cy="12573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Tết Nguyên Đán</a:t>
          </a:r>
          <a:endParaRPr sz="1400"/>
        </a:p>
      </xdr:txBody>
    </xdr:sp>
    <xdr:clientData fLocksWithSheet="0"/>
  </xdr:oneCellAnchor>
  <xdr:oneCellAnchor>
    <xdr:from>
      <xdr:col>0</xdr:col>
      <xdr:colOff>676275</xdr:colOff>
      <xdr:row>0</xdr:row>
      <xdr:rowOff>0</xdr:rowOff>
    </xdr:from>
    <xdr:ext cx="2705100" cy="2000250"/>
    <xdr:pic>
      <xdr:nvPicPr>
        <xdr:cNvPr id="2" name="image1.png" descr="SEI Dining Lounge Tuyển dụng 34017 - Hoteljob.v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800100</xdr:colOff>
      <xdr:row>0</xdr:row>
      <xdr:rowOff>9525</xdr:rowOff>
    </xdr:from>
    <xdr:ext cx="17383125" cy="3048000"/>
    <xdr:pic>
      <xdr:nvPicPr>
        <xdr:cNvPr id="2" name="image2.png" descr="SEI Dining Lounge Tuyển dụng 34017 - Hoteljob.v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69625" cy="4733925"/>
    <xdr:pic>
      <xdr:nvPicPr>
        <xdr:cNvPr id="2" name="image3.jpg" descr="z5437992640905_a1905655b0b961d4e969d683d74b29b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6619875" cy="4733925"/>
    <xdr:pic>
      <xdr:nvPicPr>
        <xdr:cNvPr id="2" name="image3.jpg" descr="z5437992640905_a1905655b0b961d4e969d683d74b29b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1448537</xdr:colOff>
      <xdr:row>1</xdr:row>
      <xdr:rowOff>27889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69CE193D-8E86-44A9-9805-A3E4900E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906737" cy="39902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876299</xdr:colOff>
      <xdr:row>1</xdr:row>
      <xdr:rowOff>21495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D0D9E7BC-8BE4-4821-9A7E-7C10A879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5786437" cy="34457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3</xdr:col>
      <xdr:colOff>0</xdr:colOff>
      <xdr:row>1</xdr:row>
      <xdr:rowOff>26257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710397DA-C518-4044-8B29-7F2F813CD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8610600" cy="49792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76201</xdr:rowOff>
    </xdr:from>
    <xdr:to>
      <xdr:col>3</xdr:col>
      <xdr:colOff>0</xdr:colOff>
      <xdr:row>1</xdr:row>
      <xdr:rowOff>0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17D81557-68FC-4A65-AAA9-52A278021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1"/>
          <a:ext cx="8610600" cy="49529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76201</xdr:rowOff>
    </xdr:from>
    <xdr:to>
      <xdr:col>2</xdr:col>
      <xdr:colOff>2781300</xdr:colOff>
      <xdr:row>1</xdr:row>
      <xdr:rowOff>43096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77A6B73A-05D0-45BB-90E9-57E80FFED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1"/>
          <a:ext cx="7620000" cy="33577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76201</xdr:rowOff>
    </xdr:from>
    <xdr:to>
      <xdr:col>7</xdr:col>
      <xdr:colOff>2781300</xdr:colOff>
      <xdr:row>1</xdr:row>
      <xdr:rowOff>38100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A89A5457-EF95-4E04-AD02-41A6A26A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1"/>
          <a:ext cx="7620000" cy="33527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4677685</xdr:colOff>
      <xdr:row>1</xdr:row>
      <xdr:rowOff>27889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CC34E285-CDF6-4BFE-B4DB-B51C4AC9F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559541" cy="398076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4654166</xdr:colOff>
      <xdr:row>1</xdr:row>
      <xdr:rowOff>27889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2B012246-2855-4834-A002-5F996CE7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557466" cy="398076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4652091</xdr:colOff>
      <xdr:row>1</xdr:row>
      <xdr:rowOff>27889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CB883295-4F5E-4603-9424-AA4555C5D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577188" cy="398076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4401800" cy="4733925"/>
    <xdr:pic>
      <xdr:nvPicPr>
        <xdr:cNvPr id="2" name="image3.jpg" descr="z5437992640905_a1905655b0b961d4e969d683d74b29b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14401800" cy="473392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3695273</xdr:colOff>
      <xdr:row>1</xdr:row>
      <xdr:rowOff>27889</xdr:rowOff>
    </xdr:to>
    <xdr:pic>
      <xdr:nvPicPr>
        <xdr:cNvPr id="2" name="Picture 1" descr="z5437992640905_a1905655b0b961d4e969d683d74b29ba">
          <a:extLst>
            <a:ext uri="{FF2B5EF4-FFF2-40B4-BE49-F238E27FC236}">
              <a16:creationId xmlns:a16="http://schemas.microsoft.com/office/drawing/2014/main" id="{F31C9665-BBE3-49C2-883F-7727F3A76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525000" cy="400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000"/>
  <sheetViews>
    <sheetView zoomScale="25" zoomScaleNormal="25" workbookViewId="0">
      <selection sqref="A1:P5"/>
    </sheetView>
  </sheetViews>
  <sheetFormatPr defaultColWidth="14.42578125" defaultRowHeight="15" customHeight="1" x14ac:dyDescent="0.25"/>
  <cols>
    <col min="1" max="2" width="23.42578125" customWidth="1"/>
    <col min="3" max="3" width="15.42578125" customWidth="1"/>
    <col min="4" max="4" width="25.42578125" hidden="1" customWidth="1"/>
    <col min="5" max="5" width="34.28515625" hidden="1" customWidth="1"/>
    <col min="6" max="6" width="28" hidden="1" customWidth="1"/>
    <col min="7" max="7" width="25.42578125" hidden="1" customWidth="1"/>
    <col min="8" max="8" width="34" hidden="1" customWidth="1"/>
    <col min="9" max="9" width="30.28515625" customWidth="1"/>
    <col min="10" max="10" width="32.28515625" customWidth="1"/>
    <col min="11" max="11" width="28.7109375" customWidth="1"/>
    <col min="12" max="12" width="26.28515625" customWidth="1"/>
    <col min="13" max="13" width="26.7109375" customWidth="1"/>
    <col min="14" max="14" width="21.7109375" customWidth="1"/>
    <col min="15" max="15" width="25.7109375" customWidth="1"/>
    <col min="16" max="16" width="18.42578125" customWidth="1"/>
    <col min="17" max="17" width="60.42578125" customWidth="1"/>
    <col min="18" max="258" width="9" customWidth="1"/>
  </cols>
  <sheetData>
    <row r="1" spans="1:258" x14ac:dyDescent="0.25">
      <c r="A1" s="94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5"/>
      <c r="Q1" s="100"/>
    </row>
    <row r="2" spans="1:258" x14ac:dyDescent="0.25">
      <c r="A2" s="9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97"/>
      <c r="Q2" s="82"/>
    </row>
    <row r="3" spans="1:258" x14ac:dyDescent="0.25">
      <c r="A3" s="96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97"/>
      <c r="Q3" s="82"/>
    </row>
    <row r="4" spans="1:258" ht="25.5" x14ac:dyDescent="0.35">
      <c r="A4" s="9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97"/>
      <c r="Q4" s="8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</row>
    <row r="5" spans="1:258" ht="81.75" customHeight="1" x14ac:dyDescent="0.35">
      <c r="A5" s="98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99"/>
      <c r="Q5" s="8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</row>
    <row r="6" spans="1:258" ht="49.5" customHeight="1" x14ac:dyDescent="0.35">
      <c r="A6" s="107" t="s">
        <v>1</v>
      </c>
      <c r="B6" s="101" t="s">
        <v>2</v>
      </c>
      <c r="C6" s="102" t="s">
        <v>3</v>
      </c>
      <c r="D6" s="89" t="s">
        <v>4</v>
      </c>
      <c r="E6" s="64"/>
      <c r="F6" s="64"/>
      <c r="G6" s="64"/>
      <c r="H6" s="65"/>
      <c r="I6" s="104" t="s">
        <v>5</v>
      </c>
      <c r="J6" s="105" t="s">
        <v>6</v>
      </c>
      <c r="K6" s="90" t="s">
        <v>7</v>
      </c>
      <c r="L6" s="64"/>
      <c r="M6" s="65"/>
      <c r="N6" s="91" t="s">
        <v>8</v>
      </c>
      <c r="O6" s="91" t="s">
        <v>9</v>
      </c>
      <c r="P6" s="92" t="s">
        <v>10</v>
      </c>
      <c r="Q6" s="93" t="s">
        <v>11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</row>
    <row r="7" spans="1:258" ht="86.25" customHeight="1" x14ac:dyDescent="0.35">
      <c r="A7" s="62"/>
      <c r="B7" s="62"/>
      <c r="C7" s="103"/>
      <c r="D7" s="3" t="s">
        <v>12</v>
      </c>
      <c r="E7" s="3" t="s">
        <v>13</v>
      </c>
      <c r="F7" s="4" t="s">
        <v>14</v>
      </c>
      <c r="G7" s="3" t="s">
        <v>15</v>
      </c>
      <c r="H7" s="3" t="s">
        <v>16</v>
      </c>
      <c r="I7" s="62"/>
      <c r="J7" s="106"/>
      <c r="K7" s="5" t="s">
        <v>17</v>
      </c>
      <c r="L7" s="5" t="s">
        <v>18</v>
      </c>
      <c r="M7" s="6" t="s">
        <v>19</v>
      </c>
      <c r="N7" s="62"/>
      <c r="O7" s="62"/>
      <c r="P7" s="62"/>
      <c r="Q7" s="6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</row>
    <row r="8" spans="1:258" ht="42.75" customHeight="1" x14ac:dyDescent="0.35">
      <c r="A8" s="70" t="s">
        <v>20</v>
      </c>
      <c r="B8" s="64"/>
      <c r="C8" s="87"/>
      <c r="D8" s="7">
        <f t="shared" ref="D8:P8" si="0">SUBTOTAL(9,D9:D16)</f>
        <v>7862610</v>
      </c>
      <c r="E8" s="7">
        <f t="shared" si="0"/>
        <v>15258222</v>
      </c>
      <c r="F8" s="7">
        <f t="shared" si="0"/>
        <v>45113964</v>
      </c>
      <c r="G8" s="7">
        <f t="shared" si="0"/>
        <v>36673785</v>
      </c>
      <c r="H8" s="7">
        <f t="shared" si="0"/>
        <v>21853956</v>
      </c>
      <c r="I8" s="7">
        <f t="shared" si="0"/>
        <v>111400073</v>
      </c>
      <c r="J8" s="7">
        <f t="shared" si="0"/>
        <v>126762537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107</v>
      </c>
      <c r="O8" s="7">
        <f t="shared" si="0"/>
        <v>5632543.5077744164</v>
      </c>
      <c r="P8" s="7">
        <f t="shared" si="0"/>
        <v>55</v>
      </c>
      <c r="Q8" s="8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</row>
    <row r="9" spans="1:258" ht="25.5" x14ac:dyDescent="0.35">
      <c r="A9" s="67">
        <v>45323</v>
      </c>
      <c r="B9" s="69" t="s">
        <v>21</v>
      </c>
      <c r="C9" s="69" t="s">
        <v>22</v>
      </c>
      <c r="D9" s="61">
        <v>1735020</v>
      </c>
      <c r="E9" s="61">
        <v>986580</v>
      </c>
      <c r="F9" s="61">
        <v>4875780</v>
      </c>
      <c r="G9" s="61">
        <v>793800</v>
      </c>
      <c r="H9" s="61">
        <v>2584744</v>
      </c>
      <c r="I9" s="61">
        <v>9631773</v>
      </c>
      <c r="J9" s="61">
        <f>SUM(D9:H10)</f>
        <v>10975924</v>
      </c>
      <c r="K9" s="61"/>
      <c r="L9" s="61"/>
      <c r="M9" s="61"/>
      <c r="N9" s="61">
        <v>12</v>
      </c>
      <c r="O9" s="61">
        <f>J9/N9</f>
        <v>914660.33333333337</v>
      </c>
      <c r="P9" s="61">
        <v>9</v>
      </c>
      <c r="Q9" s="88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</row>
    <row r="10" spans="1:258" ht="25.5" x14ac:dyDescent="0.3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</row>
    <row r="11" spans="1:258" ht="25.5" x14ac:dyDescent="0.35">
      <c r="A11" s="67">
        <v>45324</v>
      </c>
      <c r="B11" s="69" t="s">
        <v>23</v>
      </c>
      <c r="C11" s="9" t="s">
        <v>24</v>
      </c>
      <c r="D11" s="10"/>
      <c r="E11" s="10"/>
      <c r="F11" s="10"/>
      <c r="G11" s="10"/>
      <c r="H11" s="10">
        <v>9410499</v>
      </c>
      <c r="I11" s="10">
        <v>8298500</v>
      </c>
      <c r="J11" s="10">
        <f>SUM(D11:H11)</f>
        <v>9410499</v>
      </c>
      <c r="K11" s="11"/>
      <c r="L11" s="11"/>
      <c r="M11" s="10"/>
      <c r="N11" s="10">
        <v>19</v>
      </c>
      <c r="O11" s="10">
        <f>J11/N11</f>
        <v>495289.42105263157</v>
      </c>
      <c r="P11" s="10">
        <v>1</v>
      </c>
      <c r="Q11" s="1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</row>
    <row r="12" spans="1:258" ht="25.5" x14ac:dyDescent="0.35">
      <c r="A12" s="62"/>
      <c r="B12" s="62"/>
      <c r="C12" s="13" t="s">
        <v>22</v>
      </c>
      <c r="D12" s="10">
        <v>985950</v>
      </c>
      <c r="E12" s="10">
        <v>3379320</v>
      </c>
      <c r="F12" s="10">
        <v>10861620</v>
      </c>
      <c r="G12" s="10"/>
      <c r="H12" s="10">
        <v>7725659</v>
      </c>
      <c r="I12" s="10">
        <v>20137750</v>
      </c>
      <c r="J12" s="10">
        <f>SUM(D12:H12)</f>
        <v>22952549</v>
      </c>
      <c r="K12" s="11"/>
      <c r="L12" s="11"/>
      <c r="M12" s="10"/>
      <c r="N12" s="10">
        <v>17</v>
      </c>
      <c r="O12" s="10">
        <f>J12/N12</f>
        <v>1350149.9411764706</v>
      </c>
      <c r="P12" s="10">
        <v>11</v>
      </c>
      <c r="Q12" s="1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</row>
    <row r="13" spans="1:258" ht="25.5" x14ac:dyDescent="0.35">
      <c r="A13" s="67">
        <v>45325</v>
      </c>
      <c r="B13" s="69" t="s">
        <v>25</v>
      </c>
      <c r="C13" s="69" t="s">
        <v>22</v>
      </c>
      <c r="D13" s="61"/>
      <c r="E13" s="61">
        <v>10518102</v>
      </c>
      <c r="F13" s="61">
        <v>6420792</v>
      </c>
      <c r="G13" s="61">
        <v>35534909</v>
      </c>
      <c r="H13" s="61"/>
      <c r="I13" s="61">
        <v>46163750</v>
      </c>
      <c r="J13" s="61">
        <f>SUM(D13:H14)</f>
        <v>52473803</v>
      </c>
      <c r="K13" s="61"/>
      <c r="L13" s="61"/>
      <c r="M13" s="61"/>
      <c r="N13" s="61">
        <v>28</v>
      </c>
      <c r="O13" s="61">
        <f>J13/N13</f>
        <v>1874064.392857143</v>
      </c>
      <c r="P13" s="61">
        <v>14</v>
      </c>
      <c r="Q13" s="66" t="s">
        <v>26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</row>
    <row r="14" spans="1:258" ht="25.5" x14ac:dyDescent="0.3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</row>
    <row r="15" spans="1:258" ht="25.5" x14ac:dyDescent="0.35">
      <c r="A15" s="67">
        <v>45326</v>
      </c>
      <c r="B15" s="69" t="s">
        <v>27</v>
      </c>
      <c r="C15" s="69" t="s">
        <v>22</v>
      </c>
      <c r="D15" s="61">
        <v>5141640</v>
      </c>
      <c r="E15" s="61">
        <v>374220</v>
      </c>
      <c r="F15" s="61">
        <v>22955772</v>
      </c>
      <c r="G15" s="61">
        <v>345076</v>
      </c>
      <c r="H15" s="61">
        <v>2133054</v>
      </c>
      <c r="I15" s="61">
        <v>27168300</v>
      </c>
      <c r="J15" s="61">
        <f>SUM(D15:H16)</f>
        <v>30949762</v>
      </c>
      <c r="K15" s="61"/>
      <c r="L15" s="61"/>
      <c r="M15" s="61"/>
      <c r="N15" s="61">
        <v>31</v>
      </c>
      <c r="O15" s="61">
        <f>J15/N15</f>
        <v>998379.41935483867</v>
      </c>
      <c r="P15" s="61">
        <v>20</v>
      </c>
      <c r="Q15" s="66" t="s">
        <v>28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</row>
    <row r="16" spans="1:258" ht="25.5" x14ac:dyDescent="0.3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</row>
    <row r="17" spans="1:258" ht="26.25" x14ac:dyDescent="0.35">
      <c r="A17" s="70" t="s">
        <v>29</v>
      </c>
      <c r="B17" s="64"/>
      <c r="C17" s="65"/>
      <c r="D17" s="7">
        <f t="shared" ref="D17:P17" si="1">SUBTOTAL(9,D18:D23)</f>
        <v>5232929</v>
      </c>
      <c r="E17" s="7">
        <f t="shared" si="1"/>
        <v>27589550</v>
      </c>
      <c r="F17" s="7">
        <f t="shared" si="1"/>
        <v>77386109</v>
      </c>
      <c r="G17" s="7">
        <f t="shared" si="1"/>
        <v>12087306</v>
      </c>
      <c r="H17" s="7">
        <f t="shared" si="1"/>
        <v>9639000</v>
      </c>
      <c r="I17" s="7">
        <f t="shared" si="1"/>
        <v>115946000</v>
      </c>
      <c r="J17" s="7">
        <f t="shared" si="1"/>
        <v>131934894</v>
      </c>
      <c r="K17" s="7">
        <f t="shared" si="1"/>
        <v>0</v>
      </c>
      <c r="L17" s="7">
        <f t="shared" si="1"/>
        <v>0</v>
      </c>
      <c r="M17" s="7">
        <f t="shared" si="1"/>
        <v>0</v>
      </c>
      <c r="N17" s="7">
        <f t="shared" si="1"/>
        <v>79</v>
      </c>
      <c r="O17" s="7">
        <f t="shared" si="1"/>
        <v>4974485.807692308</v>
      </c>
      <c r="P17" s="7">
        <f t="shared" si="1"/>
        <v>32</v>
      </c>
      <c r="Q17" s="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</row>
    <row r="18" spans="1:258" ht="25.5" x14ac:dyDescent="0.35">
      <c r="A18" s="67">
        <v>45327</v>
      </c>
      <c r="B18" s="68" t="s">
        <v>30</v>
      </c>
      <c r="C18" s="69" t="s">
        <v>22</v>
      </c>
      <c r="D18" s="61"/>
      <c r="E18" s="61">
        <v>23280350</v>
      </c>
      <c r="F18" s="61">
        <v>40903399</v>
      </c>
      <c r="G18" s="61"/>
      <c r="H18" s="61"/>
      <c r="I18" s="61">
        <v>56473500</v>
      </c>
      <c r="J18" s="61">
        <f>SUM(D18:H19)</f>
        <v>64183749</v>
      </c>
      <c r="K18" s="61"/>
      <c r="L18" s="61"/>
      <c r="M18" s="61"/>
      <c r="N18" s="61">
        <v>39</v>
      </c>
      <c r="O18" s="61">
        <f>J18/N18</f>
        <v>1645737.1538461538</v>
      </c>
      <c r="P18" s="61">
        <v>13</v>
      </c>
      <c r="Q18" s="61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</row>
    <row r="19" spans="1:258" ht="25.5" x14ac:dyDescent="0.3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</row>
    <row r="20" spans="1:258" ht="17.25" customHeight="1" x14ac:dyDescent="0.35">
      <c r="A20" s="67">
        <v>45328</v>
      </c>
      <c r="B20" s="69" t="s">
        <v>31</v>
      </c>
      <c r="C20" s="69" t="s">
        <v>22</v>
      </c>
      <c r="D20" s="61">
        <v>4359770</v>
      </c>
      <c r="E20" s="61">
        <v>4309200</v>
      </c>
      <c r="F20" s="61">
        <v>13260070</v>
      </c>
      <c r="G20" s="61"/>
      <c r="H20" s="61"/>
      <c r="I20" s="61">
        <v>19240000</v>
      </c>
      <c r="J20" s="61">
        <f>SUM(D20:H21)</f>
        <v>21929040</v>
      </c>
      <c r="K20" s="61"/>
      <c r="L20" s="61"/>
      <c r="M20" s="61"/>
      <c r="N20" s="61">
        <v>14</v>
      </c>
      <c r="O20" s="61">
        <f>J20/N20</f>
        <v>1566360</v>
      </c>
      <c r="P20" s="61">
        <v>7</v>
      </c>
      <c r="Q20" s="61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</row>
    <row r="21" spans="1:258" ht="15.75" customHeight="1" x14ac:dyDescent="0.3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</row>
    <row r="22" spans="1:258" ht="15.75" customHeight="1" x14ac:dyDescent="0.35">
      <c r="A22" s="67">
        <v>45329</v>
      </c>
      <c r="B22" s="69" t="s">
        <v>32</v>
      </c>
      <c r="C22" s="69" t="s">
        <v>22</v>
      </c>
      <c r="D22" s="61">
        <v>873159</v>
      </c>
      <c r="E22" s="61"/>
      <c r="F22" s="61">
        <v>23222640</v>
      </c>
      <c r="G22" s="61">
        <v>12087306</v>
      </c>
      <c r="H22" s="61">
        <v>9639000</v>
      </c>
      <c r="I22" s="61">
        <v>40232500</v>
      </c>
      <c r="J22" s="61">
        <f>SUM(D22:H23)</f>
        <v>45822105</v>
      </c>
      <c r="K22" s="61"/>
      <c r="L22" s="61"/>
      <c r="M22" s="61"/>
      <c r="N22" s="61">
        <v>26</v>
      </c>
      <c r="O22" s="61">
        <f>J22/N22</f>
        <v>1762388.6538461538</v>
      </c>
      <c r="P22" s="61">
        <v>12</v>
      </c>
      <c r="Q22" s="66" t="s">
        <v>33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</row>
    <row r="23" spans="1:258" ht="15.75" customHeight="1" x14ac:dyDescent="0.3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</row>
    <row r="24" spans="1:258" ht="15.75" customHeight="1" x14ac:dyDescent="0.35">
      <c r="A24" s="67">
        <v>45330</v>
      </c>
      <c r="B24" s="69" t="s">
        <v>21</v>
      </c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80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</row>
    <row r="25" spans="1:258" ht="15.75" customHeight="1" x14ac:dyDescent="0.35">
      <c r="A25" s="62"/>
      <c r="B25" s="62"/>
      <c r="C25" s="81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</row>
    <row r="26" spans="1:258" ht="17.25" customHeight="1" x14ac:dyDescent="0.35">
      <c r="A26" s="67">
        <v>45331</v>
      </c>
      <c r="B26" s="69" t="s">
        <v>23</v>
      </c>
      <c r="C26" s="81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</row>
    <row r="27" spans="1:258" ht="15.75" customHeight="1" x14ac:dyDescent="0.35">
      <c r="A27" s="62"/>
      <c r="B27" s="62"/>
      <c r="C27" s="81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</row>
    <row r="28" spans="1:258" ht="15.75" customHeight="1" x14ac:dyDescent="0.35">
      <c r="A28" s="67">
        <v>45332</v>
      </c>
      <c r="B28" s="69" t="s">
        <v>25</v>
      </c>
      <c r="C28" s="81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</row>
    <row r="29" spans="1:258" ht="15.75" customHeight="1" x14ac:dyDescent="0.35">
      <c r="A29" s="62"/>
      <c r="B29" s="62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</row>
    <row r="30" spans="1:258" ht="15.75" customHeight="1" x14ac:dyDescent="0.35">
      <c r="A30" s="67">
        <v>45333</v>
      </c>
      <c r="B30" s="69" t="s">
        <v>27</v>
      </c>
      <c r="C30" s="81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</row>
    <row r="31" spans="1:258" ht="15.75" customHeight="1" x14ac:dyDescent="0.35">
      <c r="A31" s="62"/>
      <c r="B31" s="62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</row>
    <row r="32" spans="1:258" ht="15.75" customHeight="1" x14ac:dyDescent="0.35">
      <c r="A32" s="70" t="s">
        <v>34</v>
      </c>
      <c r="B32" s="64"/>
      <c r="C32" s="65"/>
      <c r="D32" s="7">
        <f t="shared" ref="D32:N32" si="2">SUBTOTAL(9,D33:D46)</f>
        <v>14568142</v>
      </c>
      <c r="E32" s="7">
        <f t="shared" si="2"/>
        <v>8638770</v>
      </c>
      <c r="F32" s="7">
        <f t="shared" si="2"/>
        <v>176515079</v>
      </c>
      <c r="G32" s="7">
        <f t="shared" si="2"/>
        <v>11787304</v>
      </c>
      <c r="H32" s="7">
        <f t="shared" si="2"/>
        <v>6518856</v>
      </c>
      <c r="I32" s="7">
        <f t="shared" si="2"/>
        <v>191408850</v>
      </c>
      <c r="J32" s="7">
        <f t="shared" si="2"/>
        <v>218028151</v>
      </c>
      <c r="K32" s="7">
        <f t="shared" si="2"/>
        <v>0</v>
      </c>
      <c r="L32" s="7">
        <f t="shared" si="2"/>
        <v>0</v>
      </c>
      <c r="M32" s="7">
        <f t="shared" si="2"/>
        <v>0</v>
      </c>
      <c r="N32" s="7">
        <f t="shared" si="2"/>
        <v>137</v>
      </c>
      <c r="O32" s="7">
        <f>SUBTOTAL(9,O35:O46)</f>
        <v>8297192.569873333</v>
      </c>
      <c r="P32" s="7">
        <f>SUBTOTAL(9,P33:P46)</f>
        <v>80</v>
      </c>
      <c r="Q32" s="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</row>
    <row r="33" spans="1:258" ht="15.75" customHeight="1" x14ac:dyDescent="0.35">
      <c r="A33" s="67">
        <v>45334</v>
      </c>
      <c r="B33" s="68" t="s">
        <v>30</v>
      </c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</row>
    <row r="34" spans="1:258" ht="15.75" customHeight="1" x14ac:dyDescent="0.35">
      <c r="A34" s="62"/>
      <c r="B34" s="62"/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</row>
    <row r="35" spans="1:258" ht="15.75" customHeight="1" x14ac:dyDescent="0.35">
      <c r="A35" s="67">
        <v>45335</v>
      </c>
      <c r="B35" s="69" t="s">
        <v>31</v>
      </c>
      <c r="C35" s="69" t="s">
        <v>22</v>
      </c>
      <c r="D35" s="61"/>
      <c r="E35" s="61"/>
      <c r="F35" s="61">
        <v>23902494</v>
      </c>
      <c r="G35" s="61">
        <v>720997</v>
      </c>
      <c r="H35" s="61"/>
      <c r="I35" s="61">
        <v>21576800</v>
      </c>
      <c r="J35" s="61">
        <f>SUM(D35:H36)</f>
        <v>24623491</v>
      </c>
      <c r="K35" s="61"/>
      <c r="L35" s="61"/>
      <c r="M35" s="61"/>
      <c r="N35" s="61">
        <v>19</v>
      </c>
      <c r="O35" s="61">
        <f>J35/N35</f>
        <v>1295973.2105263157</v>
      </c>
      <c r="P35" s="61">
        <v>13</v>
      </c>
      <c r="Q35" s="66" t="s">
        <v>28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</row>
    <row r="36" spans="1:258" ht="33" customHeight="1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.75" customHeight="1" x14ac:dyDescent="0.35">
      <c r="A37" s="67">
        <v>45336</v>
      </c>
      <c r="B37" s="69" t="s">
        <v>32</v>
      </c>
      <c r="C37" s="69" t="s">
        <v>22</v>
      </c>
      <c r="D37" s="61">
        <v>10342690</v>
      </c>
      <c r="E37" s="61">
        <v>6518190</v>
      </c>
      <c r="F37" s="61">
        <v>72080315</v>
      </c>
      <c r="G37" s="61">
        <v>11066307</v>
      </c>
      <c r="H37" s="61">
        <v>587979</v>
      </c>
      <c r="I37" s="61">
        <v>88239000</v>
      </c>
      <c r="J37" s="61">
        <f>SUM(D37:H38)</f>
        <v>100595481</v>
      </c>
      <c r="K37" s="61"/>
      <c r="L37" s="61"/>
      <c r="M37" s="61"/>
      <c r="N37" s="61">
        <v>61</v>
      </c>
      <c r="O37" s="61">
        <f>J37/N37</f>
        <v>1649106.2459016393</v>
      </c>
      <c r="P37" s="61">
        <v>35</v>
      </c>
      <c r="Q37" s="66" t="s">
        <v>35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</row>
    <row r="38" spans="1:258" ht="15.75" customHeight="1" x14ac:dyDescent="0.3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</row>
    <row r="39" spans="1:258" ht="15.75" customHeight="1" x14ac:dyDescent="0.35">
      <c r="A39" s="67">
        <v>45337</v>
      </c>
      <c r="B39" s="69" t="s">
        <v>21</v>
      </c>
      <c r="C39" s="69" t="s">
        <v>22</v>
      </c>
      <c r="D39" s="61">
        <v>698712</v>
      </c>
      <c r="E39" s="61">
        <v>2120580</v>
      </c>
      <c r="F39" s="61">
        <v>4941090</v>
      </c>
      <c r="G39" s="61"/>
      <c r="H39" s="61"/>
      <c r="I39" s="61">
        <v>6823000</v>
      </c>
      <c r="J39" s="61">
        <f>SUM(D39:H40)</f>
        <v>7760382</v>
      </c>
      <c r="K39" s="61"/>
      <c r="L39" s="61"/>
      <c r="M39" s="61"/>
      <c r="N39" s="61">
        <v>12</v>
      </c>
      <c r="O39" s="61">
        <f>J39/N39</f>
        <v>646698.5</v>
      </c>
      <c r="P39" s="61">
        <v>7</v>
      </c>
      <c r="Q39" s="6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</row>
    <row r="40" spans="1:258" ht="15.75" customHeight="1" x14ac:dyDescent="0.3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</row>
    <row r="41" spans="1:258" ht="15.75" customHeight="1" x14ac:dyDescent="0.35">
      <c r="A41" s="67">
        <v>45338</v>
      </c>
      <c r="B41" s="69" t="s">
        <v>23</v>
      </c>
      <c r="C41" s="69" t="s">
        <v>22</v>
      </c>
      <c r="D41" s="61"/>
      <c r="E41" s="61"/>
      <c r="F41" s="61">
        <v>8252160</v>
      </c>
      <c r="G41" s="61"/>
      <c r="H41" s="61">
        <v>5930877</v>
      </c>
      <c r="I41" s="61">
        <v>12460050</v>
      </c>
      <c r="J41" s="61">
        <f>SUM(D41:H42)</f>
        <v>14183037</v>
      </c>
      <c r="K41" s="61"/>
      <c r="L41" s="61"/>
      <c r="M41" s="61"/>
      <c r="N41" s="61">
        <v>7</v>
      </c>
      <c r="O41" s="61">
        <f>J41/N41</f>
        <v>2026148.142857143</v>
      </c>
      <c r="P41" s="61">
        <v>9</v>
      </c>
      <c r="Q41" s="6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</row>
    <row r="42" spans="1:258" ht="33" customHeight="1" x14ac:dyDescent="0.3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</row>
    <row r="43" spans="1:258" ht="15.75" customHeight="1" x14ac:dyDescent="0.35">
      <c r="A43" s="67">
        <v>45339</v>
      </c>
      <c r="B43" s="69" t="s">
        <v>25</v>
      </c>
      <c r="C43" s="69" t="s">
        <v>22</v>
      </c>
      <c r="D43" s="61">
        <v>3526740</v>
      </c>
      <c r="E43" s="61"/>
      <c r="F43" s="61">
        <v>64641780</v>
      </c>
      <c r="G43" s="61"/>
      <c r="H43" s="61"/>
      <c r="I43" s="61">
        <v>59935000</v>
      </c>
      <c r="J43" s="61">
        <f>SUM(D43:H44)</f>
        <v>68168520</v>
      </c>
      <c r="K43" s="61"/>
      <c r="L43" s="61"/>
      <c r="M43" s="61"/>
      <c r="N43" s="61">
        <v>34</v>
      </c>
      <c r="O43" s="61">
        <f>J43/N43</f>
        <v>2004956.4705882352</v>
      </c>
      <c r="P43" s="61">
        <v>12</v>
      </c>
      <c r="Q43" s="6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</row>
    <row r="44" spans="1:258" ht="15.75" customHeight="1" x14ac:dyDescent="0.3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</row>
    <row r="45" spans="1:258" ht="15.75" customHeight="1" x14ac:dyDescent="0.35">
      <c r="A45" s="67">
        <v>45340</v>
      </c>
      <c r="B45" s="69" t="s">
        <v>27</v>
      </c>
      <c r="C45" s="69" t="s">
        <v>22</v>
      </c>
      <c r="D45" s="61">
        <v>0</v>
      </c>
      <c r="E45" s="61">
        <v>0</v>
      </c>
      <c r="F45" s="61">
        <v>2697240</v>
      </c>
      <c r="G45" s="61">
        <v>0</v>
      </c>
      <c r="H45" s="61">
        <v>0</v>
      </c>
      <c r="I45" s="61">
        <v>2375000</v>
      </c>
      <c r="J45" s="61">
        <f>SUM(D45:H46)</f>
        <v>2697240</v>
      </c>
      <c r="K45" s="61"/>
      <c r="L45" s="61"/>
      <c r="M45" s="61"/>
      <c r="N45" s="61">
        <v>4</v>
      </c>
      <c r="O45" s="61">
        <f>J45/N45</f>
        <v>674310</v>
      </c>
      <c r="P45" s="61">
        <v>4</v>
      </c>
      <c r="Q45" s="6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</row>
    <row r="46" spans="1:258" ht="15.75" customHeight="1" x14ac:dyDescent="0.3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</row>
    <row r="47" spans="1:258" ht="15.75" customHeight="1" x14ac:dyDescent="0.4">
      <c r="A47" s="70" t="s">
        <v>36</v>
      </c>
      <c r="B47" s="64"/>
      <c r="C47" s="65"/>
      <c r="D47" s="7">
        <f t="shared" ref="D47:P47" si="3">SUBTOTAL(9,D48:D61)</f>
        <v>14960264</v>
      </c>
      <c r="E47" s="7">
        <f t="shared" si="3"/>
        <v>57197700</v>
      </c>
      <c r="F47" s="7">
        <f t="shared" si="3"/>
        <v>117476573</v>
      </c>
      <c r="G47" s="7">
        <f t="shared" si="3"/>
        <v>37144851</v>
      </c>
      <c r="H47" s="7">
        <f t="shared" si="3"/>
        <v>19193714</v>
      </c>
      <c r="I47" s="7">
        <f t="shared" si="3"/>
        <v>216046200</v>
      </c>
      <c r="J47" s="7">
        <f t="shared" si="3"/>
        <v>245973102</v>
      </c>
      <c r="K47" s="7">
        <f t="shared" si="3"/>
        <v>0</v>
      </c>
      <c r="L47" s="7">
        <f t="shared" si="3"/>
        <v>0</v>
      </c>
      <c r="M47" s="7">
        <f t="shared" si="3"/>
        <v>0</v>
      </c>
      <c r="N47" s="7">
        <f t="shared" si="3"/>
        <v>169</v>
      </c>
      <c r="O47" s="7">
        <f t="shared" si="3"/>
        <v>10326229.316822164</v>
      </c>
      <c r="P47" s="14">
        <f t="shared" si="3"/>
        <v>80</v>
      </c>
      <c r="Q47" s="8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</row>
    <row r="48" spans="1:258" ht="15.75" customHeight="1" x14ac:dyDescent="0.35">
      <c r="A48" s="67">
        <v>45341</v>
      </c>
      <c r="B48" s="68" t="s">
        <v>30</v>
      </c>
      <c r="C48" s="69" t="s">
        <v>22</v>
      </c>
      <c r="D48" s="61"/>
      <c r="E48" s="61">
        <v>43522920</v>
      </c>
      <c r="F48" s="61">
        <v>3725022</v>
      </c>
      <c r="G48" s="61"/>
      <c r="H48" s="61">
        <v>1096918</v>
      </c>
      <c r="I48" s="61">
        <v>42580300</v>
      </c>
      <c r="J48" s="61">
        <f>SUM(D48:H49)</f>
        <v>48344860</v>
      </c>
      <c r="K48" s="61"/>
      <c r="L48" s="61"/>
      <c r="M48" s="61"/>
      <c r="N48" s="61">
        <v>31</v>
      </c>
      <c r="O48" s="61">
        <f>J48/N48</f>
        <v>1559511.6129032257</v>
      </c>
      <c r="P48" s="61">
        <v>11</v>
      </c>
      <c r="Q48" s="6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</row>
    <row r="49" spans="1:258" ht="15.75" customHeight="1" x14ac:dyDescent="0.3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</row>
    <row r="50" spans="1:258" ht="34.5" customHeight="1" x14ac:dyDescent="0.35">
      <c r="A50" s="67">
        <v>45342</v>
      </c>
      <c r="B50" s="68" t="s">
        <v>31</v>
      </c>
      <c r="C50" s="69" t="s">
        <v>22</v>
      </c>
      <c r="D50" s="61"/>
      <c r="E50" s="61">
        <v>8344980</v>
      </c>
      <c r="F50" s="61">
        <v>4498620</v>
      </c>
      <c r="G50" s="61">
        <v>75184</v>
      </c>
      <c r="H50" s="61"/>
      <c r="I50" s="61">
        <v>11291300</v>
      </c>
      <c r="J50" s="61">
        <f>SUM(D50:G51)</f>
        <v>12918784</v>
      </c>
      <c r="K50" s="61"/>
      <c r="L50" s="61"/>
      <c r="M50" s="61"/>
      <c r="N50" s="61">
        <v>13</v>
      </c>
      <c r="O50" s="61">
        <f>J50/N50</f>
        <v>993752.61538461538</v>
      </c>
      <c r="P50" s="61">
        <v>9</v>
      </c>
      <c r="Q50" s="66" t="s">
        <v>28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</row>
    <row r="51" spans="1:258" ht="34.5" customHeight="1" x14ac:dyDescent="0.3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</row>
    <row r="52" spans="1:258" ht="15.75" customHeight="1" x14ac:dyDescent="0.35">
      <c r="A52" s="67">
        <v>45343</v>
      </c>
      <c r="B52" s="68" t="s">
        <v>32</v>
      </c>
      <c r="C52" s="69" t="s">
        <v>22</v>
      </c>
      <c r="D52" s="61">
        <v>2262897</v>
      </c>
      <c r="E52" s="61"/>
      <c r="F52" s="61">
        <v>35646335</v>
      </c>
      <c r="G52" s="61"/>
      <c r="H52" s="61"/>
      <c r="I52" s="61">
        <v>33257250</v>
      </c>
      <c r="J52" s="61">
        <f>SUM(D52:H53)</f>
        <v>37909232</v>
      </c>
      <c r="K52" s="61"/>
      <c r="L52" s="61"/>
      <c r="M52" s="61"/>
      <c r="N52" s="61">
        <v>25</v>
      </c>
      <c r="O52" s="61">
        <f>J52/N52</f>
        <v>1516369.28</v>
      </c>
      <c r="P52" s="61">
        <v>9</v>
      </c>
      <c r="Q52" s="6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</row>
    <row r="53" spans="1:258" ht="15.75" customHeight="1" x14ac:dyDescent="0.3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</row>
    <row r="54" spans="1:258" ht="15.75" customHeight="1" x14ac:dyDescent="0.35">
      <c r="A54" s="67">
        <v>45344</v>
      </c>
      <c r="B54" s="68" t="s">
        <v>21</v>
      </c>
      <c r="C54" s="69" t="s">
        <v>22</v>
      </c>
      <c r="D54" s="61">
        <v>1515875</v>
      </c>
      <c r="E54" s="61">
        <v>2562840</v>
      </c>
      <c r="F54" s="61">
        <v>17066637</v>
      </c>
      <c r="G54" s="61">
        <v>4889865</v>
      </c>
      <c r="H54" s="61">
        <v>8609555</v>
      </c>
      <c r="I54" s="61">
        <v>30451500</v>
      </c>
      <c r="J54" s="61">
        <f>SUM(D54:H55)</f>
        <v>34644772</v>
      </c>
      <c r="K54" s="61"/>
      <c r="L54" s="61"/>
      <c r="M54" s="61"/>
      <c r="N54" s="61">
        <v>22</v>
      </c>
      <c r="O54" s="61">
        <f>J54/N54</f>
        <v>1574762.3636363635</v>
      </c>
      <c r="P54" s="61">
        <v>17</v>
      </c>
      <c r="Q54" s="66" t="s">
        <v>37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</row>
    <row r="55" spans="1:258" ht="15.75" customHeight="1" x14ac:dyDescent="0.3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</row>
    <row r="56" spans="1:258" ht="40.5" customHeight="1" x14ac:dyDescent="0.35">
      <c r="A56" s="67">
        <v>45345</v>
      </c>
      <c r="B56" s="68" t="s">
        <v>23</v>
      </c>
      <c r="C56" s="69" t="s">
        <v>22</v>
      </c>
      <c r="D56" s="61"/>
      <c r="E56" s="61">
        <v>1202040</v>
      </c>
      <c r="F56" s="61">
        <v>19360194</v>
      </c>
      <c r="G56" s="61">
        <v>32179802</v>
      </c>
      <c r="H56" s="61">
        <v>9487241</v>
      </c>
      <c r="I56" s="61">
        <v>54630350</v>
      </c>
      <c r="J56" s="61">
        <f>SUM(D56:H57)</f>
        <v>62229277</v>
      </c>
      <c r="K56" s="61"/>
      <c r="L56" s="61"/>
      <c r="M56" s="61"/>
      <c r="N56" s="61">
        <v>49</v>
      </c>
      <c r="O56" s="61">
        <f>J56/N56</f>
        <v>1269985.2448979593</v>
      </c>
      <c r="P56" s="61">
        <v>13</v>
      </c>
      <c r="Q56" s="71" t="s">
        <v>38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</row>
    <row r="57" spans="1:258" ht="40.5" customHeight="1" x14ac:dyDescent="0.3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</row>
    <row r="58" spans="1:258" ht="15.75" customHeight="1" x14ac:dyDescent="0.35">
      <c r="A58" s="67">
        <v>45346</v>
      </c>
      <c r="B58" s="69" t="s">
        <v>25</v>
      </c>
      <c r="C58" s="69" t="s">
        <v>22</v>
      </c>
      <c r="D58" s="61"/>
      <c r="E58" s="61">
        <v>1564920</v>
      </c>
      <c r="F58" s="61">
        <v>30839613</v>
      </c>
      <c r="G58" s="61"/>
      <c r="H58" s="61"/>
      <c r="I58" s="61">
        <v>28464500</v>
      </c>
      <c r="J58" s="61">
        <f>SUM(D58:H59)</f>
        <v>32404533</v>
      </c>
      <c r="K58" s="61"/>
      <c r="L58" s="61"/>
      <c r="M58" s="61"/>
      <c r="N58" s="61">
        <v>15</v>
      </c>
      <c r="O58" s="61">
        <f>J58/N58</f>
        <v>2160302.2000000002</v>
      </c>
      <c r="P58" s="61">
        <v>12</v>
      </c>
      <c r="Q58" s="61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</row>
    <row r="59" spans="1:258" ht="15.75" customHeight="1" x14ac:dyDescent="0.3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</row>
    <row r="60" spans="1:258" ht="15.75" customHeight="1" x14ac:dyDescent="0.35">
      <c r="A60" s="67">
        <v>45347</v>
      </c>
      <c r="B60" s="69" t="s">
        <v>27</v>
      </c>
      <c r="C60" s="69" t="s">
        <v>22</v>
      </c>
      <c r="D60" s="61">
        <v>11181492</v>
      </c>
      <c r="E60" s="61"/>
      <c r="F60" s="61">
        <v>6340152</v>
      </c>
      <c r="G60" s="61"/>
      <c r="H60" s="61"/>
      <c r="I60" s="61">
        <v>15371000</v>
      </c>
      <c r="J60" s="61">
        <f>SUM(D60:H61)</f>
        <v>17521644</v>
      </c>
      <c r="K60" s="61"/>
      <c r="L60" s="61"/>
      <c r="M60" s="61"/>
      <c r="N60" s="61">
        <v>14</v>
      </c>
      <c r="O60" s="61">
        <f>J60/N60</f>
        <v>1251546</v>
      </c>
      <c r="P60" s="61">
        <v>9</v>
      </c>
      <c r="Q60" s="61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</row>
    <row r="61" spans="1:258" ht="15.75" customHeight="1" x14ac:dyDescent="0.3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</row>
    <row r="62" spans="1:258" ht="40.5" customHeight="1" x14ac:dyDescent="0.35">
      <c r="A62" s="70" t="s">
        <v>39</v>
      </c>
      <c r="B62" s="64"/>
      <c r="C62" s="65"/>
      <c r="D62" s="7">
        <f t="shared" ref="D62:P62" si="4">SUBTOTAL(9,D63:D70)</f>
        <v>14009163</v>
      </c>
      <c r="E62" s="7">
        <f t="shared" si="4"/>
        <v>0</v>
      </c>
      <c r="F62" s="7">
        <f t="shared" si="4"/>
        <v>9510690</v>
      </c>
      <c r="G62" s="7">
        <f t="shared" si="4"/>
        <v>2189017</v>
      </c>
      <c r="H62" s="7">
        <f t="shared" si="4"/>
        <v>14712969</v>
      </c>
      <c r="I62" s="7">
        <f t="shared" si="4"/>
        <v>35594250</v>
      </c>
      <c r="J62" s="7">
        <f t="shared" si="4"/>
        <v>40421839</v>
      </c>
      <c r="K62" s="7">
        <f t="shared" si="4"/>
        <v>0</v>
      </c>
      <c r="L62" s="7">
        <f t="shared" si="4"/>
        <v>0</v>
      </c>
      <c r="M62" s="7">
        <f t="shared" si="4"/>
        <v>0</v>
      </c>
      <c r="N62" s="7">
        <f t="shared" si="4"/>
        <v>43</v>
      </c>
      <c r="O62" s="7">
        <f t="shared" si="4"/>
        <v>3515028.2756410255</v>
      </c>
      <c r="P62" s="7">
        <f t="shared" si="4"/>
        <v>27</v>
      </c>
      <c r="Q62" s="7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</row>
    <row r="63" spans="1:258" ht="15.75" customHeight="1" x14ac:dyDescent="0.35">
      <c r="A63" s="67">
        <v>45348</v>
      </c>
      <c r="B63" s="68" t="s">
        <v>30</v>
      </c>
      <c r="C63" s="69" t="s">
        <v>22</v>
      </c>
      <c r="D63" s="61"/>
      <c r="E63" s="61"/>
      <c r="F63" s="61">
        <v>1038765</v>
      </c>
      <c r="G63" s="61"/>
      <c r="H63" s="61"/>
      <c r="I63" s="61">
        <v>915000</v>
      </c>
      <c r="J63" s="61">
        <f>SUM(D63:H64)</f>
        <v>1038765</v>
      </c>
      <c r="K63" s="61"/>
      <c r="L63" s="61"/>
      <c r="M63" s="61"/>
      <c r="N63" s="61">
        <v>2</v>
      </c>
      <c r="O63" s="61">
        <f>J63/N63</f>
        <v>519382.5</v>
      </c>
      <c r="P63" s="61">
        <v>3</v>
      </c>
      <c r="Q63" s="61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</row>
    <row r="64" spans="1:258" ht="15.75" customHeight="1" x14ac:dyDescent="0.3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</row>
    <row r="65" spans="1:258" ht="15.75" customHeight="1" x14ac:dyDescent="0.35">
      <c r="A65" s="67">
        <v>45349</v>
      </c>
      <c r="B65" s="68" t="s">
        <v>31</v>
      </c>
      <c r="C65" s="69" t="s">
        <v>22</v>
      </c>
      <c r="D65" s="61">
        <v>4314303</v>
      </c>
      <c r="E65" s="61"/>
      <c r="F65" s="61">
        <v>5223225</v>
      </c>
      <c r="G65" s="61"/>
      <c r="H65" s="61">
        <v>9943592</v>
      </c>
      <c r="I65" s="61">
        <v>17168100</v>
      </c>
      <c r="J65" s="61">
        <f>SUM(D65:H66)</f>
        <v>19481120</v>
      </c>
      <c r="K65" s="61"/>
      <c r="L65" s="61"/>
      <c r="M65" s="61"/>
      <c r="N65" s="61">
        <v>13</v>
      </c>
      <c r="O65" s="61">
        <f>J65/N65</f>
        <v>1498547.6923076923</v>
      </c>
      <c r="P65" s="61">
        <v>9</v>
      </c>
      <c r="Q65" s="61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</row>
    <row r="66" spans="1:258" ht="15.75" customHeight="1" x14ac:dyDescent="0.3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</row>
    <row r="67" spans="1:258" ht="15.75" customHeight="1" x14ac:dyDescent="0.35">
      <c r="A67" s="67">
        <v>45350</v>
      </c>
      <c r="B67" s="68" t="s">
        <v>32</v>
      </c>
      <c r="C67" s="69" t="s">
        <v>22</v>
      </c>
      <c r="D67" s="61">
        <v>7308000</v>
      </c>
      <c r="E67" s="61"/>
      <c r="F67" s="61">
        <v>3248700</v>
      </c>
      <c r="G67" s="61"/>
      <c r="H67" s="61">
        <v>1598146</v>
      </c>
      <c r="I67" s="61">
        <v>10689300</v>
      </c>
      <c r="J67" s="61">
        <f>SUM(D67:H68)</f>
        <v>12154846</v>
      </c>
      <c r="K67" s="61"/>
      <c r="L67" s="61"/>
      <c r="M67" s="61"/>
      <c r="N67" s="61">
        <v>12</v>
      </c>
      <c r="O67" s="61">
        <f>J67/N67</f>
        <v>1012903.8333333334</v>
      </c>
      <c r="P67" s="61">
        <v>9</v>
      </c>
      <c r="Q67" s="61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</row>
    <row r="68" spans="1:258" ht="15.75" customHeight="1" x14ac:dyDescent="0.3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</row>
    <row r="69" spans="1:258" ht="15.75" customHeight="1" x14ac:dyDescent="0.35">
      <c r="A69" s="67">
        <v>45351</v>
      </c>
      <c r="B69" s="68" t="s">
        <v>21</v>
      </c>
      <c r="C69" s="69" t="s">
        <v>22</v>
      </c>
      <c r="D69" s="61">
        <v>2386860</v>
      </c>
      <c r="E69" s="61"/>
      <c r="F69" s="61"/>
      <c r="G69" s="61">
        <v>2189017</v>
      </c>
      <c r="H69" s="61">
        <v>3171231</v>
      </c>
      <c r="I69" s="61">
        <v>6821850</v>
      </c>
      <c r="J69" s="61">
        <f>SUM(D69:H70)</f>
        <v>7747108</v>
      </c>
      <c r="K69" s="61"/>
      <c r="L69" s="61"/>
      <c r="M69" s="61"/>
      <c r="N69" s="61">
        <v>16</v>
      </c>
      <c r="O69" s="61">
        <f>J69/N69</f>
        <v>484194.25</v>
      </c>
      <c r="P69" s="61">
        <v>6</v>
      </c>
      <c r="Q69" s="66" t="s">
        <v>37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</row>
    <row r="70" spans="1:258" ht="15.75" customHeight="1" x14ac:dyDescent="0.3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</row>
    <row r="71" spans="1:258" ht="43.5" customHeight="1" x14ac:dyDescent="0.35">
      <c r="A71" s="63" t="s">
        <v>40</v>
      </c>
      <c r="B71" s="64"/>
      <c r="C71" s="65"/>
      <c r="D71" s="15">
        <f t="shared" ref="D71:P71" si="5">SUBTOTAL(9,D8:D70)</f>
        <v>56633108</v>
      </c>
      <c r="E71" s="15">
        <f t="shared" si="5"/>
        <v>108684242</v>
      </c>
      <c r="F71" s="15">
        <f t="shared" si="5"/>
        <v>426002415</v>
      </c>
      <c r="G71" s="15">
        <f t="shared" si="5"/>
        <v>99882263</v>
      </c>
      <c r="H71" s="15">
        <f t="shared" si="5"/>
        <v>71918495</v>
      </c>
      <c r="I71" s="15">
        <f t="shared" si="5"/>
        <v>670395373</v>
      </c>
      <c r="J71" s="15">
        <f t="shared" si="5"/>
        <v>763120523</v>
      </c>
      <c r="K71" s="15">
        <f t="shared" si="5"/>
        <v>0</v>
      </c>
      <c r="L71" s="15">
        <f t="shared" si="5"/>
        <v>0</v>
      </c>
      <c r="M71" s="15">
        <f t="shared" si="5"/>
        <v>0</v>
      </c>
      <c r="N71" s="15">
        <f t="shared" si="5"/>
        <v>535</v>
      </c>
      <c r="O71" s="15">
        <f t="shared" si="5"/>
        <v>32745479.477803245</v>
      </c>
      <c r="P71" s="15">
        <f t="shared" si="5"/>
        <v>274</v>
      </c>
      <c r="Q71" s="15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ht="15.75" customHeight="1" x14ac:dyDescent="0.25">
      <c r="D72" s="17"/>
      <c r="E72" s="17"/>
      <c r="F72" s="17"/>
      <c r="G72" s="17"/>
      <c r="H72" s="17"/>
      <c r="I72" s="17"/>
      <c r="J72" s="17"/>
      <c r="N72" s="17"/>
      <c r="O72" s="17"/>
      <c r="P72" s="17"/>
    </row>
    <row r="73" spans="1:258" ht="15.75" customHeight="1" x14ac:dyDescent="0.25">
      <c r="D73" s="17"/>
      <c r="E73" s="17"/>
      <c r="F73" s="17"/>
      <c r="G73" s="17"/>
      <c r="H73" s="17"/>
      <c r="I73" s="17"/>
      <c r="J73" s="17"/>
      <c r="N73" s="17"/>
      <c r="O73" s="17"/>
      <c r="P73" s="17"/>
    </row>
    <row r="74" spans="1:258" ht="15.75" customHeight="1" x14ac:dyDescent="0.25">
      <c r="D74" s="17"/>
      <c r="E74" s="17"/>
      <c r="F74" s="17"/>
      <c r="G74" s="17"/>
      <c r="H74" s="17"/>
      <c r="I74" s="17"/>
      <c r="J74" s="17"/>
      <c r="N74" s="17"/>
      <c r="O74" s="17"/>
      <c r="P74" s="17"/>
    </row>
    <row r="75" spans="1:258" ht="15.75" customHeight="1" x14ac:dyDescent="0.25">
      <c r="D75" s="17"/>
      <c r="E75" s="17"/>
      <c r="F75" s="17"/>
      <c r="G75" s="17"/>
      <c r="H75" s="17"/>
      <c r="I75" s="17"/>
      <c r="J75" s="17"/>
      <c r="N75" s="17"/>
      <c r="O75" s="17"/>
      <c r="P75" s="17"/>
    </row>
    <row r="76" spans="1:258" ht="15.75" customHeight="1" x14ac:dyDescent="0.25">
      <c r="D76" s="17"/>
      <c r="E76" s="17"/>
      <c r="F76" s="17"/>
      <c r="G76" s="17"/>
      <c r="H76" s="17"/>
      <c r="I76" s="17"/>
      <c r="J76" s="17"/>
      <c r="N76" s="17"/>
      <c r="O76" s="17"/>
      <c r="P76" s="17"/>
    </row>
    <row r="77" spans="1:258" ht="15.75" customHeight="1" x14ac:dyDescent="0.25">
      <c r="D77" s="17"/>
      <c r="E77" s="17"/>
      <c r="F77" s="17"/>
      <c r="G77" s="17"/>
      <c r="H77" s="17"/>
      <c r="I77" s="17"/>
      <c r="J77" s="17"/>
      <c r="N77" s="17"/>
      <c r="O77" s="17"/>
      <c r="P77" s="17"/>
    </row>
    <row r="78" spans="1:258" ht="15.75" customHeight="1" x14ac:dyDescent="0.25">
      <c r="D78" s="17"/>
      <c r="E78" s="17"/>
      <c r="F78" s="17"/>
      <c r="G78" s="17"/>
      <c r="H78" s="17"/>
      <c r="I78" s="17"/>
      <c r="J78" s="17"/>
      <c r="N78" s="17"/>
      <c r="O78" s="17"/>
      <c r="P78" s="17"/>
    </row>
    <row r="79" spans="1:258" ht="15.75" customHeight="1" x14ac:dyDescent="0.25">
      <c r="D79" s="17"/>
      <c r="E79" s="17"/>
      <c r="F79" s="17"/>
      <c r="G79" s="17"/>
      <c r="H79" s="17"/>
      <c r="I79" s="17"/>
      <c r="J79" s="17"/>
      <c r="N79" s="17"/>
      <c r="O79" s="17"/>
      <c r="P79" s="17"/>
    </row>
    <row r="80" spans="1:258" ht="15.75" customHeight="1" x14ac:dyDescent="0.25">
      <c r="D80" s="17"/>
      <c r="E80" s="17"/>
      <c r="F80" s="17"/>
      <c r="G80" s="17"/>
      <c r="H80" s="17"/>
      <c r="I80" s="17"/>
      <c r="J80" s="17"/>
      <c r="N80" s="17"/>
      <c r="O80" s="17"/>
      <c r="P80" s="17"/>
    </row>
    <row r="81" spans="4:16" ht="15.75" customHeight="1" x14ac:dyDescent="0.25">
      <c r="D81" s="17"/>
      <c r="E81" s="17"/>
      <c r="F81" s="17"/>
      <c r="G81" s="17"/>
      <c r="H81" s="17"/>
      <c r="I81" s="17"/>
      <c r="J81" s="17"/>
      <c r="N81" s="17"/>
      <c r="O81" s="17"/>
      <c r="P81" s="17"/>
    </row>
    <row r="82" spans="4:16" ht="15.75" customHeight="1" x14ac:dyDescent="0.25">
      <c r="D82" s="17"/>
      <c r="E82" s="17"/>
      <c r="F82" s="17"/>
      <c r="G82" s="17"/>
      <c r="H82" s="17"/>
      <c r="I82" s="17"/>
      <c r="J82" s="17"/>
      <c r="N82" s="17"/>
      <c r="O82" s="17"/>
      <c r="P82" s="17"/>
    </row>
    <row r="83" spans="4:16" ht="15.75" customHeight="1" x14ac:dyDescent="0.25">
      <c r="D83" s="17"/>
      <c r="E83" s="17"/>
      <c r="F83" s="17"/>
      <c r="G83" s="17"/>
      <c r="H83" s="17"/>
      <c r="I83" s="17"/>
      <c r="J83" s="17"/>
      <c r="N83" s="17"/>
      <c r="O83" s="17"/>
      <c r="P83" s="17"/>
    </row>
    <row r="84" spans="4:16" ht="15.75" customHeight="1" x14ac:dyDescent="0.25">
      <c r="D84" s="17"/>
      <c r="E84" s="17"/>
      <c r="F84" s="17"/>
      <c r="G84" s="17"/>
      <c r="H84" s="17"/>
      <c r="I84" s="17"/>
      <c r="J84" s="17"/>
      <c r="N84" s="17"/>
      <c r="O84" s="17"/>
      <c r="P84" s="17"/>
    </row>
    <row r="85" spans="4:16" ht="15.75" customHeight="1" x14ac:dyDescent="0.25">
      <c r="D85" s="17"/>
      <c r="E85" s="17"/>
      <c r="F85" s="17"/>
      <c r="G85" s="17"/>
      <c r="H85" s="17"/>
      <c r="I85" s="17"/>
      <c r="J85" s="17"/>
      <c r="N85" s="17"/>
      <c r="O85" s="17"/>
      <c r="P85" s="17"/>
    </row>
    <row r="86" spans="4:16" ht="15.75" customHeight="1" x14ac:dyDescent="0.25">
      <c r="D86" s="17"/>
      <c r="E86" s="17"/>
      <c r="F86" s="17"/>
      <c r="G86" s="17"/>
      <c r="H86" s="17"/>
      <c r="I86" s="17"/>
      <c r="J86" s="17"/>
      <c r="N86" s="17"/>
      <c r="O86" s="17"/>
      <c r="P86" s="17"/>
    </row>
    <row r="87" spans="4:16" ht="15.75" customHeight="1" x14ac:dyDescent="0.25">
      <c r="D87" s="17"/>
      <c r="E87" s="17"/>
      <c r="F87" s="17"/>
      <c r="G87" s="17"/>
      <c r="H87" s="17"/>
      <c r="I87" s="17"/>
      <c r="J87" s="17"/>
      <c r="N87" s="17"/>
      <c r="O87" s="17"/>
      <c r="P87" s="17"/>
    </row>
    <row r="88" spans="4:16" ht="15.75" customHeight="1" x14ac:dyDescent="0.25">
      <c r="D88" s="17"/>
      <c r="E88" s="17"/>
      <c r="F88" s="17"/>
      <c r="G88" s="17"/>
      <c r="H88" s="17"/>
      <c r="I88" s="17"/>
      <c r="J88" s="17"/>
      <c r="N88" s="17"/>
      <c r="O88" s="17"/>
      <c r="P88" s="17"/>
    </row>
    <row r="89" spans="4:16" ht="15.75" customHeight="1" x14ac:dyDescent="0.25">
      <c r="D89" s="17"/>
      <c r="E89" s="17"/>
      <c r="F89" s="17"/>
      <c r="G89" s="17"/>
      <c r="H89" s="17"/>
      <c r="I89" s="17"/>
      <c r="J89" s="17"/>
      <c r="N89" s="17"/>
      <c r="O89" s="17"/>
      <c r="P89" s="17"/>
    </row>
    <row r="90" spans="4:16" ht="15.75" customHeight="1" x14ac:dyDescent="0.25">
      <c r="D90" s="17"/>
      <c r="E90" s="17"/>
      <c r="F90" s="17"/>
      <c r="G90" s="17"/>
      <c r="H90" s="17"/>
      <c r="I90" s="17"/>
      <c r="J90" s="17"/>
      <c r="N90" s="17"/>
      <c r="O90" s="17"/>
      <c r="P90" s="17"/>
    </row>
    <row r="91" spans="4:16" ht="15.75" customHeight="1" x14ac:dyDescent="0.25">
      <c r="D91" s="17"/>
      <c r="E91" s="17"/>
      <c r="F91" s="17"/>
      <c r="G91" s="17"/>
      <c r="H91" s="17"/>
      <c r="I91" s="17"/>
      <c r="J91" s="17"/>
      <c r="N91" s="17"/>
      <c r="O91" s="17"/>
      <c r="P91" s="17"/>
    </row>
    <row r="92" spans="4:16" ht="15.75" customHeight="1" x14ac:dyDescent="0.25">
      <c r="D92" s="17"/>
      <c r="E92" s="17"/>
      <c r="F92" s="17"/>
      <c r="G92" s="17"/>
      <c r="H92" s="17"/>
      <c r="I92" s="17"/>
      <c r="J92" s="17"/>
      <c r="N92" s="17"/>
      <c r="O92" s="17"/>
      <c r="P92" s="17"/>
    </row>
    <row r="93" spans="4:16" ht="15.75" customHeight="1" x14ac:dyDescent="0.25">
      <c r="D93" s="17"/>
      <c r="E93" s="17"/>
      <c r="F93" s="17"/>
      <c r="G93" s="17"/>
      <c r="H93" s="17"/>
      <c r="I93" s="17"/>
      <c r="J93" s="17"/>
      <c r="N93" s="17"/>
      <c r="O93" s="17"/>
      <c r="P93" s="17"/>
    </row>
    <row r="94" spans="4:16" ht="15.75" customHeight="1" x14ac:dyDescent="0.25">
      <c r="D94" s="17"/>
      <c r="E94" s="17"/>
      <c r="F94" s="17"/>
      <c r="G94" s="17"/>
      <c r="H94" s="17"/>
      <c r="I94" s="17"/>
      <c r="J94" s="17"/>
      <c r="N94" s="17"/>
      <c r="O94" s="17"/>
      <c r="P94" s="17"/>
    </row>
    <row r="95" spans="4:16" ht="15.75" customHeight="1" x14ac:dyDescent="0.25">
      <c r="D95" s="17"/>
      <c r="E95" s="17"/>
      <c r="F95" s="17"/>
      <c r="G95" s="17"/>
      <c r="H95" s="17"/>
      <c r="I95" s="17"/>
      <c r="J95" s="17"/>
      <c r="N95" s="17"/>
      <c r="O95" s="17"/>
      <c r="P95" s="17"/>
    </row>
    <row r="96" spans="4:16" ht="15.75" customHeight="1" x14ac:dyDescent="0.25">
      <c r="D96" s="17"/>
      <c r="E96" s="17"/>
      <c r="F96" s="17"/>
      <c r="G96" s="17"/>
      <c r="H96" s="17"/>
      <c r="I96" s="17"/>
      <c r="J96" s="17"/>
      <c r="N96" s="17"/>
      <c r="O96" s="17"/>
      <c r="P96" s="17"/>
    </row>
    <row r="97" spans="4:16" ht="15.75" customHeight="1" x14ac:dyDescent="0.25">
      <c r="D97" s="17"/>
      <c r="E97" s="17"/>
      <c r="F97" s="17"/>
      <c r="G97" s="17"/>
      <c r="H97" s="17"/>
      <c r="I97" s="17"/>
      <c r="J97" s="17"/>
      <c r="N97" s="17"/>
      <c r="O97" s="17"/>
      <c r="P97" s="17"/>
    </row>
    <row r="98" spans="4:16" ht="15.75" customHeight="1" x14ac:dyDescent="0.25">
      <c r="D98" s="17"/>
      <c r="E98" s="17"/>
      <c r="F98" s="17"/>
      <c r="G98" s="17"/>
      <c r="H98" s="17"/>
      <c r="I98" s="17"/>
      <c r="J98" s="17"/>
      <c r="N98" s="17"/>
      <c r="O98" s="17"/>
      <c r="P98" s="17"/>
    </row>
    <row r="99" spans="4:16" ht="15.75" customHeight="1" x14ac:dyDescent="0.25">
      <c r="D99" s="17"/>
      <c r="E99" s="17"/>
      <c r="F99" s="17"/>
      <c r="G99" s="17"/>
      <c r="H99" s="17"/>
      <c r="I99" s="17"/>
      <c r="J99" s="17"/>
      <c r="N99" s="17"/>
      <c r="O99" s="17"/>
      <c r="P99" s="17"/>
    </row>
    <row r="100" spans="4:16" ht="15.75" customHeight="1" x14ac:dyDescent="0.25">
      <c r="D100" s="17"/>
      <c r="E100" s="17"/>
      <c r="F100" s="17"/>
      <c r="G100" s="17"/>
      <c r="H100" s="17"/>
      <c r="I100" s="17"/>
      <c r="J100" s="17"/>
      <c r="N100" s="17"/>
      <c r="O100" s="17"/>
      <c r="P100" s="17"/>
    </row>
    <row r="101" spans="4:16" ht="15.75" customHeight="1" x14ac:dyDescent="0.25">
      <c r="D101" s="17"/>
      <c r="E101" s="17"/>
      <c r="F101" s="17"/>
      <c r="G101" s="17"/>
      <c r="H101" s="17"/>
      <c r="I101" s="17"/>
      <c r="J101" s="17"/>
      <c r="N101" s="17"/>
      <c r="O101" s="17"/>
      <c r="P101" s="17"/>
    </row>
    <row r="102" spans="4:16" ht="15.75" customHeight="1" x14ac:dyDescent="0.25">
      <c r="D102" s="17"/>
      <c r="E102" s="17"/>
      <c r="F102" s="17"/>
      <c r="G102" s="17"/>
      <c r="H102" s="17"/>
      <c r="I102" s="17"/>
      <c r="J102" s="17"/>
      <c r="N102" s="17"/>
      <c r="O102" s="17"/>
      <c r="P102" s="17"/>
    </row>
    <row r="103" spans="4:16" ht="15.75" customHeight="1" x14ac:dyDescent="0.25">
      <c r="D103" s="17"/>
      <c r="E103" s="17"/>
      <c r="F103" s="17"/>
      <c r="G103" s="17"/>
      <c r="H103" s="17"/>
      <c r="I103" s="17"/>
      <c r="J103" s="17"/>
      <c r="N103" s="17"/>
      <c r="O103" s="17"/>
      <c r="P103" s="17"/>
    </row>
    <row r="104" spans="4:16" ht="15.75" customHeight="1" x14ac:dyDescent="0.25">
      <c r="D104" s="17"/>
      <c r="E104" s="17"/>
      <c r="F104" s="17"/>
      <c r="G104" s="17"/>
      <c r="H104" s="17"/>
      <c r="I104" s="17"/>
      <c r="J104" s="17"/>
      <c r="N104" s="17"/>
      <c r="O104" s="17"/>
      <c r="P104" s="17"/>
    </row>
    <row r="105" spans="4:16" ht="15.75" customHeight="1" x14ac:dyDescent="0.25">
      <c r="D105" s="17"/>
      <c r="E105" s="17"/>
      <c r="F105" s="17"/>
      <c r="G105" s="17"/>
      <c r="H105" s="17"/>
      <c r="I105" s="17"/>
      <c r="J105" s="17"/>
      <c r="N105" s="17"/>
      <c r="O105" s="17"/>
      <c r="P105" s="17"/>
    </row>
    <row r="106" spans="4:16" ht="15.75" customHeight="1" x14ac:dyDescent="0.25">
      <c r="D106" s="17"/>
      <c r="E106" s="17"/>
      <c r="F106" s="17"/>
      <c r="G106" s="17"/>
      <c r="H106" s="17"/>
      <c r="I106" s="17"/>
      <c r="J106" s="17"/>
      <c r="N106" s="17"/>
      <c r="O106" s="17"/>
      <c r="P106" s="17"/>
    </row>
    <row r="107" spans="4:16" ht="15.75" customHeight="1" x14ac:dyDescent="0.25">
      <c r="D107" s="17"/>
      <c r="E107" s="17"/>
      <c r="F107" s="17"/>
      <c r="G107" s="17"/>
      <c r="H107" s="17"/>
      <c r="I107" s="17"/>
      <c r="J107" s="17"/>
      <c r="N107" s="17"/>
      <c r="O107" s="17"/>
      <c r="P107" s="17"/>
    </row>
    <row r="108" spans="4:16" ht="15.75" customHeight="1" x14ac:dyDescent="0.25">
      <c r="D108" s="17"/>
      <c r="E108" s="17"/>
      <c r="F108" s="17"/>
      <c r="G108" s="17"/>
      <c r="H108" s="17"/>
      <c r="I108" s="17"/>
      <c r="J108" s="17"/>
      <c r="N108" s="17"/>
      <c r="O108" s="17"/>
      <c r="P108" s="17"/>
    </row>
    <row r="109" spans="4:16" ht="15.75" customHeight="1" x14ac:dyDescent="0.25">
      <c r="D109" s="17"/>
      <c r="E109" s="17"/>
      <c r="F109" s="17"/>
      <c r="G109" s="17"/>
      <c r="H109" s="17"/>
      <c r="I109" s="17"/>
      <c r="J109" s="17"/>
      <c r="N109" s="17"/>
      <c r="O109" s="17"/>
      <c r="P109" s="17"/>
    </row>
    <row r="110" spans="4:16" ht="15.75" customHeight="1" x14ac:dyDescent="0.25">
      <c r="D110" s="17"/>
      <c r="E110" s="17"/>
      <c r="F110" s="17"/>
      <c r="G110" s="17"/>
      <c r="H110" s="17"/>
      <c r="I110" s="17"/>
      <c r="J110" s="17"/>
      <c r="N110" s="17"/>
      <c r="O110" s="17"/>
      <c r="P110" s="17"/>
    </row>
    <row r="111" spans="4:16" ht="15.75" customHeight="1" x14ac:dyDescent="0.25">
      <c r="D111" s="17"/>
      <c r="E111" s="17"/>
      <c r="F111" s="17"/>
      <c r="G111" s="17"/>
      <c r="H111" s="17"/>
      <c r="I111" s="17"/>
      <c r="J111" s="17"/>
      <c r="N111" s="17"/>
      <c r="O111" s="17"/>
      <c r="P111" s="17"/>
    </row>
    <row r="112" spans="4:16" ht="15.75" customHeight="1" x14ac:dyDescent="0.25">
      <c r="D112" s="17"/>
      <c r="E112" s="17"/>
      <c r="F112" s="17"/>
      <c r="G112" s="17"/>
      <c r="H112" s="17"/>
      <c r="I112" s="17"/>
      <c r="J112" s="17"/>
      <c r="N112" s="17"/>
      <c r="O112" s="17"/>
      <c r="P112" s="17"/>
    </row>
    <row r="113" spans="4:16" ht="15.75" customHeight="1" x14ac:dyDescent="0.25">
      <c r="D113" s="17"/>
      <c r="E113" s="17"/>
      <c r="F113" s="17"/>
      <c r="G113" s="17"/>
      <c r="H113" s="17"/>
      <c r="I113" s="17"/>
      <c r="J113" s="17"/>
      <c r="N113" s="17"/>
      <c r="O113" s="17"/>
      <c r="P113" s="17"/>
    </row>
    <row r="114" spans="4:16" ht="15.75" customHeight="1" x14ac:dyDescent="0.25">
      <c r="D114" s="17"/>
      <c r="E114" s="17"/>
      <c r="F114" s="17"/>
      <c r="G114" s="17"/>
      <c r="H114" s="17"/>
      <c r="I114" s="17"/>
      <c r="J114" s="17"/>
      <c r="N114" s="17"/>
      <c r="O114" s="17"/>
      <c r="P114" s="17"/>
    </row>
    <row r="115" spans="4:16" ht="15.75" customHeight="1" x14ac:dyDescent="0.25">
      <c r="D115" s="17"/>
      <c r="E115" s="17"/>
      <c r="F115" s="17"/>
      <c r="G115" s="17"/>
      <c r="H115" s="17"/>
      <c r="I115" s="17"/>
      <c r="J115" s="17"/>
      <c r="N115" s="17"/>
      <c r="O115" s="17"/>
      <c r="P115" s="17"/>
    </row>
    <row r="116" spans="4:16" ht="15.75" customHeight="1" x14ac:dyDescent="0.25">
      <c r="D116" s="17"/>
      <c r="E116" s="17"/>
      <c r="F116" s="17"/>
      <c r="G116" s="17"/>
      <c r="H116" s="17"/>
      <c r="I116" s="17"/>
      <c r="J116" s="17"/>
      <c r="N116" s="17"/>
      <c r="O116" s="17"/>
      <c r="P116" s="17"/>
    </row>
    <row r="117" spans="4:16" ht="15.75" customHeight="1" x14ac:dyDescent="0.25">
      <c r="D117" s="17"/>
      <c r="E117" s="17"/>
      <c r="F117" s="17"/>
      <c r="G117" s="17"/>
      <c r="H117" s="17"/>
      <c r="I117" s="17"/>
      <c r="J117" s="17"/>
      <c r="N117" s="17"/>
      <c r="O117" s="17"/>
      <c r="P117" s="17"/>
    </row>
    <row r="118" spans="4:16" ht="15.75" customHeight="1" x14ac:dyDescent="0.25">
      <c r="D118" s="17"/>
      <c r="E118" s="17"/>
      <c r="F118" s="17"/>
      <c r="G118" s="17"/>
      <c r="H118" s="17"/>
      <c r="I118" s="17"/>
      <c r="J118" s="17"/>
      <c r="N118" s="17"/>
      <c r="O118" s="17"/>
      <c r="P118" s="17"/>
    </row>
    <row r="119" spans="4:16" ht="15.75" customHeight="1" x14ac:dyDescent="0.25">
      <c r="D119" s="17"/>
      <c r="E119" s="17"/>
      <c r="F119" s="17"/>
      <c r="G119" s="17"/>
      <c r="H119" s="17"/>
      <c r="I119" s="17"/>
      <c r="J119" s="17"/>
      <c r="N119" s="17"/>
      <c r="O119" s="17"/>
      <c r="P119" s="17"/>
    </row>
    <row r="120" spans="4:16" ht="15.75" customHeight="1" x14ac:dyDescent="0.25">
      <c r="D120" s="17"/>
      <c r="E120" s="17"/>
      <c r="F120" s="17"/>
      <c r="G120" s="17"/>
      <c r="H120" s="17"/>
      <c r="I120" s="17"/>
      <c r="J120" s="17"/>
      <c r="N120" s="17"/>
      <c r="O120" s="17"/>
      <c r="P120" s="17"/>
    </row>
    <row r="121" spans="4:16" ht="15.75" customHeight="1" x14ac:dyDescent="0.25">
      <c r="D121" s="17"/>
      <c r="E121" s="17"/>
      <c r="F121" s="17"/>
      <c r="G121" s="17"/>
      <c r="H121" s="17"/>
      <c r="I121" s="17"/>
      <c r="J121" s="17"/>
      <c r="N121" s="17"/>
      <c r="O121" s="17"/>
      <c r="P121" s="17"/>
    </row>
    <row r="122" spans="4:16" ht="15.75" customHeight="1" x14ac:dyDescent="0.25">
      <c r="D122" s="17"/>
      <c r="E122" s="17"/>
      <c r="F122" s="17"/>
      <c r="G122" s="17"/>
      <c r="H122" s="17"/>
      <c r="I122" s="17"/>
      <c r="J122" s="17"/>
      <c r="N122" s="17"/>
      <c r="O122" s="17"/>
      <c r="P122" s="17"/>
    </row>
    <row r="123" spans="4:16" ht="15.75" customHeight="1" x14ac:dyDescent="0.25">
      <c r="D123" s="17"/>
      <c r="E123" s="17"/>
      <c r="F123" s="17"/>
      <c r="G123" s="17"/>
      <c r="H123" s="17"/>
      <c r="I123" s="17"/>
      <c r="J123" s="17"/>
      <c r="N123" s="17"/>
      <c r="O123" s="17"/>
      <c r="P123" s="17"/>
    </row>
    <row r="124" spans="4:16" ht="15.75" customHeight="1" x14ac:dyDescent="0.25">
      <c r="D124" s="17"/>
      <c r="E124" s="17"/>
      <c r="F124" s="17"/>
      <c r="G124" s="17"/>
      <c r="H124" s="17"/>
      <c r="I124" s="17"/>
      <c r="J124" s="17"/>
      <c r="N124" s="17"/>
      <c r="O124" s="17"/>
      <c r="P124" s="17"/>
    </row>
    <row r="125" spans="4:16" ht="15.75" customHeight="1" x14ac:dyDescent="0.25">
      <c r="D125" s="17"/>
      <c r="E125" s="17"/>
      <c r="F125" s="17"/>
      <c r="G125" s="17"/>
      <c r="H125" s="17"/>
      <c r="I125" s="17"/>
      <c r="J125" s="17"/>
      <c r="N125" s="17"/>
      <c r="O125" s="17"/>
      <c r="P125" s="17"/>
    </row>
    <row r="126" spans="4:16" ht="15.75" customHeight="1" x14ac:dyDescent="0.25">
      <c r="D126" s="17"/>
      <c r="E126" s="17"/>
      <c r="F126" s="17"/>
      <c r="G126" s="17"/>
      <c r="H126" s="17"/>
      <c r="I126" s="17"/>
      <c r="J126" s="17"/>
      <c r="N126" s="17"/>
      <c r="O126" s="17"/>
      <c r="P126" s="17"/>
    </row>
    <row r="127" spans="4:16" ht="15.75" customHeight="1" x14ac:dyDescent="0.25">
      <c r="D127" s="17"/>
      <c r="E127" s="17"/>
      <c r="F127" s="17"/>
      <c r="G127" s="17"/>
      <c r="H127" s="17"/>
      <c r="I127" s="17"/>
      <c r="J127" s="17"/>
      <c r="N127" s="17"/>
      <c r="O127" s="17"/>
      <c r="P127" s="17"/>
    </row>
    <row r="128" spans="4:16" ht="15.75" customHeight="1" x14ac:dyDescent="0.25">
      <c r="D128" s="17"/>
      <c r="E128" s="17"/>
      <c r="F128" s="17"/>
      <c r="G128" s="17"/>
      <c r="H128" s="17"/>
      <c r="I128" s="17"/>
      <c r="J128" s="17"/>
      <c r="N128" s="17"/>
      <c r="O128" s="17"/>
      <c r="P128" s="17"/>
    </row>
    <row r="129" spans="4:16" ht="15.75" customHeight="1" x14ac:dyDescent="0.25">
      <c r="D129" s="17"/>
      <c r="E129" s="17"/>
      <c r="F129" s="17"/>
      <c r="G129" s="17"/>
      <c r="H129" s="17"/>
      <c r="I129" s="17"/>
      <c r="J129" s="17"/>
      <c r="N129" s="17"/>
      <c r="O129" s="17"/>
      <c r="P129" s="17"/>
    </row>
    <row r="130" spans="4:16" ht="15.75" customHeight="1" x14ac:dyDescent="0.25">
      <c r="D130" s="17"/>
      <c r="E130" s="17"/>
      <c r="F130" s="17"/>
      <c r="G130" s="17"/>
      <c r="H130" s="17"/>
      <c r="I130" s="17"/>
      <c r="J130" s="17"/>
      <c r="N130" s="17"/>
      <c r="O130" s="17"/>
      <c r="P130" s="17"/>
    </row>
    <row r="131" spans="4:16" ht="15.75" customHeight="1" x14ac:dyDescent="0.25">
      <c r="D131" s="17"/>
      <c r="E131" s="17"/>
      <c r="F131" s="17"/>
      <c r="G131" s="17"/>
      <c r="H131" s="17"/>
      <c r="I131" s="17"/>
      <c r="J131" s="17"/>
      <c r="N131" s="17"/>
      <c r="O131" s="17"/>
      <c r="P131" s="17"/>
    </row>
    <row r="132" spans="4:16" ht="15.75" customHeight="1" x14ac:dyDescent="0.25">
      <c r="D132" s="17"/>
      <c r="E132" s="17"/>
      <c r="F132" s="17"/>
      <c r="G132" s="17"/>
      <c r="H132" s="17"/>
      <c r="I132" s="17"/>
      <c r="J132" s="17"/>
      <c r="N132" s="17"/>
      <c r="O132" s="17"/>
      <c r="P132" s="17"/>
    </row>
    <row r="133" spans="4:16" ht="15.75" customHeight="1" x14ac:dyDescent="0.25">
      <c r="D133" s="17"/>
      <c r="E133" s="17"/>
      <c r="F133" s="17"/>
      <c r="G133" s="17"/>
      <c r="H133" s="17"/>
      <c r="I133" s="17"/>
      <c r="J133" s="17"/>
      <c r="N133" s="17"/>
      <c r="O133" s="17"/>
      <c r="P133" s="17"/>
    </row>
    <row r="134" spans="4:16" ht="15.75" customHeight="1" x14ac:dyDescent="0.25">
      <c r="D134" s="17"/>
      <c r="E134" s="17"/>
      <c r="F134" s="17"/>
      <c r="G134" s="17"/>
      <c r="H134" s="17"/>
      <c r="I134" s="17"/>
      <c r="J134" s="17"/>
      <c r="N134" s="17"/>
      <c r="O134" s="17"/>
      <c r="P134" s="17"/>
    </row>
    <row r="135" spans="4:16" ht="15.75" customHeight="1" x14ac:dyDescent="0.25">
      <c r="D135" s="17"/>
      <c r="E135" s="17"/>
      <c r="F135" s="17"/>
      <c r="G135" s="17"/>
      <c r="H135" s="17"/>
      <c r="I135" s="17"/>
      <c r="J135" s="17"/>
      <c r="N135" s="17"/>
      <c r="O135" s="17"/>
      <c r="P135" s="17"/>
    </row>
    <row r="136" spans="4:16" ht="15.75" customHeight="1" x14ac:dyDescent="0.25">
      <c r="D136" s="17"/>
      <c r="E136" s="17"/>
      <c r="F136" s="17"/>
      <c r="G136" s="17"/>
      <c r="H136" s="17"/>
      <c r="I136" s="17"/>
      <c r="J136" s="17"/>
      <c r="N136" s="17"/>
      <c r="O136" s="17"/>
      <c r="P136" s="17"/>
    </row>
    <row r="137" spans="4:16" ht="15.75" customHeight="1" x14ac:dyDescent="0.25">
      <c r="D137" s="17"/>
      <c r="E137" s="17"/>
      <c r="F137" s="17"/>
      <c r="G137" s="17"/>
      <c r="H137" s="17"/>
      <c r="I137" s="17"/>
      <c r="J137" s="17"/>
      <c r="N137" s="17"/>
      <c r="O137" s="17"/>
      <c r="P137" s="17"/>
    </row>
    <row r="138" spans="4:16" ht="15.75" customHeight="1" x14ac:dyDescent="0.25">
      <c r="D138" s="17"/>
      <c r="E138" s="17"/>
      <c r="F138" s="17"/>
      <c r="G138" s="17"/>
      <c r="H138" s="17"/>
      <c r="I138" s="17"/>
      <c r="J138" s="17"/>
      <c r="N138" s="17"/>
      <c r="O138" s="17"/>
      <c r="P138" s="17"/>
    </row>
    <row r="139" spans="4:16" ht="15.75" customHeight="1" x14ac:dyDescent="0.25">
      <c r="D139" s="17"/>
      <c r="E139" s="17"/>
      <c r="F139" s="17"/>
      <c r="G139" s="17"/>
      <c r="H139" s="17"/>
      <c r="I139" s="17"/>
      <c r="J139" s="17"/>
      <c r="N139" s="17"/>
      <c r="O139" s="17"/>
      <c r="P139" s="17"/>
    </row>
    <row r="140" spans="4:16" ht="15.75" customHeight="1" x14ac:dyDescent="0.25">
      <c r="D140" s="17"/>
      <c r="E140" s="17"/>
      <c r="F140" s="17"/>
      <c r="G140" s="17"/>
      <c r="H140" s="17"/>
      <c r="I140" s="17"/>
      <c r="J140" s="17"/>
      <c r="N140" s="17"/>
      <c r="O140" s="17"/>
      <c r="P140" s="17"/>
    </row>
    <row r="141" spans="4:16" ht="15.75" customHeight="1" x14ac:dyDescent="0.25">
      <c r="D141" s="17"/>
      <c r="E141" s="17"/>
      <c r="F141" s="17"/>
      <c r="G141" s="17"/>
      <c r="H141" s="17"/>
      <c r="I141" s="17"/>
      <c r="J141" s="17"/>
      <c r="N141" s="17"/>
      <c r="O141" s="17"/>
      <c r="P141" s="17"/>
    </row>
    <row r="142" spans="4:16" ht="15.75" customHeight="1" x14ac:dyDescent="0.25">
      <c r="D142" s="17"/>
      <c r="E142" s="17"/>
      <c r="F142" s="17"/>
      <c r="G142" s="17"/>
      <c r="H142" s="17"/>
      <c r="I142" s="17"/>
      <c r="J142" s="17"/>
      <c r="N142" s="17"/>
      <c r="O142" s="17"/>
      <c r="P142" s="17"/>
    </row>
    <row r="143" spans="4:16" ht="15.75" customHeight="1" x14ac:dyDescent="0.25">
      <c r="D143" s="17"/>
      <c r="E143" s="17"/>
      <c r="F143" s="17"/>
      <c r="G143" s="17"/>
      <c r="H143" s="17"/>
      <c r="I143" s="17"/>
      <c r="J143" s="17"/>
      <c r="N143" s="17"/>
      <c r="O143" s="17"/>
      <c r="P143" s="17"/>
    </row>
    <row r="144" spans="4:16" ht="15.75" customHeight="1" x14ac:dyDescent="0.25">
      <c r="D144" s="17"/>
      <c r="E144" s="17"/>
      <c r="F144" s="17"/>
      <c r="G144" s="17"/>
      <c r="H144" s="17"/>
      <c r="I144" s="17"/>
      <c r="J144" s="17"/>
      <c r="N144" s="17"/>
      <c r="O144" s="17"/>
      <c r="P144" s="17"/>
    </row>
    <row r="145" spans="4:16" ht="15.75" customHeight="1" x14ac:dyDescent="0.25">
      <c r="D145" s="17"/>
      <c r="E145" s="17"/>
      <c r="F145" s="17"/>
      <c r="G145" s="17"/>
      <c r="H145" s="17"/>
      <c r="I145" s="17"/>
      <c r="J145" s="17"/>
      <c r="N145" s="17"/>
      <c r="O145" s="17"/>
      <c r="P145" s="17"/>
    </row>
    <row r="146" spans="4:16" ht="15.75" customHeight="1" x14ac:dyDescent="0.25">
      <c r="D146" s="17"/>
      <c r="E146" s="17"/>
      <c r="F146" s="17"/>
      <c r="G146" s="17"/>
      <c r="H146" s="17"/>
      <c r="I146" s="17"/>
      <c r="J146" s="17"/>
      <c r="N146" s="17"/>
      <c r="O146" s="17"/>
      <c r="P146" s="17"/>
    </row>
    <row r="147" spans="4:16" ht="15.75" customHeight="1" x14ac:dyDescent="0.25">
      <c r="D147" s="17"/>
      <c r="E147" s="17"/>
      <c r="F147" s="17"/>
      <c r="G147" s="17"/>
      <c r="H147" s="17"/>
      <c r="I147" s="17"/>
      <c r="J147" s="17"/>
      <c r="N147" s="17"/>
      <c r="O147" s="17"/>
      <c r="P147" s="17"/>
    </row>
    <row r="148" spans="4:16" ht="15.75" customHeight="1" x14ac:dyDescent="0.25">
      <c r="D148" s="17"/>
      <c r="E148" s="17"/>
      <c r="F148" s="17"/>
      <c r="G148" s="17"/>
      <c r="H148" s="17"/>
      <c r="I148" s="17"/>
      <c r="J148" s="17"/>
      <c r="N148" s="17"/>
      <c r="O148" s="17"/>
      <c r="P148" s="17"/>
    </row>
    <row r="149" spans="4:16" ht="15.75" customHeight="1" x14ac:dyDescent="0.25">
      <c r="D149" s="17"/>
      <c r="E149" s="17"/>
      <c r="F149" s="17"/>
      <c r="G149" s="17"/>
      <c r="H149" s="17"/>
      <c r="I149" s="17"/>
      <c r="J149" s="17"/>
      <c r="N149" s="17"/>
      <c r="O149" s="17"/>
      <c r="P149" s="17"/>
    </row>
    <row r="150" spans="4:16" ht="15.75" customHeight="1" x14ac:dyDescent="0.25">
      <c r="D150" s="17"/>
      <c r="E150" s="17"/>
      <c r="F150" s="17"/>
      <c r="G150" s="17"/>
      <c r="H150" s="17"/>
      <c r="I150" s="17"/>
      <c r="J150" s="17"/>
      <c r="N150" s="17"/>
      <c r="O150" s="17"/>
      <c r="P150" s="17"/>
    </row>
    <row r="151" spans="4:16" ht="15.75" customHeight="1" x14ac:dyDescent="0.25">
      <c r="D151" s="17"/>
      <c r="E151" s="17"/>
      <c r="F151" s="17"/>
      <c r="G151" s="17"/>
      <c r="H151" s="17"/>
      <c r="I151" s="17"/>
      <c r="J151" s="17"/>
      <c r="N151" s="17"/>
      <c r="O151" s="17"/>
      <c r="P151" s="17"/>
    </row>
    <row r="152" spans="4:16" ht="15.75" customHeight="1" x14ac:dyDescent="0.25">
      <c r="D152" s="17"/>
      <c r="E152" s="17"/>
      <c r="F152" s="17"/>
      <c r="G152" s="17"/>
      <c r="H152" s="17"/>
      <c r="I152" s="17"/>
      <c r="J152" s="17"/>
      <c r="N152" s="17"/>
      <c r="O152" s="17"/>
      <c r="P152" s="17"/>
    </row>
    <row r="153" spans="4:16" ht="15.75" customHeight="1" x14ac:dyDescent="0.25">
      <c r="D153" s="17"/>
      <c r="E153" s="17"/>
      <c r="F153" s="17"/>
      <c r="G153" s="17"/>
      <c r="H153" s="17"/>
      <c r="I153" s="17"/>
      <c r="J153" s="17"/>
      <c r="N153" s="17"/>
      <c r="O153" s="17"/>
      <c r="P153" s="17"/>
    </row>
    <row r="154" spans="4:16" ht="15.75" customHeight="1" x14ac:dyDescent="0.25">
      <c r="D154" s="17"/>
      <c r="E154" s="17"/>
      <c r="F154" s="17"/>
      <c r="G154" s="17"/>
      <c r="H154" s="17"/>
      <c r="I154" s="17"/>
      <c r="J154" s="17"/>
      <c r="N154" s="17"/>
      <c r="O154" s="17"/>
      <c r="P154" s="17"/>
    </row>
    <row r="155" spans="4:16" ht="15.75" customHeight="1" x14ac:dyDescent="0.25">
      <c r="D155" s="17"/>
      <c r="E155" s="17"/>
      <c r="F155" s="17"/>
      <c r="G155" s="17"/>
      <c r="H155" s="17"/>
      <c r="I155" s="17"/>
      <c r="J155" s="17"/>
      <c r="N155" s="17"/>
      <c r="O155" s="17"/>
      <c r="P155" s="17"/>
    </row>
    <row r="156" spans="4:16" ht="15.75" customHeight="1" x14ac:dyDescent="0.25">
      <c r="D156" s="17"/>
      <c r="E156" s="17"/>
      <c r="F156" s="17"/>
      <c r="G156" s="17"/>
      <c r="H156" s="17"/>
      <c r="I156" s="17"/>
      <c r="J156" s="17"/>
      <c r="N156" s="17"/>
      <c r="O156" s="17"/>
      <c r="P156" s="17"/>
    </row>
    <row r="157" spans="4:16" ht="15.75" customHeight="1" x14ac:dyDescent="0.25">
      <c r="D157" s="17"/>
      <c r="E157" s="17"/>
      <c r="F157" s="17"/>
      <c r="G157" s="17"/>
      <c r="H157" s="17"/>
      <c r="I157" s="17"/>
      <c r="J157" s="17"/>
      <c r="N157" s="17"/>
      <c r="O157" s="17"/>
      <c r="P157" s="17"/>
    </row>
    <row r="158" spans="4:16" ht="15.75" customHeight="1" x14ac:dyDescent="0.25">
      <c r="D158" s="17"/>
      <c r="E158" s="17"/>
      <c r="F158" s="17"/>
      <c r="G158" s="17"/>
      <c r="H158" s="17"/>
      <c r="I158" s="17"/>
      <c r="J158" s="17"/>
      <c r="N158" s="17"/>
      <c r="O158" s="17"/>
      <c r="P158" s="17"/>
    </row>
    <row r="159" spans="4:16" ht="15.75" customHeight="1" x14ac:dyDescent="0.25">
      <c r="D159" s="17"/>
      <c r="E159" s="17"/>
      <c r="F159" s="17"/>
      <c r="G159" s="17"/>
      <c r="H159" s="17"/>
      <c r="I159" s="17"/>
      <c r="J159" s="17"/>
      <c r="N159" s="17"/>
      <c r="O159" s="17"/>
      <c r="P159" s="17"/>
    </row>
    <row r="160" spans="4:16" ht="15.75" customHeight="1" x14ac:dyDescent="0.25">
      <c r="D160" s="17"/>
      <c r="E160" s="17"/>
      <c r="F160" s="17"/>
      <c r="G160" s="17"/>
      <c r="H160" s="17"/>
      <c r="I160" s="17"/>
      <c r="J160" s="17"/>
      <c r="N160" s="17"/>
      <c r="O160" s="17"/>
      <c r="P160" s="17"/>
    </row>
    <row r="161" spans="4:16" ht="15.75" customHeight="1" x14ac:dyDescent="0.25">
      <c r="D161" s="17"/>
      <c r="E161" s="17"/>
      <c r="F161" s="17"/>
      <c r="G161" s="17"/>
      <c r="H161" s="17"/>
      <c r="I161" s="17"/>
      <c r="J161" s="17"/>
      <c r="N161" s="17"/>
      <c r="O161" s="17"/>
      <c r="P161" s="17"/>
    </row>
    <row r="162" spans="4:16" ht="15.75" customHeight="1" x14ac:dyDescent="0.25">
      <c r="D162" s="17"/>
      <c r="E162" s="17"/>
      <c r="F162" s="17"/>
      <c r="G162" s="17"/>
      <c r="H162" s="17"/>
      <c r="I162" s="17"/>
      <c r="J162" s="17"/>
      <c r="N162" s="17"/>
      <c r="O162" s="17"/>
      <c r="P162" s="17"/>
    </row>
    <row r="163" spans="4:16" ht="15.75" customHeight="1" x14ac:dyDescent="0.25">
      <c r="D163" s="17"/>
      <c r="E163" s="17"/>
      <c r="F163" s="17"/>
      <c r="G163" s="17"/>
      <c r="H163" s="17"/>
      <c r="I163" s="17"/>
      <c r="J163" s="17"/>
      <c r="N163" s="17"/>
      <c r="O163" s="17"/>
      <c r="P163" s="17"/>
    </row>
    <row r="164" spans="4:16" ht="15.75" customHeight="1" x14ac:dyDescent="0.25">
      <c r="D164" s="17"/>
      <c r="E164" s="17"/>
      <c r="F164" s="17"/>
      <c r="G164" s="17"/>
      <c r="H164" s="17"/>
      <c r="I164" s="17"/>
      <c r="J164" s="17"/>
      <c r="N164" s="17"/>
      <c r="O164" s="17"/>
      <c r="P164" s="17"/>
    </row>
    <row r="165" spans="4:16" ht="15.75" customHeight="1" x14ac:dyDescent="0.25">
      <c r="D165" s="17"/>
      <c r="E165" s="17"/>
      <c r="F165" s="17"/>
      <c r="G165" s="17"/>
      <c r="H165" s="17"/>
      <c r="I165" s="17"/>
      <c r="J165" s="17"/>
      <c r="N165" s="17"/>
      <c r="O165" s="17"/>
      <c r="P165" s="17"/>
    </row>
    <row r="166" spans="4:16" ht="15.75" customHeight="1" x14ac:dyDescent="0.25">
      <c r="D166" s="17"/>
      <c r="E166" s="17"/>
      <c r="F166" s="17"/>
      <c r="G166" s="17"/>
      <c r="H166" s="17"/>
      <c r="I166" s="17"/>
      <c r="J166" s="17"/>
      <c r="N166" s="17"/>
      <c r="O166" s="17"/>
      <c r="P166" s="17"/>
    </row>
    <row r="167" spans="4:16" ht="15.75" customHeight="1" x14ac:dyDescent="0.25">
      <c r="D167" s="17"/>
      <c r="E167" s="17"/>
      <c r="F167" s="17"/>
      <c r="G167" s="17"/>
      <c r="H167" s="17"/>
      <c r="I167" s="17"/>
      <c r="J167" s="17"/>
      <c r="N167" s="17"/>
      <c r="O167" s="17"/>
      <c r="P167" s="17"/>
    </row>
    <row r="168" spans="4:16" ht="15.75" customHeight="1" x14ac:dyDescent="0.25">
      <c r="D168" s="17"/>
      <c r="E168" s="17"/>
      <c r="F168" s="17"/>
      <c r="G168" s="17"/>
      <c r="H168" s="17"/>
      <c r="I168" s="17"/>
      <c r="J168" s="17"/>
      <c r="N168" s="17"/>
      <c r="O168" s="17"/>
      <c r="P168" s="17"/>
    </row>
    <row r="169" spans="4:16" ht="15.75" customHeight="1" x14ac:dyDescent="0.25">
      <c r="D169" s="17"/>
      <c r="E169" s="17"/>
      <c r="F169" s="17"/>
      <c r="G169" s="17"/>
      <c r="H169" s="17"/>
      <c r="I169" s="17"/>
      <c r="J169" s="17"/>
      <c r="N169" s="17"/>
      <c r="O169" s="17"/>
      <c r="P169" s="17"/>
    </row>
    <row r="170" spans="4:16" ht="15.75" customHeight="1" x14ac:dyDescent="0.25">
      <c r="D170" s="17"/>
      <c r="E170" s="17"/>
      <c r="F170" s="17"/>
      <c r="G170" s="17"/>
      <c r="H170" s="17"/>
      <c r="I170" s="17"/>
      <c r="J170" s="17"/>
      <c r="N170" s="17"/>
      <c r="O170" s="17"/>
      <c r="P170" s="17"/>
    </row>
    <row r="171" spans="4:16" ht="15.75" customHeight="1" x14ac:dyDescent="0.25">
      <c r="D171" s="17"/>
      <c r="E171" s="17"/>
      <c r="F171" s="17"/>
      <c r="G171" s="17"/>
      <c r="H171" s="17"/>
      <c r="I171" s="17"/>
      <c r="J171" s="17"/>
      <c r="N171" s="17"/>
      <c r="O171" s="17"/>
      <c r="P171" s="17"/>
    </row>
    <row r="172" spans="4:16" ht="15.75" customHeight="1" x14ac:dyDescent="0.25">
      <c r="D172" s="17"/>
      <c r="E172" s="17"/>
      <c r="F172" s="17"/>
      <c r="G172" s="17"/>
      <c r="H172" s="17"/>
      <c r="I172" s="17"/>
      <c r="J172" s="17"/>
      <c r="N172" s="17"/>
      <c r="O172" s="17"/>
      <c r="P172" s="17"/>
    </row>
    <row r="173" spans="4:16" ht="15.75" customHeight="1" x14ac:dyDescent="0.25">
      <c r="D173" s="17"/>
      <c r="E173" s="17"/>
      <c r="F173" s="17"/>
      <c r="G173" s="17"/>
      <c r="H173" s="17"/>
      <c r="I173" s="17"/>
      <c r="J173" s="17"/>
      <c r="N173" s="17"/>
      <c r="O173" s="17"/>
      <c r="P173" s="17"/>
    </row>
    <row r="174" spans="4:16" ht="15.75" customHeight="1" x14ac:dyDescent="0.25">
      <c r="D174" s="17"/>
      <c r="E174" s="17"/>
      <c r="F174" s="17"/>
      <c r="G174" s="17"/>
      <c r="H174" s="17"/>
      <c r="I174" s="17"/>
      <c r="J174" s="17"/>
      <c r="N174" s="17"/>
      <c r="O174" s="17"/>
      <c r="P174" s="17"/>
    </row>
    <row r="175" spans="4:16" ht="15.75" customHeight="1" x14ac:dyDescent="0.25">
      <c r="D175" s="17"/>
      <c r="E175" s="17"/>
      <c r="F175" s="17"/>
      <c r="G175" s="17"/>
      <c r="H175" s="17"/>
      <c r="I175" s="17"/>
      <c r="J175" s="17"/>
      <c r="N175" s="17"/>
      <c r="O175" s="17"/>
      <c r="P175" s="17"/>
    </row>
    <row r="176" spans="4:16" ht="15.75" customHeight="1" x14ac:dyDescent="0.25">
      <c r="D176" s="17"/>
      <c r="E176" s="17"/>
      <c r="F176" s="17"/>
      <c r="G176" s="17"/>
      <c r="H176" s="17"/>
      <c r="I176" s="17"/>
      <c r="J176" s="17"/>
      <c r="N176" s="17"/>
      <c r="O176" s="17"/>
      <c r="P176" s="17"/>
    </row>
    <row r="177" spans="4:16" ht="15.75" customHeight="1" x14ac:dyDescent="0.25">
      <c r="D177" s="17"/>
      <c r="E177" s="17"/>
      <c r="F177" s="17"/>
      <c r="G177" s="17"/>
      <c r="H177" s="17"/>
      <c r="I177" s="17"/>
      <c r="J177" s="17"/>
      <c r="N177" s="17"/>
      <c r="O177" s="17"/>
      <c r="P177" s="17"/>
    </row>
    <row r="178" spans="4:16" ht="15.75" customHeight="1" x14ac:dyDescent="0.25">
      <c r="D178" s="17"/>
      <c r="E178" s="17"/>
      <c r="F178" s="17"/>
      <c r="G178" s="17"/>
      <c r="H178" s="17"/>
      <c r="I178" s="17"/>
      <c r="J178" s="17"/>
      <c r="N178" s="17"/>
      <c r="O178" s="17"/>
      <c r="P178" s="17"/>
    </row>
    <row r="179" spans="4:16" ht="15.75" customHeight="1" x14ac:dyDescent="0.25">
      <c r="D179" s="17"/>
      <c r="E179" s="17"/>
      <c r="F179" s="17"/>
      <c r="G179" s="17"/>
      <c r="H179" s="17"/>
      <c r="I179" s="17"/>
      <c r="J179" s="17"/>
      <c r="N179" s="17"/>
      <c r="O179" s="17"/>
      <c r="P179" s="17"/>
    </row>
    <row r="180" spans="4:16" ht="15.75" customHeight="1" x14ac:dyDescent="0.25">
      <c r="D180" s="17"/>
      <c r="E180" s="17"/>
      <c r="F180" s="17"/>
      <c r="G180" s="17"/>
      <c r="H180" s="17"/>
      <c r="I180" s="17"/>
      <c r="J180" s="17"/>
      <c r="N180" s="17"/>
      <c r="O180" s="17"/>
      <c r="P180" s="17"/>
    </row>
    <row r="181" spans="4:16" ht="15.75" customHeight="1" x14ac:dyDescent="0.25">
      <c r="D181" s="17"/>
      <c r="E181" s="17"/>
      <c r="F181" s="17"/>
      <c r="G181" s="17"/>
      <c r="H181" s="17"/>
      <c r="I181" s="17"/>
      <c r="J181" s="17"/>
      <c r="N181" s="17"/>
      <c r="O181" s="17"/>
      <c r="P181" s="17"/>
    </row>
    <row r="182" spans="4:16" ht="15.75" customHeight="1" x14ac:dyDescent="0.25">
      <c r="D182" s="17"/>
      <c r="E182" s="17"/>
      <c r="F182" s="17"/>
      <c r="G182" s="17"/>
      <c r="H182" s="17"/>
      <c r="I182" s="17"/>
      <c r="J182" s="17"/>
      <c r="N182" s="17"/>
      <c r="O182" s="17"/>
      <c r="P182" s="17"/>
    </row>
    <row r="183" spans="4:16" ht="15.75" customHeight="1" x14ac:dyDescent="0.25">
      <c r="D183" s="17"/>
      <c r="E183" s="17"/>
      <c r="F183" s="17"/>
      <c r="G183" s="17"/>
      <c r="H183" s="17"/>
      <c r="I183" s="17"/>
      <c r="J183" s="17"/>
      <c r="N183" s="17"/>
      <c r="O183" s="17"/>
      <c r="P183" s="17"/>
    </row>
    <row r="184" spans="4:16" ht="15.75" customHeight="1" x14ac:dyDescent="0.25">
      <c r="D184" s="17"/>
      <c r="E184" s="17"/>
      <c r="F184" s="17"/>
      <c r="G184" s="17"/>
      <c r="H184" s="17"/>
      <c r="I184" s="17"/>
      <c r="J184" s="17"/>
      <c r="N184" s="17"/>
      <c r="O184" s="17"/>
      <c r="P184" s="17"/>
    </row>
    <row r="185" spans="4:16" ht="15.75" customHeight="1" x14ac:dyDescent="0.25">
      <c r="D185" s="17"/>
      <c r="E185" s="17"/>
      <c r="F185" s="17"/>
      <c r="G185" s="17"/>
      <c r="H185" s="17"/>
      <c r="I185" s="17"/>
      <c r="J185" s="17"/>
      <c r="N185" s="17"/>
      <c r="O185" s="17"/>
      <c r="P185" s="17"/>
    </row>
    <row r="186" spans="4:16" ht="15.75" customHeight="1" x14ac:dyDescent="0.25">
      <c r="D186" s="17"/>
      <c r="E186" s="17"/>
      <c r="F186" s="17"/>
      <c r="G186" s="17"/>
      <c r="H186" s="17"/>
      <c r="I186" s="17"/>
      <c r="J186" s="17"/>
      <c r="N186" s="17"/>
      <c r="O186" s="17"/>
      <c r="P186" s="17"/>
    </row>
    <row r="187" spans="4:16" ht="15.75" customHeight="1" x14ac:dyDescent="0.25">
      <c r="D187" s="17"/>
      <c r="E187" s="17"/>
      <c r="F187" s="17"/>
      <c r="G187" s="17"/>
      <c r="H187" s="17"/>
      <c r="I187" s="17"/>
      <c r="J187" s="17"/>
      <c r="N187" s="17"/>
      <c r="O187" s="17"/>
      <c r="P187" s="17"/>
    </row>
    <row r="188" spans="4:16" ht="15.75" customHeight="1" x14ac:dyDescent="0.25">
      <c r="D188" s="17"/>
      <c r="E188" s="17"/>
      <c r="F188" s="17"/>
      <c r="G188" s="17"/>
      <c r="H188" s="17"/>
      <c r="I188" s="17"/>
      <c r="J188" s="17"/>
      <c r="N188" s="17"/>
      <c r="O188" s="17"/>
      <c r="P188" s="17"/>
    </row>
    <row r="189" spans="4:16" ht="15.75" customHeight="1" x14ac:dyDescent="0.25">
      <c r="D189" s="17"/>
      <c r="E189" s="17"/>
      <c r="F189" s="17"/>
      <c r="G189" s="17"/>
      <c r="H189" s="17"/>
      <c r="I189" s="17"/>
      <c r="J189" s="17"/>
      <c r="N189" s="17"/>
      <c r="O189" s="17"/>
      <c r="P189" s="17"/>
    </row>
    <row r="190" spans="4:16" ht="15.75" customHeight="1" x14ac:dyDescent="0.25">
      <c r="D190" s="17"/>
      <c r="E190" s="17"/>
      <c r="F190" s="17"/>
      <c r="G190" s="17"/>
      <c r="H190" s="17"/>
      <c r="I190" s="17"/>
      <c r="J190" s="17"/>
      <c r="N190" s="17"/>
      <c r="O190" s="17"/>
      <c r="P190" s="17"/>
    </row>
    <row r="191" spans="4:16" ht="15.75" customHeight="1" x14ac:dyDescent="0.25">
      <c r="D191" s="17"/>
      <c r="E191" s="17"/>
      <c r="F191" s="17"/>
      <c r="G191" s="17"/>
      <c r="H191" s="17"/>
      <c r="I191" s="17"/>
      <c r="J191" s="17"/>
      <c r="N191" s="17"/>
      <c r="O191" s="17"/>
      <c r="P191" s="17"/>
    </row>
    <row r="192" spans="4:16" ht="15.75" customHeight="1" x14ac:dyDescent="0.25">
      <c r="D192" s="17"/>
      <c r="E192" s="17"/>
      <c r="F192" s="17"/>
      <c r="G192" s="17"/>
      <c r="H192" s="17"/>
      <c r="I192" s="17"/>
      <c r="J192" s="17"/>
      <c r="N192" s="17"/>
      <c r="O192" s="17"/>
      <c r="P192" s="17"/>
    </row>
    <row r="193" spans="4:16" ht="15.75" customHeight="1" x14ac:dyDescent="0.25">
      <c r="D193" s="17"/>
      <c r="E193" s="17"/>
      <c r="F193" s="17"/>
      <c r="G193" s="17"/>
      <c r="H193" s="17"/>
      <c r="I193" s="17"/>
      <c r="J193" s="17"/>
      <c r="N193" s="17"/>
      <c r="O193" s="17"/>
      <c r="P193" s="17"/>
    </row>
    <row r="194" spans="4:16" ht="15.75" customHeight="1" x14ac:dyDescent="0.25">
      <c r="D194" s="17"/>
      <c r="E194" s="17"/>
      <c r="F194" s="17"/>
      <c r="G194" s="17"/>
      <c r="H194" s="17"/>
      <c r="I194" s="17"/>
      <c r="J194" s="17"/>
      <c r="N194" s="17"/>
      <c r="O194" s="17"/>
      <c r="P194" s="17"/>
    </row>
    <row r="195" spans="4:16" ht="15.75" customHeight="1" x14ac:dyDescent="0.25">
      <c r="D195" s="17"/>
      <c r="E195" s="17"/>
      <c r="F195" s="17"/>
      <c r="G195" s="17"/>
      <c r="H195" s="17"/>
      <c r="I195" s="17"/>
      <c r="J195" s="17"/>
      <c r="N195" s="17"/>
      <c r="O195" s="17"/>
      <c r="P195" s="17"/>
    </row>
    <row r="196" spans="4:16" ht="15.75" customHeight="1" x14ac:dyDescent="0.25">
      <c r="D196" s="17"/>
      <c r="E196" s="17"/>
      <c r="F196" s="17"/>
      <c r="G196" s="17"/>
      <c r="H196" s="17"/>
      <c r="I196" s="17"/>
      <c r="J196" s="17"/>
      <c r="N196" s="17"/>
      <c r="O196" s="17"/>
      <c r="P196" s="17"/>
    </row>
    <row r="197" spans="4:16" ht="15.75" customHeight="1" x14ac:dyDescent="0.25">
      <c r="D197" s="17"/>
      <c r="E197" s="17"/>
      <c r="F197" s="17"/>
      <c r="G197" s="17"/>
      <c r="H197" s="17"/>
      <c r="I197" s="17"/>
      <c r="J197" s="17"/>
      <c r="N197" s="17"/>
      <c r="O197" s="17"/>
      <c r="P197" s="17"/>
    </row>
    <row r="198" spans="4:16" ht="15.75" customHeight="1" x14ac:dyDescent="0.25">
      <c r="D198" s="17"/>
      <c r="E198" s="17"/>
      <c r="F198" s="17"/>
      <c r="G198" s="17"/>
      <c r="H198" s="17"/>
      <c r="I198" s="17"/>
      <c r="J198" s="17"/>
      <c r="N198" s="17"/>
      <c r="O198" s="17"/>
      <c r="P198" s="17"/>
    </row>
    <row r="199" spans="4:16" ht="15.75" customHeight="1" x14ac:dyDescent="0.25">
      <c r="D199" s="17"/>
      <c r="E199" s="17"/>
      <c r="F199" s="17"/>
      <c r="G199" s="17"/>
      <c r="H199" s="17"/>
      <c r="I199" s="17"/>
      <c r="J199" s="17"/>
      <c r="N199" s="17"/>
      <c r="O199" s="17"/>
      <c r="P199" s="17"/>
    </row>
    <row r="200" spans="4:16" ht="15.75" customHeight="1" x14ac:dyDescent="0.25">
      <c r="D200" s="17"/>
      <c r="E200" s="17"/>
      <c r="F200" s="17"/>
      <c r="G200" s="17"/>
      <c r="H200" s="17"/>
      <c r="I200" s="17"/>
      <c r="J200" s="17"/>
      <c r="N200" s="17"/>
      <c r="O200" s="17"/>
      <c r="P200" s="17"/>
    </row>
    <row r="201" spans="4:16" ht="15.75" customHeight="1" x14ac:dyDescent="0.25">
      <c r="D201" s="17"/>
      <c r="E201" s="17"/>
      <c r="F201" s="17"/>
      <c r="G201" s="17"/>
      <c r="H201" s="17"/>
      <c r="I201" s="17"/>
      <c r="J201" s="17"/>
      <c r="N201" s="17"/>
      <c r="O201" s="17"/>
      <c r="P201" s="17"/>
    </row>
    <row r="202" spans="4:16" ht="15.75" customHeight="1" x14ac:dyDescent="0.25">
      <c r="D202" s="17"/>
      <c r="E202" s="17"/>
      <c r="F202" s="17"/>
      <c r="G202" s="17"/>
      <c r="H202" s="17"/>
      <c r="I202" s="17"/>
      <c r="J202" s="17"/>
      <c r="N202" s="17"/>
      <c r="O202" s="17"/>
      <c r="P202" s="17"/>
    </row>
    <row r="203" spans="4:16" ht="15.75" customHeight="1" x14ac:dyDescent="0.25">
      <c r="D203" s="17"/>
      <c r="E203" s="17"/>
      <c r="F203" s="17"/>
      <c r="G203" s="17"/>
      <c r="H203" s="17"/>
      <c r="I203" s="17"/>
      <c r="J203" s="17"/>
      <c r="N203" s="17"/>
      <c r="O203" s="17"/>
      <c r="P203" s="17"/>
    </row>
    <row r="204" spans="4:16" ht="15.75" customHeight="1" x14ac:dyDescent="0.25">
      <c r="D204" s="17"/>
      <c r="E204" s="17"/>
      <c r="F204" s="17"/>
      <c r="G204" s="17"/>
      <c r="H204" s="17"/>
      <c r="I204" s="17"/>
      <c r="J204" s="17"/>
      <c r="N204" s="17"/>
      <c r="O204" s="17"/>
      <c r="P204" s="17"/>
    </row>
    <row r="205" spans="4:16" ht="15.75" customHeight="1" x14ac:dyDescent="0.25">
      <c r="D205" s="17"/>
      <c r="E205" s="17"/>
      <c r="F205" s="17"/>
      <c r="G205" s="17"/>
      <c r="H205" s="17"/>
      <c r="I205" s="17"/>
      <c r="J205" s="17"/>
      <c r="N205" s="17"/>
      <c r="O205" s="17"/>
      <c r="P205" s="17"/>
    </row>
    <row r="206" spans="4:16" ht="15.75" customHeight="1" x14ac:dyDescent="0.25">
      <c r="D206" s="17"/>
      <c r="E206" s="17"/>
      <c r="F206" s="17"/>
      <c r="G206" s="17"/>
      <c r="H206" s="17"/>
      <c r="I206" s="17"/>
      <c r="J206" s="17"/>
      <c r="N206" s="17"/>
      <c r="O206" s="17"/>
      <c r="P206" s="17"/>
    </row>
    <row r="207" spans="4:16" ht="15.75" customHeight="1" x14ac:dyDescent="0.25">
      <c r="D207" s="17"/>
      <c r="E207" s="17"/>
      <c r="F207" s="17"/>
      <c r="G207" s="17"/>
      <c r="H207" s="17"/>
      <c r="I207" s="17"/>
      <c r="J207" s="17"/>
      <c r="N207" s="17"/>
      <c r="O207" s="17"/>
      <c r="P207" s="17"/>
    </row>
    <row r="208" spans="4:16" ht="15.75" customHeight="1" x14ac:dyDescent="0.25">
      <c r="D208" s="17"/>
      <c r="E208" s="17"/>
      <c r="F208" s="17"/>
      <c r="G208" s="17"/>
      <c r="H208" s="17"/>
      <c r="I208" s="17"/>
      <c r="J208" s="17"/>
      <c r="N208" s="17"/>
      <c r="O208" s="17"/>
      <c r="P208" s="17"/>
    </row>
    <row r="209" spans="4:16" ht="15.75" customHeight="1" x14ac:dyDescent="0.25">
      <c r="D209" s="17"/>
      <c r="E209" s="17"/>
      <c r="F209" s="17"/>
      <c r="G209" s="17"/>
      <c r="H209" s="17"/>
      <c r="I209" s="17"/>
      <c r="J209" s="17"/>
      <c r="N209" s="17"/>
      <c r="O209" s="17"/>
      <c r="P209" s="17"/>
    </row>
    <row r="210" spans="4:16" ht="15.75" customHeight="1" x14ac:dyDescent="0.25">
      <c r="D210" s="17"/>
      <c r="E210" s="17"/>
      <c r="F210" s="17"/>
      <c r="G210" s="17"/>
      <c r="H210" s="17"/>
      <c r="I210" s="17"/>
      <c r="J210" s="17"/>
      <c r="N210" s="17"/>
      <c r="O210" s="17"/>
      <c r="P210" s="17"/>
    </row>
    <row r="211" spans="4:16" ht="15.75" customHeight="1" x14ac:dyDescent="0.25">
      <c r="D211" s="17"/>
      <c r="E211" s="17"/>
      <c r="F211" s="17"/>
      <c r="G211" s="17"/>
      <c r="H211" s="17"/>
      <c r="I211" s="17"/>
      <c r="J211" s="17"/>
      <c r="N211" s="17"/>
      <c r="O211" s="17"/>
      <c r="P211" s="17"/>
    </row>
    <row r="212" spans="4:16" ht="15.75" customHeight="1" x14ac:dyDescent="0.25">
      <c r="D212" s="17"/>
      <c r="E212" s="17"/>
      <c r="F212" s="17"/>
      <c r="G212" s="17"/>
      <c r="H212" s="17"/>
      <c r="I212" s="17"/>
      <c r="J212" s="17"/>
      <c r="N212" s="17"/>
      <c r="O212" s="17"/>
      <c r="P212" s="17"/>
    </row>
    <row r="213" spans="4:16" ht="15.75" customHeight="1" x14ac:dyDescent="0.25">
      <c r="D213" s="17"/>
      <c r="E213" s="17"/>
      <c r="F213" s="17"/>
      <c r="G213" s="17"/>
      <c r="H213" s="17"/>
      <c r="I213" s="17"/>
      <c r="J213" s="17"/>
      <c r="N213" s="17"/>
      <c r="O213" s="17"/>
      <c r="P213" s="17"/>
    </row>
    <row r="214" spans="4:16" ht="15.75" customHeight="1" x14ac:dyDescent="0.25">
      <c r="D214" s="17"/>
      <c r="E214" s="17"/>
      <c r="F214" s="17"/>
      <c r="G214" s="17"/>
      <c r="H214" s="17"/>
      <c r="I214" s="17"/>
      <c r="J214" s="17"/>
      <c r="N214" s="17"/>
      <c r="O214" s="17"/>
      <c r="P214" s="17"/>
    </row>
    <row r="215" spans="4:16" ht="15.75" customHeight="1" x14ac:dyDescent="0.25">
      <c r="D215" s="17"/>
      <c r="E215" s="17"/>
      <c r="F215" s="17"/>
      <c r="G215" s="17"/>
      <c r="H215" s="17"/>
      <c r="I215" s="17"/>
      <c r="J215" s="17"/>
      <c r="N215" s="17"/>
      <c r="O215" s="17"/>
      <c r="P215" s="17"/>
    </row>
    <row r="216" spans="4:16" ht="15.75" customHeight="1" x14ac:dyDescent="0.25">
      <c r="D216" s="17"/>
      <c r="E216" s="17"/>
      <c r="F216" s="17"/>
      <c r="G216" s="17"/>
      <c r="H216" s="17"/>
      <c r="I216" s="17"/>
      <c r="J216" s="17"/>
      <c r="N216" s="17"/>
      <c r="O216" s="17"/>
      <c r="P216" s="17"/>
    </row>
    <row r="217" spans="4:16" ht="15.75" customHeight="1" x14ac:dyDescent="0.25">
      <c r="D217" s="17"/>
      <c r="E217" s="17"/>
      <c r="F217" s="17"/>
      <c r="G217" s="17"/>
      <c r="H217" s="17"/>
      <c r="I217" s="17"/>
      <c r="J217" s="17"/>
      <c r="N217" s="17"/>
      <c r="O217" s="17"/>
      <c r="P217" s="17"/>
    </row>
    <row r="218" spans="4:16" ht="15.75" customHeight="1" x14ac:dyDescent="0.25">
      <c r="D218" s="17"/>
      <c r="E218" s="17"/>
      <c r="F218" s="17"/>
      <c r="G218" s="17"/>
      <c r="H218" s="17"/>
      <c r="I218" s="17"/>
      <c r="J218" s="17"/>
      <c r="N218" s="17"/>
      <c r="O218" s="17"/>
      <c r="P218" s="17"/>
    </row>
    <row r="219" spans="4:16" ht="15.75" customHeight="1" x14ac:dyDescent="0.25">
      <c r="D219" s="17"/>
      <c r="E219" s="17"/>
      <c r="F219" s="17"/>
      <c r="G219" s="17"/>
      <c r="H219" s="17"/>
      <c r="I219" s="17"/>
      <c r="J219" s="17"/>
      <c r="N219" s="17"/>
      <c r="O219" s="17"/>
      <c r="P219" s="17"/>
    </row>
    <row r="220" spans="4:16" ht="15.75" customHeight="1" x14ac:dyDescent="0.25">
      <c r="D220" s="17"/>
      <c r="E220" s="17"/>
      <c r="F220" s="17"/>
      <c r="G220" s="17"/>
      <c r="H220" s="17"/>
      <c r="I220" s="17"/>
      <c r="J220" s="17"/>
      <c r="N220" s="17"/>
      <c r="O220" s="17"/>
      <c r="P220" s="17"/>
    </row>
    <row r="221" spans="4:16" ht="15.75" customHeight="1" x14ac:dyDescent="0.25">
      <c r="D221" s="17"/>
      <c r="E221" s="17"/>
      <c r="F221" s="17"/>
      <c r="G221" s="17"/>
      <c r="H221" s="17"/>
      <c r="I221" s="17"/>
      <c r="J221" s="17"/>
      <c r="N221" s="17"/>
      <c r="O221" s="17"/>
      <c r="P221" s="17"/>
    </row>
    <row r="222" spans="4:16" ht="15.75" customHeight="1" x14ac:dyDescent="0.25">
      <c r="D222" s="17"/>
      <c r="E222" s="17"/>
      <c r="F222" s="17"/>
      <c r="G222" s="17"/>
      <c r="H222" s="17"/>
      <c r="I222" s="17"/>
      <c r="J222" s="17"/>
      <c r="N222" s="17"/>
      <c r="O222" s="17"/>
      <c r="P222" s="17"/>
    </row>
    <row r="223" spans="4:16" ht="15.75" customHeight="1" x14ac:dyDescent="0.25">
      <c r="D223" s="17"/>
      <c r="E223" s="17"/>
      <c r="F223" s="17"/>
      <c r="G223" s="17"/>
      <c r="H223" s="17"/>
      <c r="I223" s="17"/>
      <c r="J223" s="17"/>
      <c r="N223" s="17"/>
      <c r="O223" s="17"/>
      <c r="P223" s="17"/>
    </row>
    <row r="224" spans="4:16" ht="15.75" customHeight="1" x14ac:dyDescent="0.25">
      <c r="D224" s="17"/>
      <c r="E224" s="17"/>
      <c r="F224" s="17"/>
      <c r="G224" s="17"/>
      <c r="H224" s="17"/>
      <c r="I224" s="17"/>
      <c r="J224" s="17"/>
      <c r="N224" s="17"/>
      <c r="O224" s="17"/>
      <c r="P224" s="17"/>
    </row>
    <row r="225" spans="4:16" ht="15.75" customHeight="1" x14ac:dyDescent="0.25">
      <c r="D225" s="17"/>
      <c r="E225" s="17"/>
      <c r="F225" s="17"/>
      <c r="G225" s="17"/>
      <c r="H225" s="17"/>
      <c r="I225" s="17"/>
      <c r="J225" s="17"/>
      <c r="N225" s="17"/>
      <c r="O225" s="17"/>
      <c r="P225" s="17"/>
    </row>
    <row r="226" spans="4:16" ht="15.75" customHeight="1" x14ac:dyDescent="0.25">
      <c r="D226" s="17"/>
      <c r="E226" s="17"/>
      <c r="F226" s="17"/>
      <c r="G226" s="17"/>
      <c r="H226" s="17"/>
      <c r="I226" s="17"/>
      <c r="J226" s="17"/>
      <c r="N226" s="17"/>
      <c r="O226" s="17"/>
      <c r="P226" s="17"/>
    </row>
    <row r="227" spans="4:16" ht="15.75" customHeight="1" x14ac:dyDescent="0.25">
      <c r="D227" s="17"/>
      <c r="E227" s="17"/>
      <c r="F227" s="17"/>
      <c r="G227" s="17"/>
      <c r="H227" s="17"/>
      <c r="I227" s="17"/>
      <c r="J227" s="17"/>
      <c r="N227" s="17"/>
      <c r="O227" s="17"/>
      <c r="P227" s="17"/>
    </row>
    <row r="228" spans="4:16" ht="15.75" customHeight="1" x14ac:dyDescent="0.25">
      <c r="D228" s="17"/>
      <c r="E228" s="17"/>
      <c r="F228" s="17"/>
      <c r="G228" s="17"/>
      <c r="H228" s="17"/>
      <c r="I228" s="17"/>
      <c r="J228" s="17"/>
      <c r="N228" s="17"/>
      <c r="O228" s="17"/>
      <c r="P228" s="17"/>
    </row>
    <row r="229" spans="4:16" ht="15.75" customHeight="1" x14ac:dyDescent="0.25">
      <c r="D229" s="17"/>
      <c r="E229" s="17"/>
      <c r="F229" s="17"/>
      <c r="G229" s="17"/>
      <c r="H229" s="17"/>
      <c r="I229" s="17"/>
      <c r="J229" s="17"/>
      <c r="N229" s="17"/>
      <c r="O229" s="17"/>
      <c r="P229" s="17"/>
    </row>
    <row r="230" spans="4:16" ht="15.75" customHeight="1" x14ac:dyDescent="0.25">
      <c r="D230" s="17"/>
      <c r="E230" s="17"/>
      <c r="F230" s="17"/>
      <c r="G230" s="17"/>
      <c r="H230" s="17"/>
      <c r="I230" s="17"/>
      <c r="J230" s="17"/>
      <c r="N230" s="17"/>
      <c r="O230" s="17"/>
      <c r="P230" s="17"/>
    </row>
    <row r="231" spans="4:16" ht="15.75" customHeight="1" x14ac:dyDescent="0.25">
      <c r="D231" s="17"/>
      <c r="E231" s="17"/>
      <c r="F231" s="17"/>
      <c r="G231" s="17"/>
      <c r="H231" s="17"/>
      <c r="I231" s="17"/>
      <c r="J231" s="17"/>
      <c r="N231" s="17"/>
      <c r="O231" s="17"/>
      <c r="P231" s="17"/>
    </row>
    <row r="232" spans="4:16" ht="15.75" customHeight="1" x14ac:dyDescent="0.25">
      <c r="D232" s="17"/>
      <c r="E232" s="17"/>
      <c r="F232" s="17"/>
      <c r="G232" s="17"/>
      <c r="H232" s="17"/>
      <c r="I232" s="17"/>
      <c r="J232" s="17"/>
      <c r="N232" s="17"/>
      <c r="O232" s="17"/>
      <c r="P232" s="17"/>
    </row>
    <row r="233" spans="4:16" ht="15.75" customHeight="1" x14ac:dyDescent="0.25">
      <c r="D233" s="17"/>
      <c r="E233" s="17"/>
      <c r="F233" s="17"/>
      <c r="G233" s="17"/>
      <c r="H233" s="17"/>
      <c r="I233" s="17"/>
      <c r="J233" s="17"/>
      <c r="N233" s="17"/>
      <c r="O233" s="17"/>
      <c r="P233" s="17"/>
    </row>
    <row r="234" spans="4:16" ht="15.75" customHeight="1" x14ac:dyDescent="0.25">
      <c r="D234" s="17"/>
      <c r="E234" s="17"/>
      <c r="F234" s="17"/>
      <c r="G234" s="17"/>
      <c r="H234" s="17"/>
      <c r="I234" s="17"/>
      <c r="J234" s="17"/>
      <c r="N234" s="17"/>
      <c r="O234" s="17"/>
      <c r="P234" s="17"/>
    </row>
    <row r="235" spans="4:16" ht="15.75" customHeight="1" x14ac:dyDescent="0.25">
      <c r="D235" s="17"/>
      <c r="E235" s="17"/>
      <c r="F235" s="17"/>
      <c r="G235" s="17"/>
      <c r="H235" s="17"/>
      <c r="I235" s="17"/>
      <c r="J235" s="17"/>
      <c r="N235" s="17"/>
      <c r="O235" s="17"/>
      <c r="P235" s="17"/>
    </row>
    <row r="236" spans="4:16" ht="15.75" customHeight="1" x14ac:dyDescent="0.25">
      <c r="D236" s="17"/>
      <c r="E236" s="17"/>
      <c r="F236" s="17"/>
      <c r="G236" s="17"/>
      <c r="H236" s="17"/>
      <c r="I236" s="17"/>
      <c r="J236" s="17"/>
      <c r="N236" s="17"/>
      <c r="O236" s="17"/>
      <c r="P236" s="17"/>
    </row>
    <row r="237" spans="4:16" ht="15.75" customHeight="1" x14ac:dyDescent="0.25">
      <c r="D237" s="17"/>
      <c r="E237" s="17"/>
      <c r="F237" s="17"/>
      <c r="G237" s="17"/>
      <c r="H237" s="17"/>
      <c r="I237" s="17"/>
      <c r="J237" s="17"/>
      <c r="N237" s="17"/>
      <c r="O237" s="17"/>
      <c r="P237" s="17"/>
    </row>
    <row r="238" spans="4:16" ht="15.75" customHeight="1" x14ac:dyDescent="0.25">
      <c r="D238" s="17"/>
      <c r="E238" s="17"/>
      <c r="F238" s="17"/>
      <c r="G238" s="17"/>
      <c r="H238" s="17"/>
      <c r="I238" s="17"/>
      <c r="J238" s="17"/>
      <c r="N238" s="17"/>
      <c r="O238" s="17"/>
      <c r="P238" s="17"/>
    </row>
    <row r="239" spans="4:16" ht="15.75" customHeight="1" x14ac:dyDescent="0.25">
      <c r="D239" s="17"/>
      <c r="E239" s="17"/>
      <c r="F239" s="17"/>
      <c r="G239" s="17"/>
      <c r="H239" s="17"/>
      <c r="I239" s="17"/>
      <c r="J239" s="17"/>
      <c r="N239" s="17"/>
      <c r="O239" s="17"/>
      <c r="P239" s="17"/>
    </row>
    <row r="240" spans="4:16" ht="15.75" customHeight="1" x14ac:dyDescent="0.25">
      <c r="D240" s="17"/>
      <c r="E240" s="17"/>
      <c r="F240" s="17"/>
      <c r="G240" s="17"/>
      <c r="H240" s="17"/>
      <c r="I240" s="17"/>
      <c r="J240" s="17"/>
      <c r="N240" s="17"/>
      <c r="O240" s="17"/>
      <c r="P240" s="17"/>
    </row>
    <row r="241" spans="4:16" ht="15.75" customHeight="1" x14ac:dyDescent="0.25">
      <c r="D241" s="17"/>
      <c r="E241" s="17"/>
      <c r="F241" s="17"/>
      <c r="G241" s="17"/>
      <c r="H241" s="17"/>
      <c r="I241" s="17"/>
      <c r="J241" s="17"/>
      <c r="N241" s="17"/>
      <c r="O241" s="17"/>
      <c r="P241" s="17"/>
    </row>
    <row r="242" spans="4:16" ht="15.75" customHeight="1" x14ac:dyDescent="0.25">
      <c r="D242" s="17"/>
      <c r="E242" s="17"/>
      <c r="F242" s="17"/>
      <c r="G242" s="17"/>
      <c r="H242" s="17"/>
      <c r="I242" s="17"/>
      <c r="J242" s="17"/>
      <c r="N242" s="17"/>
      <c r="O242" s="17"/>
      <c r="P242" s="17"/>
    </row>
    <row r="243" spans="4:16" ht="15.75" customHeight="1" x14ac:dyDescent="0.25">
      <c r="D243" s="17"/>
      <c r="E243" s="17"/>
      <c r="F243" s="17"/>
      <c r="G243" s="17"/>
      <c r="H243" s="17"/>
      <c r="I243" s="17"/>
      <c r="J243" s="17"/>
      <c r="N243" s="17"/>
      <c r="O243" s="17"/>
      <c r="P243" s="17"/>
    </row>
    <row r="244" spans="4:16" ht="15.75" customHeight="1" x14ac:dyDescent="0.25">
      <c r="D244" s="17"/>
      <c r="E244" s="17"/>
      <c r="F244" s="17"/>
      <c r="G244" s="17"/>
      <c r="H244" s="17"/>
      <c r="I244" s="17"/>
      <c r="J244" s="17"/>
      <c r="N244" s="17"/>
      <c r="O244" s="17"/>
      <c r="P244" s="17"/>
    </row>
    <row r="245" spans="4:16" ht="15.75" customHeight="1" x14ac:dyDescent="0.25">
      <c r="D245" s="17"/>
      <c r="E245" s="17"/>
      <c r="F245" s="17"/>
      <c r="G245" s="17"/>
      <c r="H245" s="17"/>
      <c r="I245" s="17"/>
      <c r="J245" s="17"/>
      <c r="N245" s="17"/>
      <c r="O245" s="17"/>
      <c r="P245" s="17"/>
    </row>
    <row r="246" spans="4:16" ht="15.75" customHeight="1" x14ac:dyDescent="0.25">
      <c r="D246" s="17"/>
      <c r="E246" s="17"/>
      <c r="F246" s="17"/>
      <c r="G246" s="17"/>
      <c r="H246" s="17"/>
      <c r="I246" s="17"/>
      <c r="J246" s="17"/>
      <c r="N246" s="17"/>
      <c r="O246" s="17"/>
      <c r="P246" s="17"/>
    </row>
    <row r="247" spans="4:16" ht="15.75" customHeight="1" x14ac:dyDescent="0.25">
      <c r="D247" s="17"/>
      <c r="E247" s="17"/>
      <c r="F247" s="17"/>
      <c r="G247" s="17"/>
      <c r="H247" s="17"/>
      <c r="I247" s="17"/>
      <c r="J247" s="17"/>
      <c r="N247" s="17"/>
      <c r="O247" s="17"/>
      <c r="P247" s="17"/>
    </row>
    <row r="248" spans="4:16" ht="15.75" customHeight="1" x14ac:dyDescent="0.25">
      <c r="D248" s="17"/>
      <c r="E248" s="17"/>
      <c r="F248" s="17"/>
      <c r="G248" s="17"/>
      <c r="H248" s="17"/>
      <c r="I248" s="17"/>
      <c r="J248" s="17"/>
      <c r="N248" s="17"/>
      <c r="O248" s="17"/>
      <c r="P248" s="17"/>
    </row>
    <row r="249" spans="4:16" ht="15.75" customHeight="1" x14ac:dyDescent="0.25">
      <c r="D249" s="17"/>
      <c r="E249" s="17"/>
      <c r="F249" s="17"/>
      <c r="G249" s="17"/>
      <c r="H249" s="17"/>
      <c r="I249" s="17"/>
      <c r="J249" s="17"/>
      <c r="N249" s="17"/>
      <c r="O249" s="17"/>
      <c r="P249" s="17"/>
    </row>
    <row r="250" spans="4:16" ht="15.75" customHeight="1" x14ac:dyDescent="0.25">
      <c r="D250" s="17"/>
      <c r="E250" s="17"/>
      <c r="F250" s="17"/>
      <c r="G250" s="17"/>
      <c r="H250" s="17"/>
      <c r="I250" s="17"/>
      <c r="J250" s="17"/>
      <c r="N250" s="17"/>
      <c r="O250" s="17"/>
      <c r="P250" s="17"/>
    </row>
    <row r="251" spans="4:16" ht="15.75" customHeight="1" x14ac:dyDescent="0.25">
      <c r="D251" s="17"/>
      <c r="E251" s="17"/>
      <c r="F251" s="17"/>
      <c r="G251" s="17"/>
      <c r="H251" s="17"/>
      <c r="I251" s="17"/>
      <c r="J251" s="17"/>
      <c r="N251" s="17"/>
      <c r="O251" s="17"/>
      <c r="P251" s="17"/>
    </row>
    <row r="252" spans="4:16" ht="15.75" customHeight="1" x14ac:dyDescent="0.25">
      <c r="D252" s="17"/>
      <c r="E252" s="17"/>
      <c r="F252" s="17"/>
      <c r="G252" s="17"/>
      <c r="H252" s="17"/>
      <c r="I252" s="17"/>
      <c r="J252" s="17"/>
      <c r="N252" s="17"/>
      <c r="O252" s="17"/>
      <c r="P252" s="17"/>
    </row>
    <row r="253" spans="4:16" ht="15.75" customHeight="1" x14ac:dyDescent="0.25">
      <c r="D253" s="17"/>
      <c r="E253" s="17"/>
      <c r="F253" s="17"/>
      <c r="G253" s="17"/>
      <c r="H253" s="17"/>
      <c r="I253" s="17"/>
      <c r="J253" s="17"/>
      <c r="N253" s="17"/>
      <c r="O253" s="17"/>
      <c r="P253" s="17"/>
    </row>
    <row r="254" spans="4:16" ht="15.75" customHeight="1" x14ac:dyDescent="0.25">
      <c r="D254" s="17"/>
      <c r="E254" s="17"/>
      <c r="F254" s="17"/>
      <c r="G254" s="17"/>
      <c r="H254" s="17"/>
      <c r="I254" s="17"/>
      <c r="J254" s="17"/>
      <c r="N254" s="17"/>
      <c r="O254" s="17"/>
      <c r="P254" s="17"/>
    </row>
    <row r="255" spans="4:16" ht="15.75" customHeight="1" x14ac:dyDescent="0.25">
      <c r="D255" s="17"/>
      <c r="E255" s="17"/>
      <c r="F255" s="17"/>
      <c r="G255" s="17"/>
      <c r="H255" s="17"/>
      <c r="I255" s="17"/>
      <c r="J255" s="17"/>
      <c r="N255" s="17"/>
      <c r="O255" s="17"/>
      <c r="P255" s="17"/>
    </row>
    <row r="256" spans="4:16" ht="15.75" customHeight="1" x14ac:dyDescent="0.25">
      <c r="D256" s="17"/>
      <c r="E256" s="17"/>
      <c r="F256" s="17"/>
      <c r="G256" s="17"/>
      <c r="H256" s="17"/>
      <c r="I256" s="17"/>
      <c r="J256" s="17"/>
      <c r="N256" s="17"/>
      <c r="O256" s="17"/>
      <c r="P256" s="17"/>
    </row>
    <row r="257" spans="4:16" ht="15.75" customHeight="1" x14ac:dyDescent="0.25">
      <c r="D257" s="17"/>
      <c r="E257" s="17"/>
      <c r="F257" s="17"/>
      <c r="G257" s="17"/>
      <c r="H257" s="17"/>
      <c r="I257" s="17"/>
      <c r="J257" s="17"/>
      <c r="N257" s="17"/>
      <c r="O257" s="17"/>
      <c r="P257" s="17"/>
    </row>
    <row r="258" spans="4:16" ht="15.75" customHeight="1" x14ac:dyDescent="0.25">
      <c r="D258" s="17"/>
      <c r="E258" s="17"/>
      <c r="F258" s="17"/>
      <c r="G258" s="17"/>
      <c r="H258" s="17"/>
      <c r="I258" s="17"/>
      <c r="J258" s="17"/>
      <c r="N258" s="17"/>
      <c r="O258" s="17"/>
      <c r="P258" s="17"/>
    </row>
    <row r="259" spans="4:16" ht="15.75" customHeight="1" x14ac:dyDescent="0.25">
      <c r="D259" s="17"/>
      <c r="E259" s="17"/>
      <c r="F259" s="17"/>
      <c r="G259" s="17"/>
      <c r="H259" s="17"/>
      <c r="I259" s="17"/>
      <c r="J259" s="17"/>
      <c r="N259" s="17"/>
      <c r="O259" s="17"/>
      <c r="P259" s="17"/>
    </row>
    <row r="260" spans="4:16" ht="15.75" customHeight="1" x14ac:dyDescent="0.25">
      <c r="D260" s="17"/>
      <c r="E260" s="17"/>
      <c r="F260" s="17"/>
      <c r="G260" s="17"/>
      <c r="H260" s="17"/>
      <c r="I260" s="17"/>
      <c r="J260" s="17"/>
      <c r="N260" s="17"/>
      <c r="O260" s="17"/>
      <c r="P260" s="17"/>
    </row>
    <row r="261" spans="4:16" ht="15.75" customHeight="1" x14ac:dyDescent="0.25">
      <c r="D261" s="17"/>
      <c r="E261" s="17"/>
      <c r="F261" s="17"/>
      <c r="G261" s="17"/>
      <c r="H261" s="17"/>
      <c r="I261" s="17"/>
      <c r="J261" s="17"/>
      <c r="N261" s="17"/>
      <c r="O261" s="17"/>
      <c r="P261" s="17"/>
    </row>
    <row r="262" spans="4:16" ht="15.75" customHeight="1" x14ac:dyDescent="0.25">
      <c r="D262" s="17"/>
      <c r="E262" s="17"/>
      <c r="F262" s="17"/>
      <c r="G262" s="17"/>
      <c r="H262" s="17"/>
      <c r="I262" s="17"/>
      <c r="J262" s="17"/>
      <c r="N262" s="17"/>
      <c r="O262" s="17"/>
      <c r="P262" s="17"/>
    </row>
    <row r="263" spans="4:16" ht="15.75" customHeight="1" x14ac:dyDescent="0.25">
      <c r="D263" s="17"/>
      <c r="E263" s="17"/>
      <c r="F263" s="17"/>
      <c r="G263" s="17"/>
      <c r="H263" s="17"/>
      <c r="I263" s="17"/>
      <c r="J263" s="17"/>
      <c r="N263" s="17"/>
      <c r="O263" s="17"/>
      <c r="P263" s="17"/>
    </row>
    <row r="264" spans="4:16" ht="15.75" customHeight="1" x14ac:dyDescent="0.25">
      <c r="D264" s="17"/>
      <c r="E264" s="17"/>
      <c r="F264" s="17"/>
      <c r="G264" s="17"/>
      <c r="H264" s="17"/>
      <c r="I264" s="17"/>
      <c r="J264" s="17"/>
      <c r="N264" s="17"/>
      <c r="O264" s="17"/>
      <c r="P264" s="17"/>
    </row>
    <row r="265" spans="4:16" ht="15.75" customHeight="1" x14ac:dyDescent="0.25">
      <c r="D265" s="17"/>
      <c r="E265" s="17"/>
      <c r="F265" s="17"/>
      <c r="G265" s="17"/>
      <c r="H265" s="17"/>
      <c r="I265" s="17"/>
      <c r="J265" s="17"/>
      <c r="N265" s="17"/>
      <c r="O265" s="17"/>
      <c r="P265" s="17"/>
    </row>
    <row r="266" spans="4:16" ht="15.75" customHeight="1" x14ac:dyDescent="0.25">
      <c r="D266" s="17"/>
      <c r="E266" s="17"/>
      <c r="F266" s="17"/>
      <c r="G266" s="17"/>
      <c r="H266" s="17"/>
      <c r="I266" s="17"/>
      <c r="J266" s="17"/>
      <c r="N266" s="17"/>
      <c r="O266" s="17"/>
      <c r="P266" s="17"/>
    </row>
    <row r="267" spans="4:16" ht="15.75" customHeight="1" x14ac:dyDescent="0.25">
      <c r="D267" s="17"/>
      <c r="E267" s="17"/>
      <c r="F267" s="17"/>
      <c r="G267" s="17"/>
      <c r="H267" s="17"/>
      <c r="I267" s="17"/>
      <c r="J267" s="17"/>
      <c r="N267" s="17"/>
      <c r="O267" s="17"/>
      <c r="P267" s="17"/>
    </row>
    <row r="268" spans="4:16" ht="15.75" customHeight="1" x14ac:dyDescent="0.25">
      <c r="D268" s="17"/>
      <c r="E268" s="17"/>
      <c r="F268" s="17"/>
      <c r="G268" s="17"/>
      <c r="H268" s="17"/>
      <c r="I268" s="17"/>
      <c r="J268" s="17"/>
      <c r="N268" s="17"/>
      <c r="O268" s="17"/>
      <c r="P268" s="17"/>
    </row>
    <row r="269" spans="4:16" ht="15.75" customHeight="1" x14ac:dyDescent="0.25">
      <c r="D269" s="17"/>
      <c r="E269" s="17"/>
      <c r="F269" s="17"/>
      <c r="G269" s="17"/>
      <c r="H269" s="17"/>
      <c r="I269" s="17"/>
      <c r="J269" s="17"/>
      <c r="N269" s="17"/>
      <c r="O269" s="17"/>
      <c r="P269" s="17"/>
    </row>
    <row r="270" spans="4:16" ht="15.75" customHeight="1" x14ac:dyDescent="0.25">
      <c r="D270" s="17"/>
      <c r="E270" s="17"/>
      <c r="F270" s="17"/>
      <c r="G270" s="17"/>
      <c r="H270" s="17"/>
      <c r="I270" s="17"/>
      <c r="J270" s="17"/>
      <c r="N270" s="17"/>
      <c r="O270" s="17"/>
      <c r="P270" s="17"/>
    </row>
    <row r="271" spans="4:16" ht="15.75" customHeight="1" x14ac:dyDescent="0.25">
      <c r="D271" s="17"/>
      <c r="E271" s="17"/>
      <c r="F271" s="17"/>
      <c r="G271" s="17"/>
      <c r="H271" s="17"/>
      <c r="I271" s="17"/>
      <c r="J271" s="17"/>
      <c r="N271" s="17"/>
      <c r="O271" s="17"/>
      <c r="P271" s="17"/>
    </row>
    <row r="272" spans="4:16" ht="15.75" customHeight="1" x14ac:dyDescent="0.25">
      <c r="D272" s="17"/>
      <c r="E272" s="17"/>
      <c r="F272" s="17"/>
      <c r="G272" s="17"/>
      <c r="H272" s="17"/>
      <c r="I272" s="17"/>
      <c r="J272" s="17"/>
      <c r="N272" s="17"/>
      <c r="O272" s="17"/>
      <c r="P272" s="17"/>
    </row>
    <row r="273" spans="4:16" ht="15.75" customHeight="1" x14ac:dyDescent="0.25">
      <c r="D273" s="17"/>
      <c r="E273" s="17"/>
      <c r="F273" s="17"/>
      <c r="G273" s="17"/>
      <c r="H273" s="17"/>
      <c r="I273" s="17"/>
      <c r="J273" s="17"/>
      <c r="N273" s="17"/>
      <c r="O273" s="17"/>
      <c r="P273" s="17"/>
    </row>
    <row r="274" spans="4:16" ht="15.75" customHeight="1" x14ac:dyDescent="0.25">
      <c r="D274" s="17"/>
      <c r="E274" s="17"/>
      <c r="F274" s="17"/>
      <c r="G274" s="17"/>
      <c r="H274" s="17"/>
      <c r="I274" s="17"/>
      <c r="J274" s="17"/>
      <c r="N274" s="17"/>
      <c r="O274" s="17"/>
      <c r="P274" s="17"/>
    </row>
    <row r="275" spans="4:16" ht="15.75" customHeight="1" x14ac:dyDescent="0.25">
      <c r="D275" s="17"/>
      <c r="E275" s="17"/>
      <c r="F275" s="17"/>
      <c r="G275" s="17"/>
      <c r="H275" s="17"/>
      <c r="I275" s="17"/>
      <c r="J275" s="17"/>
      <c r="N275" s="17"/>
      <c r="O275" s="17"/>
      <c r="P275" s="17"/>
    </row>
    <row r="276" spans="4:16" ht="15.75" customHeight="1" x14ac:dyDescent="0.25">
      <c r="D276" s="17"/>
      <c r="E276" s="17"/>
      <c r="F276" s="17"/>
      <c r="G276" s="17"/>
      <c r="H276" s="17"/>
      <c r="I276" s="17"/>
      <c r="J276" s="17"/>
      <c r="N276" s="17"/>
      <c r="O276" s="17"/>
      <c r="P276" s="17"/>
    </row>
    <row r="277" spans="4:16" ht="15.75" customHeight="1" x14ac:dyDescent="0.25">
      <c r="D277" s="17"/>
      <c r="E277" s="17"/>
      <c r="F277" s="17"/>
      <c r="G277" s="17"/>
      <c r="H277" s="17"/>
      <c r="I277" s="17"/>
      <c r="J277" s="17"/>
      <c r="N277" s="17"/>
      <c r="O277" s="17"/>
      <c r="P277" s="17"/>
    </row>
    <row r="278" spans="4:16" ht="15.75" customHeight="1" x14ac:dyDescent="0.25">
      <c r="D278" s="17"/>
      <c r="E278" s="17"/>
      <c r="F278" s="17"/>
      <c r="G278" s="17"/>
      <c r="H278" s="17"/>
      <c r="I278" s="17"/>
      <c r="J278" s="17"/>
      <c r="N278" s="17"/>
      <c r="O278" s="17"/>
      <c r="P278" s="17"/>
    </row>
    <row r="279" spans="4:16" ht="15.75" customHeight="1" x14ac:dyDescent="0.25">
      <c r="D279" s="17"/>
      <c r="E279" s="17"/>
      <c r="F279" s="17"/>
      <c r="G279" s="17"/>
      <c r="H279" s="17"/>
      <c r="I279" s="17"/>
      <c r="J279" s="17"/>
      <c r="N279" s="17"/>
      <c r="O279" s="17"/>
      <c r="P279" s="17"/>
    </row>
    <row r="280" spans="4:16" ht="15.75" customHeight="1" x14ac:dyDescent="0.25">
      <c r="D280" s="17"/>
      <c r="E280" s="17"/>
      <c r="F280" s="17"/>
      <c r="G280" s="17"/>
      <c r="H280" s="17"/>
      <c r="I280" s="17"/>
      <c r="J280" s="17"/>
      <c r="N280" s="17"/>
      <c r="O280" s="17"/>
      <c r="P280" s="17"/>
    </row>
    <row r="281" spans="4:16" ht="15.75" customHeight="1" x14ac:dyDescent="0.25">
      <c r="D281" s="17"/>
      <c r="E281" s="17"/>
      <c r="F281" s="17"/>
      <c r="G281" s="17"/>
      <c r="H281" s="17"/>
      <c r="I281" s="17"/>
      <c r="J281" s="17"/>
      <c r="N281" s="17"/>
      <c r="O281" s="17"/>
      <c r="P281" s="17"/>
    </row>
    <row r="282" spans="4:16" ht="15.75" customHeight="1" x14ac:dyDescent="0.25">
      <c r="D282" s="17"/>
      <c r="E282" s="17"/>
      <c r="F282" s="17"/>
      <c r="G282" s="17"/>
      <c r="H282" s="17"/>
      <c r="I282" s="17"/>
      <c r="J282" s="17"/>
      <c r="N282" s="17"/>
      <c r="O282" s="17"/>
      <c r="P282" s="17"/>
    </row>
    <row r="283" spans="4:16" ht="15.75" customHeight="1" x14ac:dyDescent="0.25">
      <c r="D283" s="17"/>
      <c r="E283" s="17"/>
      <c r="F283" s="17"/>
      <c r="G283" s="17"/>
      <c r="H283" s="17"/>
      <c r="I283" s="17"/>
      <c r="J283" s="17"/>
      <c r="N283" s="17"/>
      <c r="O283" s="17"/>
      <c r="P283" s="17"/>
    </row>
    <row r="284" spans="4:16" ht="15.75" customHeight="1" x14ac:dyDescent="0.25">
      <c r="D284" s="17"/>
      <c r="E284" s="17"/>
      <c r="F284" s="17"/>
      <c r="G284" s="17"/>
      <c r="H284" s="17"/>
      <c r="I284" s="17"/>
      <c r="J284" s="17"/>
      <c r="N284" s="17"/>
      <c r="O284" s="17"/>
      <c r="P284" s="17"/>
    </row>
    <row r="285" spans="4:16" ht="15.75" customHeight="1" x14ac:dyDescent="0.25">
      <c r="D285" s="17"/>
      <c r="E285" s="17"/>
      <c r="F285" s="17"/>
      <c r="G285" s="17"/>
      <c r="H285" s="17"/>
      <c r="I285" s="17"/>
      <c r="J285" s="17"/>
      <c r="N285" s="17"/>
      <c r="O285" s="17"/>
      <c r="P285" s="17"/>
    </row>
    <row r="286" spans="4:16" ht="15.75" customHeight="1" x14ac:dyDescent="0.25">
      <c r="D286" s="17"/>
      <c r="E286" s="17"/>
      <c r="F286" s="17"/>
      <c r="G286" s="17"/>
      <c r="H286" s="17"/>
      <c r="I286" s="17"/>
      <c r="J286" s="17"/>
      <c r="N286" s="17"/>
      <c r="O286" s="17"/>
      <c r="P286" s="17"/>
    </row>
    <row r="287" spans="4:16" ht="15.75" customHeight="1" x14ac:dyDescent="0.25">
      <c r="D287" s="17"/>
      <c r="E287" s="17"/>
      <c r="F287" s="17"/>
      <c r="G287" s="17"/>
      <c r="H287" s="17"/>
      <c r="I287" s="17"/>
      <c r="J287" s="17"/>
      <c r="N287" s="17"/>
      <c r="O287" s="17"/>
      <c r="P287" s="17"/>
    </row>
    <row r="288" spans="4:16" ht="15.75" customHeight="1" x14ac:dyDescent="0.25">
      <c r="D288" s="17"/>
      <c r="E288" s="17"/>
      <c r="F288" s="17"/>
      <c r="G288" s="17"/>
      <c r="H288" s="17"/>
      <c r="I288" s="17"/>
      <c r="J288" s="17"/>
      <c r="N288" s="17"/>
      <c r="O288" s="17"/>
      <c r="P288" s="17"/>
    </row>
    <row r="289" spans="4:16" ht="15.75" customHeight="1" x14ac:dyDescent="0.25">
      <c r="D289" s="17"/>
      <c r="E289" s="17"/>
      <c r="F289" s="17"/>
      <c r="G289" s="17"/>
      <c r="H289" s="17"/>
      <c r="I289" s="17"/>
      <c r="J289" s="17"/>
      <c r="N289" s="17"/>
      <c r="O289" s="17"/>
      <c r="P289" s="17"/>
    </row>
    <row r="290" spans="4:16" ht="15.75" customHeight="1" x14ac:dyDescent="0.25">
      <c r="D290" s="17"/>
      <c r="E290" s="17"/>
      <c r="F290" s="17"/>
      <c r="G290" s="17"/>
      <c r="H290" s="17"/>
      <c r="I290" s="17"/>
      <c r="J290" s="17"/>
      <c r="N290" s="17"/>
      <c r="O290" s="17"/>
      <c r="P290" s="17"/>
    </row>
    <row r="291" spans="4:16" ht="15.75" customHeight="1" x14ac:dyDescent="0.25">
      <c r="D291" s="17"/>
      <c r="E291" s="17"/>
      <c r="F291" s="17"/>
      <c r="G291" s="17"/>
      <c r="H291" s="17"/>
      <c r="I291" s="17"/>
      <c r="J291" s="17"/>
      <c r="N291" s="17"/>
      <c r="O291" s="17"/>
      <c r="P291" s="17"/>
    </row>
    <row r="292" spans="4:16" ht="15.75" customHeight="1" x14ac:dyDescent="0.25">
      <c r="D292" s="17"/>
      <c r="E292" s="17"/>
      <c r="F292" s="17"/>
      <c r="G292" s="17"/>
      <c r="H292" s="17"/>
      <c r="I292" s="17"/>
      <c r="J292" s="17"/>
      <c r="N292" s="17"/>
      <c r="O292" s="17"/>
      <c r="P292" s="17"/>
    </row>
    <row r="293" spans="4:16" ht="15.75" customHeight="1" x14ac:dyDescent="0.25">
      <c r="D293" s="17"/>
      <c r="E293" s="17"/>
      <c r="F293" s="17"/>
      <c r="G293" s="17"/>
      <c r="H293" s="17"/>
      <c r="I293" s="17"/>
      <c r="J293" s="17"/>
      <c r="N293" s="17"/>
      <c r="O293" s="17"/>
      <c r="P293" s="17"/>
    </row>
    <row r="294" spans="4:16" ht="15.75" customHeight="1" x14ac:dyDescent="0.25">
      <c r="D294" s="17"/>
      <c r="E294" s="17"/>
      <c r="F294" s="17"/>
      <c r="G294" s="17"/>
      <c r="H294" s="17"/>
      <c r="I294" s="17"/>
      <c r="J294" s="17"/>
      <c r="N294" s="17"/>
      <c r="O294" s="17"/>
      <c r="P294" s="17"/>
    </row>
    <row r="295" spans="4:16" ht="15.75" customHeight="1" x14ac:dyDescent="0.25">
      <c r="D295" s="17"/>
      <c r="E295" s="17"/>
      <c r="F295" s="17"/>
      <c r="G295" s="17"/>
      <c r="H295" s="17"/>
      <c r="I295" s="17"/>
      <c r="J295" s="17"/>
      <c r="N295" s="17"/>
      <c r="O295" s="17"/>
      <c r="P295" s="17"/>
    </row>
    <row r="296" spans="4:16" ht="15.75" customHeight="1" x14ac:dyDescent="0.25">
      <c r="D296" s="17"/>
      <c r="E296" s="17"/>
      <c r="F296" s="17"/>
      <c r="G296" s="17"/>
      <c r="H296" s="17"/>
      <c r="I296" s="17"/>
      <c r="J296" s="17"/>
      <c r="N296" s="17"/>
      <c r="O296" s="17"/>
      <c r="P296" s="17"/>
    </row>
    <row r="297" spans="4:16" ht="15.75" customHeight="1" x14ac:dyDescent="0.25">
      <c r="D297" s="17"/>
      <c r="E297" s="17"/>
      <c r="F297" s="17"/>
      <c r="G297" s="17"/>
      <c r="H297" s="17"/>
      <c r="I297" s="17"/>
      <c r="J297" s="17"/>
      <c r="N297" s="17"/>
      <c r="O297" s="17"/>
      <c r="P297" s="17"/>
    </row>
    <row r="298" spans="4:16" ht="15.75" customHeight="1" x14ac:dyDescent="0.25">
      <c r="D298" s="17"/>
      <c r="E298" s="17"/>
      <c r="F298" s="17"/>
      <c r="G298" s="17"/>
      <c r="H298" s="17"/>
      <c r="I298" s="17"/>
      <c r="J298" s="17"/>
      <c r="N298" s="17"/>
      <c r="O298" s="17"/>
      <c r="P298" s="17"/>
    </row>
    <row r="299" spans="4:16" ht="15.75" customHeight="1" x14ac:dyDescent="0.25">
      <c r="D299" s="17"/>
      <c r="E299" s="17"/>
      <c r="F299" s="17"/>
      <c r="G299" s="17"/>
      <c r="H299" s="17"/>
      <c r="I299" s="17"/>
      <c r="J299" s="17"/>
      <c r="N299" s="17"/>
      <c r="O299" s="17"/>
      <c r="P299" s="17"/>
    </row>
    <row r="300" spans="4:16" ht="15.75" customHeight="1" x14ac:dyDescent="0.25">
      <c r="D300" s="17"/>
      <c r="E300" s="17"/>
      <c r="F300" s="17"/>
      <c r="G300" s="17"/>
      <c r="H300" s="17"/>
      <c r="I300" s="17"/>
      <c r="J300" s="17"/>
      <c r="N300" s="17"/>
      <c r="O300" s="17"/>
      <c r="P300" s="17"/>
    </row>
    <row r="301" spans="4:16" ht="15.75" customHeight="1" x14ac:dyDescent="0.25">
      <c r="D301" s="17"/>
      <c r="E301" s="17"/>
      <c r="F301" s="17"/>
      <c r="G301" s="17"/>
      <c r="H301" s="17"/>
      <c r="I301" s="17"/>
      <c r="J301" s="17"/>
      <c r="N301" s="17"/>
      <c r="O301" s="17"/>
      <c r="P301" s="17"/>
    </row>
    <row r="302" spans="4:16" ht="15.75" customHeight="1" x14ac:dyDescent="0.25">
      <c r="D302" s="17"/>
      <c r="E302" s="17"/>
      <c r="F302" s="17"/>
      <c r="G302" s="17"/>
      <c r="H302" s="17"/>
      <c r="I302" s="17"/>
      <c r="J302" s="17"/>
      <c r="N302" s="17"/>
      <c r="O302" s="17"/>
      <c r="P302" s="17"/>
    </row>
    <row r="303" spans="4:16" ht="15.75" customHeight="1" x14ac:dyDescent="0.25">
      <c r="D303" s="17"/>
      <c r="E303" s="17"/>
      <c r="F303" s="17"/>
      <c r="G303" s="17"/>
      <c r="H303" s="17"/>
      <c r="I303" s="17"/>
      <c r="J303" s="17"/>
      <c r="N303" s="17"/>
      <c r="O303" s="17"/>
      <c r="P303" s="17"/>
    </row>
    <row r="304" spans="4:16" ht="15.75" customHeight="1" x14ac:dyDescent="0.25">
      <c r="D304" s="17"/>
      <c r="E304" s="17"/>
      <c r="F304" s="17"/>
      <c r="G304" s="17"/>
      <c r="H304" s="17"/>
      <c r="I304" s="17"/>
      <c r="J304" s="17"/>
      <c r="N304" s="17"/>
      <c r="O304" s="17"/>
      <c r="P304" s="17"/>
    </row>
    <row r="305" spans="4:16" ht="15.75" customHeight="1" x14ac:dyDescent="0.25">
      <c r="D305" s="17"/>
      <c r="E305" s="17"/>
      <c r="F305" s="17"/>
      <c r="G305" s="17"/>
      <c r="H305" s="17"/>
      <c r="I305" s="17"/>
      <c r="J305" s="17"/>
      <c r="N305" s="17"/>
      <c r="O305" s="17"/>
      <c r="P305" s="17"/>
    </row>
    <row r="306" spans="4:16" ht="15.75" customHeight="1" x14ac:dyDescent="0.25">
      <c r="D306" s="17"/>
      <c r="E306" s="17"/>
      <c r="F306" s="17"/>
      <c r="G306" s="17"/>
      <c r="H306" s="17"/>
      <c r="I306" s="17"/>
      <c r="J306" s="17"/>
      <c r="N306" s="17"/>
      <c r="O306" s="17"/>
      <c r="P306" s="17"/>
    </row>
    <row r="307" spans="4:16" ht="15.75" customHeight="1" x14ac:dyDescent="0.25">
      <c r="D307" s="17"/>
      <c r="E307" s="17"/>
      <c r="F307" s="17"/>
      <c r="G307" s="17"/>
      <c r="H307" s="17"/>
      <c r="I307" s="17"/>
      <c r="J307" s="17"/>
      <c r="N307" s="17"/>
      <c r="O307" s="17"/>
      <c r="P307" s="17"/>
    </row>
    <row r="308" spans="4:16" ht="15.75" customHeight="1" x14ac:dyDescent="0.25">
      <c r="D308" s="17"/>
      <c r="E308" s="17"/>
      <c r="F308" s="17"/>
      <c r="G308" s="17"/>
      <c r="H308" s="17"/>
      <c r="I308" s="17"/>
      <c r="J308" s="17"/>
      <c r="N308" s="17"/>
      <c r="O308" s="17"/>
      <c r="P308" s="17"/>
    </row>
    <row r="309" spans="4:16" ht="15.75" customHeight="1" x14ac:dyDescent="0.25">
      <c r="D309" s="17"/>
      <c r="E309" s="17"/>
      <c r="F309" s="17"/>
      <c r="G309" s="17"/>
      <c r="H309" s="17"/>
      <c r="I309" s="17"/>
      <c r="J309" s="17"/>
      <c r="N309" s="17"/>
      <c r="O309" s="17"/>
      <c r="P309" s="17"/>
    </row>
    <row r="310" spans="4:16" ht="15.75" customHeight="1" x14ac:dyDescent="0.25">
      <c r="D310" s="17"/>
      <c r="E310" s="17"/>
      <c r="F310" s="17"/>
      <c r="G310" s="17"/>
      <c r="H310" s="17"/>
      <c r="I310" s="17"/>
      <c r="J310" s="17"/>
      <c r="N310" s="17"/>
      <c r="O310" s="17"/>
      <c r="P310" s="17"/>
    </row>
    <row r="311" spans="4:16" ht="15.75" customHeight="1" x14ac:dyDescent="0.25">
      <c r="D311" s="17"/>
      <c r="E311" s="17"/>
      <c r="F311" s="17"/>
      <c r="G311" s="17"/>
      <c r="H311" s="17"/>
      <c r="I311" s="17"/>
      <c r="J311" s="17"/>
      <c r="N311" s="17"/>
      <c r="O311" s="17"/>
      <c r="P311" s="17"/>
    </row>
    <row r="312" spans="4:16" ht="15.75" customHeight="1" x14ac:dyDescent="0.25">
      <c r="D312" s="17"/>
      <c r="E312" s="17"/>
      <c r="F312" s="17"/>
      <c r="G312" s="17"/>
      <c r="H312" s="17"/>
      <c r="I312" s="17"/>
      <c r="J312" s="17"/>
      <c r="N312" s="17"/>
      <c r="O312" s="17"/>
      <c r="P312" s="17"/>
    </row>
    <row r="313" spans="4:16" ht="15.75" customHeight="1" x14ac:dyDescent="0.25">
      <c r="D313" s="17"/>
      <c r="E313" s="17"/>
      <c r="F313" s="17"/>
      <c r="G313" s="17"/>
      <c r="H313" s="17"/>
      <c r="I313" s="17"/>
      <c r="J313" s="17"/>
      <c r="N313" s="17"/>
      <c r="O313" s="17"/>
      <c r="P313" s="17"/>
    </row>
    <row r="314" spans="4:16" ht="15.75" customHeight="1" x14ac:dyDescent="0.25">
      <c r="D314" s="17"/>
      <c r="E314" s="17"/>
      <c r="F314" s="17"/>
      <c r="G314" s="17"/>
      <c r="H314" s="17"/>
      <c r="I314" s="17"/>
      <c r="J314" s="17"/>
      <c r="N314" s="17"/>
      <c r="O314" s="17"/>
      <c r="P314" s="17"/>
    </row>
    <row r="315" spans="4:16" ht="15.75" customHeight="1" x14ac:dyDescent="0.25">
      <c r="D315" s="17"/>
      <c r="E315" s="17"/>
      <c r="F315" s="17"/>
      <c r="G315" s="17"/>
      <c r="H315" s="17"/>
      <c r="I315" s="17"/>
      <c r="J315" s="17"/>
      <c r="N315" s="17"/>
      <c r="O315" s="17"/>
      <c r="P315" s="17"/>
    </row>
    <row r="316" spans="4:16" ht="15.75" customHeight="1" x14ac:dyDescent="0.25">
      <c r="D316" s="17"/>
      <c r="E316" s="17"/>
      <c r="F316" s="17"/>
      <c r="G316" s="17"/>
      <c r="H316" s="17"/>
      <c r="I316" s="17"/>
      <c r="J316" s="17"/>
      <c r="N316" s="17"/>
      <c r="O316" s="17"/>
      <c r="P316" s="17"/>
    </row>
    <row r="317" spans="4:16" ht="15.75" customHeight="1" x14ac:dyDescent="0.25">
      <c r="D317" s="17"/>
      <c r="E317" s="17"/>
      <c r="F317" s="17"/>
      <c r="G317" s="17"/>
      <c r="H317" s="17"/>
      <c r="I317" s="17"/>
      <c r="J317" s="17"/>
      <c r="N317" s="17"/>
      <c r="O317" s="17"/>
      <c r="P317" s="17"/>
    </row>
    <row r="318" spans="4:16" ht="15.75" customHeight="1" x14ac:dyDescent="0.25">
      <c r="D318" s="17"/>
      <c r="E318" s="17"/>
      <c r="F318" s="17"/>
      <c r="G318" s="17"/>
      <c r="H318" s="17"/>
      <c r="I318" s="17"/>
      <c r="J318" s="17"/>
      <c r="N318" s="17"/>
      <c r="O318" s="17"/>
      <c r="P318" s="17"/>
    </row>
    <row r="319" spans="4:16" ht="15.75" customHeight="1" x14ac:dyDescent="0.25">
      <c r="D319" s="17"/>
      <c r="E319" s="17"/>
      <c r="F319" s="17"/>
      <c r="G319" s="17"/>
      <c r="H319" s="17"/>
      <c r="I319" s="17"/>
      <c r="J319" s="17"/>
      <c r="N319" s="17"/>
      <c r="O319" s="17"/>
      <c r="P319" s="17"/>
    </row>
    <row r="320" spans="4:16" ht="15.75" customHeight="1" x14ac:dyDescent="0.25">
      <c r="D320" s="17"/>
      <c r="E320" s="17"/>
      <c r="F320" s="17"/>
      <c r="G320" s="17"/>
      <c r="H320" s="17"/>
      <c r="I320" s="17"/>
      <c r="J320" s="17"/>
      <c r="N320" s="17"/>
      <c r="O320" s="17"/>
      <c r="P320" s="17"/>
    </row>
    <row r="321" spans="4:16" ht="15.75" customHeight="1" x14ac:dyDescent="0.25">
      <c r="D321" s="17"/>
      <c r="E321" s="17"/>
      <c r="F321" s="17"/>
      <c r="G321" s="17"/>
      <c r="H321" s="17"/>
      <c r="I321" s="17"/>
      <c r="J321" s="17"/>
      <c r="N321" s="17"/>
      <c r="O321" s="17"/>
      <c r="P321" s="17"/>
    </row>
    <row r="322" spans="4:16" ht="15.75" customHeight="1" x14ac:dyDescent="0.25">
      <c r="D322" s="17"/>
      <c r="E322" s="17"/>
      <c r="F322" s="17"/>
      <c r="G322" s="17"/>
      <c r="H322" s="17"/>
      <c r="I322" s="17"/>
      <c r="J322" s="17"/>
      <c r="N322" s="17"/>
      <c r="O322" s="17"/>
      <c r="P322" s="17"/>
    </row>
    <row r="323" spans="4:16" ht="15.75" customHeight="1" x14ac:dyDescent="0.25">
      <c r="D323" s="17"/>
      <c r="E323" s="17"/>
      <c r="F323" s="17"/>
      <c r="G323" s="17"/>
      <c r="H323" s="17"/>
      <c r="I323" s="17"/>
      <c r="J323" s="17"/>
      <c r="N323" s="17"/>
      <c r="O323" s="17"/>
      <c r="P323" s="17"/>
    </row>
    <row r="324" spans="4:16" ht="15.75" customHeight="1" x14ac:dyDescent="0.25">
      <c r="D324" s="17"/>
      <c r="E324" s="17"/>
      <c r="F324" s="17"/>
      <c r="G324" s="17"/>
      <c r="H324" s="17"/>
      <c r="I324" s="17"/>
      <c r="J324" s="17"/>
      <c r="N324" s="17"/>
      <c r="O324" s="17"/>
      <c r="P324" s="17"/>
    </row>
    <row r="325" spans="4:16" ht="15.75" customHeight="1" x14ac:dyDescent="0.25">
      <c r="D325" s="17"/>
      <c r="E325" s="17"/>
      <c r="F325" s="17"/>
      <c r="G325" s="17"/>
      <c r="H325" s="17"/>
      <c r="I325" s="17"/>
      <c r="J325" s="17"/>
      <c r="N325" s="17"/>
      <c r="O325" s="17"/>
      <c r="P325" s="17"/>
    </row>
    <row r="326" spans="4:16" ht="15.75" customHeight="1" x14ac:dyDescent="0.25">
      <c r="D326" s="17"/>
      <c r="E326" s="17"/>
      <c r="F326" s="17"/>
      <c r="G326" s="17"/>
      <c r="H326" s="17"/>
      <c r="I326" s="17"/>
      <c r="J326" s="17"/>
      <c r="N326" s="17"/>
      <c r="O326" s="17"/>
      <c r="P326" s="17"/>
    </row>
    <row r="327" spans="4:16" ht="15.75" customHeight="1" x14ac:dyDescent="0.25">
      <c r="D327" s="17"/>
      <c r="E327" s="17"/>
      <c r="F327" s="17"/>
      <c r="G327" s="17"/>
      <c r="H327" s="17"/>
      <c r="I327" s="17"/>
      <c r="J327" s="17"/>
      <c r="N327" s="17"/>
      <c r="O327" s="17"/>
      <c r="P327" s="17"/>
    </row>
    <row r="328" spans="4:16" ht="15.75" customHeight="1" x14ac:dyDescent="0.25">
      <c r="D328" s="17"/>
      <c r="E328" s="17"/>
      <c r="F328" s="17"/>
      <c r="G328" s="17"/>
      <c r="H328" s="17"/>
      <c r="I328" s="17"/>
      <c r="J328" s="17"/>
      <c r="N328" s="17"/>
      <c r="O328" s="17"/>
      <c r="P328" s="17"/>
    </row>
    <row r="329" spans="4:16" ht="15.75" customHeight="1" x14ac:dyDescent="0.25">
      <c r="D329" s="17"/>
      <c r="E329" s="17"/>
      <c r="F329" s="17"/>
      <c r="G329" s="17"/>
      <c r="H329" s="17"/>
      <c r="I329" s="17"/>
      <c r="J329" s="17"/>
      <c r="N329" s="17"/>
      <c r="O329" s="17"/>
      <c r="P329" s="17"/>
    </row>
    <row r="330" spans="4:16" ht="15.75" customHeight="1" x14ac:dyDescent="0.25">
      <c r="D330" s="17"/>
      <c r="E330" s="17"/>
      <c r="F330" s="17"/>
      <c r="G330" s="17"/>
      <c r="H330" s="17"/>
      <c r="I330" s="17"/>
      <c r="J330" s="17"/>
      <c r="N330" s="17"/>
      <c r="O330" s="17"/>
      <c r="P330" s="17"/>
    </row>
    <row r="331" spans="4:16" ht="15.75" customHeight="1" x14ac:dyDescent="0.25">
      <c r="D331" s="17"/>
      <c r="E331" s="17"/>
      <c r="F331" s="17"/>
      <c r="G331" s="17"/>
      <c r="H331" s="17"/>
      <c r="I331" s="17"/>
      <c r="J331" s="17"/>
      <c r="N331" s="17"/>
      <c r="O331" s="17"/>
      <c r="P331" s="17"/>
    </row>
    <row r="332" spans="4:16" ht="15.75" customHeight="1" x14ac:dyDescent="0.25">
      <c r="D332" s="17"/>
      <c r="E332" s="17"/>
      <c r="F332" s="17"/>
      <c r="G332" s="17"/>
      <c r="H332" s="17"/>
      <c r="I332" s="17"/>
      <c r="J332" s="17"/>
      <c r="N332" s="17"/>
      <c r="O332" s="17"/>
      <c r="P332" s="17"/>
    </row>
    <row r="333" spans="4:16" ht="15.75" customHeight="1" x14ac:dyDescent="0.25">
      <c r="D333" s="17"/>
      <c r="E333" s="17"/>
      <c r="F333" s="17"/>
      <c r="G333" s="17"/>
      <c r="H333" s="17"/>
      <c r="I333" s="17"/>
      <c r="J333" s="17"/>
      <c r="N333" s="17"/>
      <c r="O333" s="17"/>
      <c r="P333" s="17"/>
    </row>
    <row r="334" spans="4:16" ht="15.75" customHeight="1" x14ac:dyDescent="0.25">
      <c r="D334" s="17"/>
      <c r="E334" s="17"/>
      <c r="F334" s="17"/>
      <c r="G334" s="17"/>
      <c r="H334" s="17"/>
      <c r="I334" s="17"/>
      <c r="J334" s="17"/>
      <c r="N334" s="17"/>
      <c r="O334" s="17"/>
      <c r="P334" s="17"/>
    </row>
    <row r="335" spans="4:16" ht="15.75" customHeight="1" x14ac:dyDescent="0.25">
      <c r="D335" s="17"/>
      <c r="E335" s="17"/>
      <c r="F335" s="17"/>
      <c r="G335" s="17"/>
      <c r="H335" s="17"/>
      <c r="I335" s="17"/>
      <c r="J335" s="17"/>
      <c r="N335" s="17"/>
      <c r="O335" s="17"/>
      <c r="P335" s="17"/>
    </row>
    <row r="336" spans="4:16" ht="15.75" customHeight="1" x14ac:dyDescent="0.25">
      <c r="D336" s="17"/>
      <c r="E336" s="17"/>
      <c r="F336" s="17"/>
      <c r="G336" s="17"/>
      <c r="H336" s="17"/>
      <c r="I336" s="17"/>
      <c r="J336" s="17"/>
      <c r="N336" s="17"/>
      <c r="O336" s="17"/>
      <c r="P336" s="17"/>
    </row>
    <row r="337" spans="4:16" ht="15.75" customHeight="1" x14ac:dyDescent="0.25">
      <c r="D337" s="17"/>
      <c r="E337" s="17"/>
      <c r="F337" s="17"/>
      <c r="G337" s="17"/>
      <c r="H337" s="17"/>
      <c r="I337" s="17"/>
      <c r="J337" s="17"/>
      <c r="N337" s="17"/>
      <c r="O337" s="17"/>
      <c r="P337" s="17"/>
    </row>
    <row r="338" spans="4:16" ht="15.75" customHeight="1" x14ac:dyDescent="0.25">
      <c r="D338" s="17"/>
      <c r="E338" s="17"/>
      <c r="F338" s="17"/>
      <c r="G338" s="17"/>
      <c r="H338" s="17"/>
      <c r="I338" s="17"/>
      <c r="J338" s="17"/>
      <c r="N338" s="17"/>
      <c r="O338" s="17"/>
      <c r="P338" s="17"/>
    </row>
    <row r="339" spans="4:16" ht="15.75" customHeight="1" x14ac:dyDescent="0.25">
      <c r="D339" s="17"/>
      <c r="E339" s="17"/>
      <c r="F339" s="17"/>
      <c r="G339" s="17"/>
      <c r="H339" s="17"/>
      <c r="I339" s="17"/>
      <c r="J339" s="17"/>
      <c r="N339" s="17"/>
      <c r="O339" s="17"/>
      <c r="P339" s="17"/>
    </row>
    <row r="340" spans="4:16" ht="15.75" customHeight="1" x14ac:dyDescent="0.25">
      <c r="D340" s="17"/>
      <c r="E340" s="17"/>
      <c r="F340" s="17"/>
      <c r="G340" s="17"/>
      <c r="H340" s="17"/>
      <c r="I340" s="17"/>
      <c r="J340" s="17"/>
      <c r="N340" s="17"/>
      <c r="O340" s="17"/>
      <c r="P340" s="17"/>
    </row>
    <row r="341" spans="4:16" ht="15.75" customHeight="1" x14ac:dyDescent="0.25">
      <c r="D341" s="17"/>
      <c r="E341" s="17"/>
      <c r="F341" s="17"/>
      <c r="G341" s="17"/>
      <c r="H341" s="17"/>
      <c r="I341" s="17"/>
      <c r="J341" s="17"/>
      <c r="N341" s="17"/>
      <c r="O341" s="17"/>
      <c r="P341" s="17"/>
    </row>
    <row r="342" spans="4:16" ht="15.75" customHeight="1" x14ac:dyDescent="0.25">
      <c r="D342" s="17"/>
      <c r="E342" s="17"/>
      <c r="F342" s="17"/>
      <c r="G342" s="17"/>
      <c r="H342" s="17"/>
      <c r="I342" s="17"/>
      <c r="J342" s="17"/>
      <c r="N342" s="17"/>
      <c r="O342" s="17"/>
      <c r="P342" s="17"/>
    </row>
    <row r="343" spans="4:16" ht="15.75" customHeight="1" x14ac:dyDescent="0.25">
      <c r="D343" s="17"/>
      <c r="E343" s="17"/>
      <c r="F343" s="17"/>
      <c r="G343" s="17"/>
      <c r="H343" s="17"/>
      <c r="I343" s="17"/>
      <c r="J343" s="17"/>
      <c r="N343" s="17"/>
      <c r="O343" s="17"/>
      <c r="P343" s="17"/>
    </row>
    <row r="344" spans="4:16" ht="15.75" customHeight="1" x14ac:dyDescent="0.25">
      <c r="D344" s="17"/>
      <c r="E344" s="17"/>
      <c r="F344" s="17"/>
      <c r="G344" s="17"/>
      <c r="H344" s="17"/>
      <c r="I344" s="17"/>
      <c r="J344" s="17"/>
      <c r="N344" s="17"/>
      <c r="O344" s="17"/>
      <c r="P344" s="17"/>
    </row>
    <row r="345" spans="4:16" ht="15.75" customHeight="1" x14ac:dyDescent="0.25">
      <c r="D345" s="17"/>
      <c r="E345" s="17"/>
      <c r="F345" s="17"/>
      <c r="G345" s="17"/>
      <c r="H345" s="17"/>
      <c r="I345" s="17"/>
      <c r="J345" s="17"/>
      <c r="N345" s="17"/>
      <c r="O345" s="17"/>
      <c r="P345" s="17"/>
    </row>
    <row r="346" spans="4:16" ht="15.75" customHeight="1" x14ac:dyDescent="0.25">
      <c r="D346" s="17"/>
      <c r="E346" s="17"/>
      <c r="F346" s="17"/>
      <c r="G346" s="17"/>
      <c r="H346" s="17"/>
      <c r="I346" s="17"/>
      <c r="J346" s="17"/>
      <c r="N346" s="17"/>
      <c r="O346" s="17"/>
      <c r="P346" s="17"/>
    </row>
    <row r="347" spans="4:16" ht="15.75" customHeight="1" x14ac:dyDescent="0.25">
      <c r="D347" s="17"/>
      <c r="E347" s="17"/>
      <c r="F347" s="17"/>
      <c r="G347" s="17"/>
      <c r="H347" s="17"/>
      <c r="I347" s="17"/>
      <c r="J347" s="17"/>
      <c r="N347" s="17"/>
      <c r="O347" s="17"/>
      <c r="P347" s="17"/>
    </row>
    <row r="348" spans="4:16" ht="15.75" customHeight="1" x14ac:dyDescent="0.25">
      <c r="D348" s="17"/>
      <c r="E348" s="17"/>
      <c r="F348" s="17"/>
      <c r="G348" s="17"/>
      <c r="H348" s="17"/>
      <c r="I348" s="17"/>
      <c r="J348" s="17"/>
      <c r="N348" s="17"/>
      <c r="O348" s="17"/>
      <c r="P348" s="17"/>
    </row>
    <row r="349" spans="4:16" ht="15.75" customHeight="1" x14ac:dyDescent="0.25">
      <c r="D349" s="17"/>
      <c r="E349" s="17"/>
      <c r="F349" s="17"/>
      <c r="G349" s="17"/>
      <c r="H349" s="17"/>
      <c r="I349" s="17"/>
      <c r="J349" s="17"/>
      <c r="N349" s="17"/>
      <c r="O349" s="17"/>
      <c r="P349" s="17"/>
    </row>
    <row r="350" spans="4:16" ht="15.75" customHeight="1" x14ac:dyDescent="0.25">
      <c r="D350" s="17"/>
      <c r="E350" s="17"/>
      <c r="F350" s="17"/>
      <c r="G350" s="17"/>
      <c r="H350" s="17"/>
      <c r="I350" s="17"/>
      <c r="J350" s="17"/>
      <c r="N350" s="17"/>
      <c r="O350" s="17"/>
      <c r="P350" s="17"/>
    </row>
    <row r="351" spans="4:16" ht="15.75" customHeight="1" x14ac:dyDescent="0.25">
      <c r="D351" s="17"/>
      <c r="E351" s="17"/>
      <c r="F351" s="17"/>
      <c r="G351" s="17"/>
      <c r="H351" s="17"/>
      <c r="I351" s="17"/>
      <c r="J351" s="17"/>
      <c r="N351" s="17"/>
      <c r="O351" s="17"/>
      <c r="P351" s="17"/>
    </row>
    <row r="352" spans="4:16" ht="15.75" customHeight="1" x14ac:dyDescent="0.25">
      <c r="D352" s="17"/>
      <c r="E352" s="17"/>
      <c r="F352" s="17"/>
      <c r="G352" s="17"/>
      <c r="H352" s="17"/>
      <c r="I352" s="17"/>
      <c r="J352" s="17"/>
      <c r="N352" s="17"/>
      <c r="O352" s="17"/>
      <c r="P352" s="17"/>
    </row>
    <row r="353" spans="4:16" ht="15.75" customHeight="1" x14ac:dyDescent="0.25">
      <c r="D353" s="17"/>
      <c r="E353" s="17"/>
      <c r="F353" s="17"/>
      <c r="G353" s="17"/>
      <c r="H353" s="17"/>
      <c r="I353" s="17"/>
      <c r="J353" s="17"/>
      <c r="N353" s="17"/>
      <c r="O353" s="17"/>
      <c r="P353" s="17"/>
    </row>
    <row r="354" spans="4:16" ht="15.75" customHeight="1" x14ac:dyDescent="0.25">
      <c r="D354" s="17"/>
      <c r="E354" s="17"/>
      <c r="F354" s="17"/>
      <c r="G354" s="17"/>
      <c r="H354" s="17"/>
      <c r="I354" s="17"/>
      <c r="J354" s="17"/>
      <c r="N354" s="17"/>
      <c r="O354" s="17"/>
      <c r="P354" s="17"/>
    </row>
    <row r="355" spans="4:16" ht="15.75" customHeight="1" x14ac:dyDescent="0.25">
      <c r="D355" s="17"/>
      <c r="E355" s="17"/>
      <c r="F355" s="17"/>
      <c r="G355" s="17"/>
      <c r="H355" s="17"/>
      <c r="I355" s="17"/>
      <c r="J355" s="17"/>
      <c r="N355" s="17"/>
      <c r="O355" s="17"/>
      <c r="P355" s="17"/>
    </row>
    <row r="356" spans="4:16" ht="15.75" customHeight="1" x14ac:dyDescent="0.25">
      <c r="D356" s="17"/>
      <c r="E356" s="17"/>
      <c r="F356" s="17"/>
      <c r="G356" s="17"/>
      <c r="H356" s="17"/>
      <c r="I356" s="17"/>
      <c r="J356" s="17"/>
      <c r="N356" s="17"/>
      <c r="O356" s="17"/>
      <c r="P356" s="17"/>
    </row>
    <row r="357" spans="4:16" ht="15.75" customHeight="1" x14ac:dyDescent="0.25">
      <c r="D357" s="17"/>
      <c r="E357" s="17"/>
      <c r="F357" s="17"/>
      <c r="G357" s="17"/>
      <c r="H357" s="17"/>
      <c r="I357" s="17"/>
      <c r="J357" s="17"/>
      <c r="N357" s="17"/>
      <c r="O357" s="17"/>
      <c r="P357" s="17"/>
    </row>
    <row r="358" spans="4:16" ht="15.75" customHeight="1" x14ac:dyDescent="0.25">
      <c r="D358" s="17"/>
      <c r="E358" s="17"/>
      <c r="F358" s="17"/>
      <c r="G358" s="17"/>
      <c r="H358" s="17"/>
      <c r="I358" s="17"/>
      <c r="J358" s="17"/>
      <c r="N358" s="17"/>
      <c r="O358" s="17"/>
      <c r="P358" s="17"/>
    </row>
    <row r="359" spans="4:16" ht="15.75" customHeight="1" x14ac:dyDescent="0.25">
      <c r="D359" s="17"/>
      <c r="E359" s="17"/>
      <c r="F359" s="17"/>
      <c r="G359" s="17"/>
      <c r="H359" s="17"/>
      <c r="I359" s="17"/>
      <c r="J359" s="17"/>
      <c r="N359" s="17"/>
      <c r="O359" s="17"/>
      <c r="P359" s="17"/>
    </row>
    <row r="360" spans="4:16" ht="15.75" customHeight="1" x14ac:dyDescent="0.25">
      <c r="D360" s="17"/>
      <c r="E360" s="17"/>
      <c r="F360" s="17"/>
      <c r="G360" s="17"/>
      <c r="H360" s="17"/>
      <c r="I360" s="17"/>
      <c r="J360" s="17"/>
      <c r="N360" s="17"/>
      <c r="O360" s="17"/>
      <c r="P360" s="17"/>
    </row>
    <row r="361" spans="4:16" ht="15.75" customHeight="1" x14ac:dyDescent="0.25">
      <c r="D361" s="17"/>
      <c r="E361" s="17"/>
      <c r="F361" s="17"/>
      <c r="G361" s="17"/>
      <c r="H361" s="17"/>
      <c r="I361" s="17"/>
      <c r="J361" s="17"/>
      <c r="N361" s="17"/>
      <c r="O361" s="17"/>
      <c r="P361" s="17"/>
    </row>
    <row r="362" spans="4:16" ht="15.75" customHeight="1" x14ac:dyDescent="0.25">
      <c r="D362" s="17"/>
      <c r="E362" s="17"/>
      <c r="F362" s="17"/>
      <c r="G362" s="17"/>
      <c r="H362" s="17"/>
      <c r="I362" s="17"/>
      <c r="J362" s="17"/>
      <c r="N362" s="17"/>
      <c r="O362" s="17"/>
      <c r="P362" s="17"/>
    </row>
    <row r="363" spans="4:16" ht="15.75" customHeight="1" x14ac:dyDescent="0.25">
      <c r="D363" s="17"/>
      <c r="E363" s="17"/>
      <c r="F363" s="17"/>
      <c r="G363" s="17"/>
      <c r="H363" s="17"/>
      <c r="I363" s="17"/>
      <c r="J363" s="17"/>
      <c r="N363" s="17"/>
      <c r="O363" s="17"/>
      <c r="P363" s="17"/>
    </row>
    <row r="364" spans="4:16" ht="15.75" customHeight="1" x14ac:dyDescent="0.25">
      <c r="D364" s="17"/>
      <c r="E364" s="17"/>
      <c r="F364" s="17"/>
      <c r="G364" s="17"/>
      <c r="H364" s="17"/>
      <c r="I364" s="17"/>
      <c r="J364" s="17"/>
      <c r="N364" s="17"/>
      <c r="O364" s="17"/>
      <c r="P364" s="17"/>
    </row>
    <row r="365" spans="4:16" ht="15.75" customHeight="1" x14ac:dyDescent="0.25">
      <c r="D365" s="17"/>
      <c r="E365" s="17"/>
      <c r="F365" s="17"/>
      <c r="G365" s="17"/>
      <c r="H365" s="17"/>
      <c r="I365" s="17"/>
      <c r="J365" s="17"/>
      <c r="N365" s="17"/>
      <c r="O365" s="17"/>
      <c r="P365" s="17"/>
    </row>
    <row r="366" spans="4:16" ht="15.75" customHeight="1" x14ac:dyDescent="0.25">
      <c r="D366" s="17"/>
      <c r="E366" s="17"/>
      <c r="F366" s="17"/>
      <c r="G366" s="17"/>
      <c r="H366" s="17"/>
      <c r="I366" s="17"/>
      <c r="J366" s="17"/>
      <c r="N366" s="17"/>
      <c r="O366" s="17"/>
      <c r="P366" s="17"/>
    </row>
    <row r="367" spans="4:16" ht="15.75" customHeight="1" x14ac:dyDescent="0.25">
      <c r="D367" s="17"/>
      <c r="E367" s="17"/>
      <c r="F367" s="17"/>
      <c r="G367" s="17"/>
      <c r="H367" s="17"/>
      <c r="I367" s="17"/>
      <c r="J367" s="17"/>
      <c r="N367" s="17"/>
      <c r="O367" s="17"/>
      <c r="P367" s="17"/>
    </row>
    <row r="368" spans="4:16" ht="15.75" customHeight="1" x14ac:dyDescent="0.25">
      <c r="D368" s="17"/>
      <c r="E368" s="17"/>
      <c r="F368" s="17"/>
      <c r="G368" s="17"/>
      <c r="H368" s="17"/>
      <c r="I368" s="17"/>
      <c r="J368" s="17"/>
      <c r="N368" s="17"/>
      <c r="O368" s="17"/>
      <c r="P368" s="17"/>
    </row>
    <row r="369" spans="4:16" ht="15.75" customHeight="1" x14ac:dyDescent="0.25">
      <c r="D369" s="17"/>
      <c r="E369" s="17"/>
      <c r="F369" s="17"/>
      <c r="G369" s="17"/>
      <c r="H369" s="17"/>
      <c r="I369" s="17"/>
      <c r="J369" s="17"/>
      <c r="N369" s="17"/>
      <c r="O369" s="17"/>
      <c r="P369" s="17"/>
    </row>
    <row r="370" spans="4:16" ht="15.75" customHeight="1" x14ac:dyDescent="0.25">
      <c r="D370" s="17"/>
      <c r="E370" s="17"/>
      <c r="F370" s="17"/>
      <c r="G370" s="17"/>
      <c r="H370" s="17"/>
      <c r="I370" s="17"/>
      <c r="J370" s="17"/>
      <c r="N370" s="17"/>
      <c r="O370" s="17"/>
      <c r="P370" s="17"/>
    </row>
    <row r="371" spans="4:16" ht="15.75" customHeight="1" x14ac:dyDescent="0.25">
      <c r="D371" s="17"/>
      <c r="E371" s="17"/>
      <c r="F371" s="17"/>
      <c r="G371" s="17"/>
      <c r="H371" s="17"/>
      <c r="I371" s="17"/>
      <c r="J371" s="17"/>
      <c r="N371" s="17"/>
      <c r="O371" s="17"/>
      <c r="P371" s="17"/>
    </row>
    <row r="372" spans="4:16" ht="15.75" customHeight="1" x14ac:dyDescent="0.25">
      <c r="D372" s="17"/>
      <c r="E372" s="17"/>
      <c r="F372" s="17"/>
      <c r="G372" s="17"/>
      <c r="H372" s="17"/>
      <c r="I372" s="17"/>
      <c r="J372" s="17"/>
      <c r="N372" s="17"/>
      <c r="O372" s="17"/>
      <c r="P372" s="17"/>
    </row>
    <row r="373" spans="4:16" ht="15.75" customHeight="1" x14ac:dyDescent="0.25">
      <c r="D373" s="17"/>
      <c r="E373" s="17"/>
      <c r="F373" s="17"/>
      <c r="G373" s="17"/>
      <c r="H373" s="17"/>
      <c r="I373" s="17"/>
      <c r="J373" s="17"/>
      <c r="N373" s="17"/>
      <c r="O373" s="17"/>
      <c r="P373" s="17"/>
    </row>
    <row r="374" spans="4:16" ht="15.75" customHeight="1" x14ac:dyDescent="0.25">
      <c r="D374" s="17"/>
      <c r="E374" s="17"/>
      <c r="F374" s="17"/>
      <c r="G374" s="17"/>
      <c r="H374" s="17"/>
      <c r="I374" s="17"/>
      <c r="J374" s="17"/>
      <c r="N374" s="17"/>
      <c r="O374" s="17"/>
      <c r="P374" s="17"/>
    </row>
    <row r="375" spans="4:16" ht="15.75" customHeight="1" x14ac:dyDescent="0.25">
      <c r="D375" s="17"/>
      <c r="E375" s="17"/>
      <c r="F375" s="17"/>
      <c r="G375" s="17"/>
      <c r="H375" s="17"/>
      <c r="I375" s="17"/>
      <c r="J375" s="17"/>
      <c r="N375" s="17"/>
      <c r="O375" s="17"/>
      <c r="P375" s="17"/>
    </row>
    <row r="376" spans="4:16" ht="15.75" customHeight="1" x14ac:dyDescent="0.25">
      <c r="D376" s="17"/>
      <c r="E376" s="17"/>
      <c r="F376" s="17"/>
      <c r="G376" s="17"/>
      <c r="H376" s="17"/>
      <c r="I376" s="17"/>
      <c r="J376" s="17"/>
      <c r="N376" s="17"/>
      <c r="O376" s="17"/>
      <c r="P376" s="17"/>
    </row>
    <row r="377" spans="4:16" ht="15.75" customHeight="1" x14ac:dyDescent="0.25">
      <c r="D377" s="17"/>
      <c r="E377" s="17"/>
      <c r="F377" s="17"/>
      <c r="G377" s="17"/>
      <c r="H377" s="17"/>
      <c r="I377" s="17"/>
      <c r="J377" s="17"/>
      <c r="N377" s="17"/>
      <c r="O377" s="17"/>
      <c r="P377" s="17"/>
    </row>
    <row r="378" spans="4:16" ht="15.75" customHeight="1" x14ac:dyDescent="0.25">
      <c r="D378" s="17"/>
      <c r="E378" s="17"/>
      <c r="F378" s="17"/>
      <c r="G378" s="17"/>
      <c r="H378" s="17"/>
      <c r="I378" s="17"/>
      <c r="J378" s="17"/>
      <c r="N378" s="17"/>
      <c r="O378" s="17"/>
      <c r="P378" s="17"/>
    </row>
    <row r="379" spans="4:16" ht="15.75" customHeight="1" x14ac:dyDescent="0.25">
      <c r="D379" s="17"/>
      <c r="E379" s="17"/>
      <c r="F379" s="17"/>
      <c r="G379" s="17"/>
      <c r="H379" s="17"/>
      <c r="I379" s="17"/>
      <c r="J379" s="17"/>
      <c r="N379" s="17"/>
      <c r="O379" s="17"/>
      <c r="P379" s="17"/>
    </row>
    <row r="380" spans="4:16" ht="15.75" customHeight="1" x14ac:dyDescent="0.25">
      <c r="D380" s="17"/>
      <c r="E380" s="17"/>
      <c r="F380" s="17"/>
      <c r="G380" s="17"/>
      <c r="H380" s="17"/>
      <c r="I380" s="17"/>
      <c r="J380" s="17"/>
      <c r="N380" s="17"/>
      <c r="O380" s="17"/>
      <c r="P380" s="17"/>
    </row>
    <row r="381" spans="4:16" ht="15.75" customHeight="1" x14ac:dyDescent="0.25">
      <c r="D381" s="17"/>
      <c r="E381" s="17"/>
      <c r="F381" s="17"/>
      <c r="G381" s="17"/>
      <c r="H381" s="17"/>
      <c r="I381" s="17"/>
      <c r="J381" s="17"/>
      <c r="N381" s="17"/>
      <c r="O381" s="17"/>
      <c r="P381" s="17"/>
    </row>
    <row r="382" spans="4:16" ht="15.75" customHeight="1" x14ac:dyDescent="0.25">
      <c r="D382" s="17"/>
      <c r="E382" s="17"/>
      <c r="F382" s="17"/>
      <c r="G382" s="17"/>
      <c r="H382" s="17"/>
      <c r="I382" s="17"/>
      <c r="J382" s="17"/>
      <c r="N382" s="17"/>
      <c r="O382" s="17"/>
      <c r="P382" s="17"/>
    </row>
    <row r="383" spans="4:16" ht="15.75" customHeight="1" x14ac:dyDescent="0.25">
      <c r="D383" s="17"/>
      <c r="E383" s="17"/>
      <c r="F383" s="17"/>
      <c r="G383" s="17"/>
      <c r="H383" s="17"/>
      <c r="I383" s="17"/>
      <c r="J383" s="17"/>
      <c r="N383" s="17"/>
      <c r="O383" s="17"/>
      <c r="P383" s="17"/>
    </row>
    <row r="384" spans="4:16" ht="15.75" customHeight="1" x14ac:dyDescent="0.25">
      <c r="D384" s="17"/>
      <c r="E384" s="17"/>
      <c r="F384" s="17"/>
      <c r="G384" s="17"/>
      <c r="H384" s="17"/>
      <c r="I384" s="17"/>
      <c r="J384" s="17"/>
      <c r="N384" s="17"/>
      <c r="O384" s="17"/>
      <c r="P384" s="17"/>
    </row>
    <row r="385" spans="4:16" ht="15.75" customHeight="1" x14ac:dyDescent="0.25">
      <c r="D385" s="17"/>
      <c r="E385" s="17"/>
      <c r="F385" s="17"/>
      <c r="G385" s="17"/>
      <c r="H385" s="17"/>
      <c r="I385" s="17"/>
      <c r="J385" s="17"/>
      <c r="N385" s="17"/>
      <c r="O385" s="17"/>
      <c r="P385" s="17"/>
    </row>
    <row r="386" spans="4:16" ht="15.75" customHeight="1" x14ac:dyDescent="0.25">
      <c r="D386" s="17"/>
      <c r="E386" s="17"/>
      <c r="F386" s="17"/>
      <c r="G386" s="17"/>
      <c r="H386" s="17"/>
      <c r="I386" s="17"/>
      <c r="J386" s="17"/>
      <c r="N386" s="17"/>
      <c r="O386" s="17"/>
      <c r="P386" s="17"/>
    </row>
    <row r="387" spans="4:16" ht="15.75" customHeight="1" x14ac:dyDescent="0.25">
      <c r="D387" s="17"/>
      <c r="E387" s="17"/>
      <c r="F387" s="17"/>
      <c r="G387" s="17"/>
      <c r="H387" s="17"/>
      <c r="I387" s="17"/>
      <c r="J387" s="17"/>
      <c r="N387" s="17"/>
      <c r="O387" s="17"/>
      <c r="P387" s="17"/>
    </row>
    <row r="388" spans="4:16" ht="15.75" customHeight="1" x14ac:dyDescent="0.25">
      <c r="D388" s="17"/>
      <c r="E388" s="17"/>
      <c r="F388" s="17"/>
      <c r="G388" s="17"/>
      <c r="H388" s="17"/>
      <c r="I388" s="17"/>
      <c r="J388" s="17"/>
      <c r="N388" s="17"/>
      <c r="O388" s="17"/>
      <c r="P388" s="17"/>
    </row>
    <row r="389" spans="4:16" ht="15.75" customHeight="1" x14ac:dyDescent="0.25">
      <c r="D389" s="17"/>
      <c r="E389" s="17"/>
      <c r="F389" s="17"/>
      <c r="G389" s="17"/>
      <c r="H389" s="17"/>
      <c r="I389" s="17"/>
      <c r="J389" s="17"/>
      <c r="N389" s="17"/>
      <c r="O389" s="17"/>
      <c r="P389" s="17"/>
    </row>
    <row r="390" spans="4:16" ht="15.75" customHeight="1" x14ac:dyDescent="0.25">
      <c r="D390" s="17"/>
      <c r="E390" s="17"/>
      <c r="F390" s="17"/>
      <c r="G390" s="17"/>
      <c r="H390" s="17"/>
      <c r="I390" s="17"/>
      <c r="J390" s="17"/>
      <c r="N390" s="17"/>
      <c r="O390" s="17"/>
      <c r="P390" s="17"/>
    </row>
    <row r="391" spans="4:16" ht="15.75" customHeight="1" x14ac:dyDescent="0.25">
      <c r="D391" s="17"/>
      <c r="E391" s="17"/>
      <c r="F391" s="17"/>
      <c r="G391" s="17"/>
      <c r="H391" s="17"/>
      <c r="I391" s="17"/>
      <c r="J391" s="17"/>
      <c r="N391" s="17"/>
      <c r="O391" s="17"/>
      <c r="P391" s="17"/>
    </row>
    <row r="392" spans="4:16" ht="15.75" customHeight="1" x14ac:dyDescent="0.25">
      <c r="D392" s="17"/>
      <c r="E392" s="17"/>
      <c r="F392" s="17"/>
      <c r="G392" s="17"/>
      <c r="H392" s="17"/>
      <c r="I392" s="17"/>
      <c r="J392" s="17"/>
      <c r="N392" s="17"/>
      <c r="O392" s="17"/>
      <c r="P392" s="17"/>
    </row>
    <row r="393" spans="4:16" ht="15.75" customHeight="1" x14ac:dyDescent="0.25">
      <c r="D393" s="17"/>
      <c r="E393" s="17"/>
      <c r="F393" s="17"/>
      <c r="G393" s="17"/>
      <c r="H393" s="17"/>
      <c r="I393" s="17"/>
      <c r="J393" s="17"/>
      <c r="N393" s="17"/>
      <c r="O393" s="17"/>
      <c r="P393" s="17"/>
    </row>
    <row r="394" spans="4:16" ht="15.75" customHeight="1" x14ac:dyDescent="0.25">
      <c r="D394" s="17"/>
      <c r="E394" s="17"/>
      <c r="F394" s="17"/>
      <c r="G394" s="17"/>
      <c r="H394" s="17"/>
      <c r="I394" s="17"/>
      <c r="J394" s="17"/>
      <c r="N394" s="17"/>
      <c r="O394" s="17"/>
      <c r="P394" s="17"/>
    </row>
    <row r="395" spans="4:16" ht="15.75" customHeight="1" x14ac:dyDescent="0.25">
      <c r="D395" s="17"/>
      <c r="E395" s="17"/>
      <c r="F395" s="17"/>
      <c r="G395" s="17"/>
      <c r="H395" s="17"/>
      <c r="I395" s="17"/>
      <c r="J395" s="17"/>
      <c r="N395" s="17"/>
      <c r="O395" s="17"/>
      <c r="P395" s="17"/>
    </row>
    <row r="396" spans="4:16" ht="15.75" customHeight="1" x14ac:dyDescent="0.25">
      <c r="D396" s="17"/>
      <c r="E396" s="17"/>
      <c r="F396" s="17"/>
      <c r="G396" s="17"/>
      <c r="H396" s="17"/>
      <c r="I396" s="17"/>
      <c r="J396" s="17"/>
      <c r="N396" s="17"/>
      <c r="O396" s="17"/>
      <c r="P396" s="17"/>
    </row>
    <row r="397" spans="4:16" ht="15.75" customHeight="1" x14ac:dyDescent="0.25">
      <c r="D397" s="17"/>
      <c r="E397" s="17"/>
      <c r="F397" s="17"/>
      <c r="G397" s="17"/>
      <c r="H397" s="17"/>
      <c r="I397" s="17"/>
      <c r="J397" s="17"/>
      <c r="N397" s="17"/>
      <c r="O397" s="17"/>
      <c r="P397" s="17"/>
    </row>
    <row r="398" spans="4:16" ht="15.75" customHeight="1" x14ac:dyDescent="0.25">
      <c r="D398" s="17"/>
      <c r="E398" s="17"/>
      <c r="F398" s="17"/>
      <c r="G398" s="17"/>
      <c r="H398" s="17"/>
      <c r="I398" s="17"/>
      <c r="J398" s="17"/>
      <c r="N398" s="17"/>
      <c r="O398" s="17"/>
      <c r="P398" s="17"/>
    </row>
    <row r="399" spans="4:16" ht="15.75" customHeight="1" x14ac:dyDescent="0.25">
      <c r="D399" s="17"/>
      <c r="E399" s="17"/>
      <c r="F399" s="17"/>
      <c r="G399" s="17"/>
      <c r="H399" s="17"/>
      <c r="I399" s="17"/>
      <c r="J399" s="17"/>
      <c r="N399" s="17"/>
      <c r="O399" s="17"/>
      <c r="P399" s="17"/>
    </row>
    <row r="400" spans="4:16" ht="15.75" customHeight="1" x14ac:dyDescent="0.25">
      <c r="D400" s="17"/>
      <c r="E400" s="17"/>
      <c r="F400" s="17"/>
      <c r="G400" s="17"/>
      <c r="H400" s="17"/>
      <c r="I400" s="17"/>
      <c r="J400" s="17"/>
      <c r="N400" s="17"/>
      <c r="O400" s="17"/>
      <c r="P400" s="17"/>
    </row>
    <row r="401" spans="4:16" ht="15.75" customHeight="1" x14ac:dyDescent="0.25">
      <c r="D401" s="17"/>
      <c r="E401" s="17"/>
      <c r="F401" s="17"/>
      <c r="G401" s="17"/>
      <c r="H401" s="17"/>
      <c r="I401" s="17"/>
      <c r="J401" s="17"/>
      <c r="N401" s="17"/>
      <c r="O401" s="17"/>
      <c r="P401" s="17"/>
    </row>
    <row r="402" spans="4:16" ht="15.75" customHeight="1" x14ac:dyDescent="0.25">
      <c r="D402" s="17"/>
      <c r="E402" s="17"/>
      <c r="F402" s="17"/>
      <c r="G402" s="17"/>
      <c r="H402" s="17"/>
      <c r="I402" s="17"/>
      <c r="J402" s="17"/>
      <c r="N402" s="17"/>
      <c r="O402" s="17"/>
      <c r="P402" s="17"/>
    </row>
    <row r="403" spans="4:16" ht="15.75" customHeight="1" x14ac:dyDescent="0.25">
      <c r="D403" s="17"/>
      <c r="E403" s="17"/>
      <c r="F403" s="17"/>
      <c r="G403" s="17"/>
      <c r="H403" s="17"/>
      <c r="I403" s="17"/>
      <c r="J403" s="17"/>
      <c r="N403" s="17"/>
      <c r="O403" s="17"/>
      <c r="P403" s="17"/>
    </row>
    <row r="404" spans="4:16" ht="15.75" customHeight="1" x14ac:dyDescent="0.25">
      <c r="D404" s="17"/>
      <c r="E404" s="17"/>
      <c r="F404" s="17"/>
      <c r="G404" s="17"/>
      <c r="H404" s="17"/>
      <c r="I404" s="17"/>
      <c r="J404" s="17"/>
      <c r="N404" s="17"/>
      <c r="O404" s="17"/>
      <c r="P404" s="17"/>
    </row>
    <row r="405" spans="4:16" ht="15.75" customHeight="1" x14ac:dyDescent="0.25">
      <c r="D405" s="17"/>
      <c r="E405" s="17"/>
      <c r="F405" s="17"/>
      <c r="G405" s="17"/>
      <c r="H405" s="17"/>
      <c r="I405" s="17"/>
      <c r="J405" s="17"/>
      <c r="N405" s="17"/>
      <c r="O405" s="17"/>
      <c r="P405" s="17"/>
    </row>
    <row r="406" spans="4:16" ht="15.75" customHeight="1" x14ac:dyDescent="0.25">
      <c r="D406" s="17"/>
      <c r="E406" s="17"/>
      <c r="F406" s="17"/>
      <c r="G406" s="17"/>
      <c r="H406" s="17"/>
      <c r="I406" s="17"/>
      <c r="J406" s="17"/>
      <c r="N406" s="17"/>
      <c r="O406" s="17"/>
      <c r="P406" s="17"/>
    </row>
    <row r="407" spans="4:16" ht="15.75" customHeight="1" x14ac:dyDescent="0.25">
      <c r="D407" s="17"/>
      <c r="E407" s="17"/>
      <c r="F407" s="17"/>
      <c r="G407" s="17"/>
      <c r="H407" s="17"/>
      <c r="I407" s="17"/>
      <c r="J407" s="17"/>
      <c r="N407" s="17"/>
      <c r="O407" s="17"/>
      <c r="P407" s="17"/>
    </row>
    <row r="408" spans="4:16" ht="15.75" customHeight="1" x14ac:dyDescent="0.25">
      <c r="D408" s="17"/>
      <c r="E408" s="17"/>
      <c r="F408" s="17"/>
      <c r="G408" s="17"/>
      <c r="H408" s="17"/>
      <c r="I408" s="17"/>
      <c r="J408" s="17"/>
      <c r="N408" s="17"/>
      <c r="O408" s="17"/>
      <c r="P408" s="17"/>
    </row>
    <row r="409" spans="4:16" ht="15.75" customHeight="1" x14ac:dyDescent="0.25">
      <c r="D409" s="17"/>
      <c r="E409" s="17"/>
      <c r="F409" s="17"/>
      <c r="G409" s="17"/>
      <c r="H409" s="17"/>
      <c r="I409" s="17"/>
      <c r="J409" s="17"/>
      <c r="N409" s="17"/>
      <c r="O409" s="17"/>
      <c r="P409" s="17"/>
    </row>
    <row r="410" spans="4:16" ht="15.75" customHeight="1" x14ac:dyDescent="0.25">
      <c r="D410" s="17"/>
      <c r="E410" s="17"/>
      <c r="F410" s="17"/>
      <c r="G410" s="17"/>
      <c r="H410" s="17"/>
      <c r="I410" s="17"/>
      <c r="J410" s="17"/>
      <c r="N410" s="17"/>
      <c r="O410" s="17"/>
      <c r="P410" s="17"/>
    </row>
    <row r="411" spans="4:16" ht="15.75" customHeight="1" x14ac:dyDescent="0.25">
      <c r="D411" s="17"/>
      <c r="E411" s="17"/>
      <c r="F411" s="17"/>
      <c r="G411" s="17"/>
      <c r="H411" s="17"/>
      <c r="I411" s="17"/>
      <c r="J411" s="17"/>
      <c r="N411" s="17"/>
      <c r="O411" s="17"/>
      <c r="P411" s="17"/>
    </row>
    <row r="412" spans="4:16" ht="15.75" customHeight="1" x14ac:dyDescent="0.25">
      <c r="D412" s="17"/>
      <c r="E412" s="17"/>
      <c r="F412" s="17"/>
      <c r="G412" s="17"/>
      <c r="H412" s="17"/>
      <c r="I412" s="17"/>
      <c r="J412" s="17"/>
      <c r="N412" s="17"/>
      <c r="O412" s="17"/>
      <c r="P412" s="17"/>
    </row>
    <row r="413" spans="4:16" ht="15.75" customHeight="1" x14ac:dyDescent="0.25">
      <c r="D413" s="17"/>
      <c r="E413" s="17"/>
      <c r="F413" s="17"/>
      <c r="G413" s="17"/>
      <c r="H413" s="17"/>
      <c r="I413" s="17"/>
      <c r="J413" s="17"/>
      <c r="N413" s="17"/>
      <c r="O413" s="17"/>
      <c r="P413" s="17"/>
    </row>
    <row r="414" spans="4:16" ht="15.75" customHeight="1" x14ac:dyDescent="0.25">
      <c r="D414" s="17"/>
      <c r="E414" s="17"/>
      <c r="F414" s="17"/>
      <c r="G414" s="17"/>
      <c r="H414" s="17"/>
      <c r="I414" s="17"/>
      <c r="J414" s="17"/>
      <c r="N414" s="17"/>
      <c r="O414" s="17"/>
      <c r="P414" s="17"/>
    </row>
    <row r="415" spans="4:16" ht="15.75" customHeight="1" x14ac:dyDescent="0.25">
      <c r="D415" s="17"/>
      <c r="E415" s="17"/>
      <c r="F415" s="17"/>
      <c r="G415" s="17"/>
      <c r="H415" s="17"/>
      <c r="I415" s="17"/>
      <c r="J415" s="17"/>
      <c r="N415" s="17"/>
      <c r="O415" s="17"/>
      <c r="P415" s="17"/>
    </row>
    <row r="416" spans="4:16" ht="15.75" customHeight="1" x14ac:dyDescent="0.25">
      <c r="D416" s="17"/>
      <c r="E416" s="17"/>
      <c r="F416" s="17"/>
      <c r="G416" s="17"/>
      <c r="H416" s="17"/>
      <c r="I416" s="17"/>
      <c r="J416" s="17"/>
      <c r="N416" s="17"/>
      <c r="O416" s="17"/>
      <c r="P416" s="17"/>
    </row>
    <row r="417" spans="4:16" ht="15.75" customHeight="1" x14ac:dyDescent="0.25">
      <c r="D417" s="17"/>
      <c r="E417" s="17"/>
      <c r="F417" s="17"/>
      <c r="G417" s="17"/>
      <c r="H417" s="17"/>
      <c r="I417" s="17"/>
      <c r="J417" s="17"/>
      <c r="N417" s="17"/>
      <c r="O417" s="17"/>
      <c r="P417" s="17"/>
    </row>
    <row r="418" spans="4:16" ht="15.75" customHeight="1" x14ac:dyDescent="0.25">
      <c r="D418" s="17"/>
      <c r="E418" s="17"/>
      <c r="F418" s="17"/>
      <c r="G418" s="17"/>
      <c r="H418" s="17"/>
      <c r="I418" s="17"/>
      <c r="J418" s="17"/>
      <c r="N418" s="17"/>
      <c r="O418" s="17"/>
      <c r="P418" s="17"/>
    </row>
    <row r="419" spans="4:16" ht="15.75" customHeight="1" x14ac:dyDescent="0.25">
      <c r="D419" s="17"/>
      <c r="E419" s="17"/>
      <c r="F419" s="17"/>
      <c r="G419" s="17"/>
      <c r="H419" s="17"/>
      <c r="I419" s="17"/>
      <c r="J419" s="17"/>
      <c r="N419" s="17"/>
      <c r="O419" s="17"/>
      <c r="P419" s="17"/>
    </row>
    <row r="420" spans="4:16" ht="15.75" customHeight="1" x14ac:dyDescent="0.25">
      <c r="D420" s="17"/>
      <c r="E420" s="17"/>
      <c r="F420" s="17"/>
      <c r="G420" s="17"/>
      <c r="H420" s="17"/>
      <c r="I420" s="17"/>
      <c r="J420" s="17"/>
      <c r="N420" s="17"/>
      <c r="O420" s="17"/>
      <c r="P420" s="17"/>
    </row>
    <row r="421" spans="4:16" ht="15.75" customHeight="1" x14ac:dyDescent="0.25">
      <c r="D421" s="17"/>
      <c r="E421" s="17"/>
      <c r="F421" s="17"/>
      <c r="G421" s="17"/>
      <c r="H421" s="17"/>
      <c r="I421" s="17"/>
      <c r="J421" s="17"/>
      <c r="N421" s="17"/>
      <c r="O421" s="17"/>
      <c r="P421" s="17"/>
    </row>
    <row r="422" spans="4:16" ht="15.75" customHeight="1" x14ac:dyDescent="0.25">
      <c r="D422" s="17"/>
      <c r="E422" s="17"/>
      <c r="F422" s="17"/>
      <c r="G422" s="17"/>
      <c r="H422" s="17"/>
      <c r="I422" s="17"/>
      <c r="J422" s="17"/>
      <c r="N422" s="17"/>
      <c r="O422" s="17"/>
      <c r="P422" s="17"/>
    </row>
    <row r="423" spans="4:16" ht="15.75" customHeight="1" x14ac:dyDescent="0.25">
      <c r="D423" s="17"/>
      <c r="E423" s="17"/>
      <c r="F423" s="17"/>
      <c r="G423" s="17"/>
      <c r="H423" s="17"/>
      <c r="I423" s="17"/>
      <c r="J423" s="17"/>
      <c r="N423" s="17"/>
      <c r="O423" s="17"/>
      <c r="P423" s="17"/>
    </row>
    <row r="424" spans="4:16" ht="15.75" customHeight="1" x14ac:dyDescent="0.25">
      <c r="D424" s="17"/>
      <c r="E424" s="17"/>
      <c r="F424" s="17"/>
      <c r="G424" s="17"/>
      <c r="H424" s="17"/>
      <c r="I424" s="17"/>
      <c r="J424" s="17"/>
      <c r="N424" s="17"/>
      <c r="O424" s="17"/>
      <c r="P424" s="17"/>
    </row>
    <row r="425" spans="4:16" ht="15.75" customHeight="1" x14ac:dyDescent="0.25">
      <c r="D425" s="17"/>
      <c r="E425" s="17"/>
      <c r="F425" s="17"/>
      <c r="G425" s="17"/>
      <c r="H425" s="17"/>
      <c r="I425" s="17"/>
      <c r="J425" s="17"/>
      <c r="N425" s="17"/>
      <c r="O425" s="17"/>
      <c r="P425" s="17"/>
    </row>
    <row r="426" spans="4:16" ht="15.75" customHeight="1" x14ac:dyDescent="0.25">
      <c r="D426" s="17"/>
      <c r="E426" s="17"/>
      <c r="F426" s="17"/>
      <c r="G426" s="17"/>
      <c r="H426" s="17"/>
      <c r="I426" s="17"/>
      <c r="J426" s="17"/>
      <c r="N426" s="17"/>
      <c r="O426" s="17"/>
      <c r="P426" s="17"/>
    </row>
    <row r="427" spans="4:16" ht="15.75" customHeight="1" x14ac:dyDescent="0.25">
      <c r="D427" s="17"/>
      <c r="E427" s="17"/>
      <c r="F427" s="17"/>
      <c r="G427" s="17"/>
      <c r="H427" s="17"/>
      <c r="I427" s="17"/>
      <c r="J427" s="17"/>
      <c r="N427" s="17"/>
      <c r="O427" s="17"/>
      <c r="P427" s="17"/>
    </row>
    <row r="428" spans="4:16" ht="15.75" customHeight="1" x14ac:dyDescent="0.25">
      <c r="D428" s="17"/>
      <c r="E428" s="17"/>
      <c r="F428" s="17"/>
      <c r="G428" s="17"/>
      <c r="H428" s="17"/>
      <c r="I428" s="17"/>
      <c r="J428" s="17"/>
      <c r="N428" s="17"/>
      <c r="O428" s="17"/>
      <c r="P428" s="17"/>
    </row>
    <row r="429" spans="4:16" ht="15.75" customHeight="1" x14ac:dyDescent="0.25">
      <c r="D429" s="17"/>
      <c r="E429" s="17"/>
      <c r="F429" s="17"/>
      <c r="G429" s="17"/>
      <c r="H429" s="17"/>
      <c r="I429" s="17"/>
      <c r="J429" s="17"/>
      <c r="N429" s="17"/>
      <c r="O429" s="17"/>
      <c r="P429" s="17"/>
    </row>
    <row r="430" spans="4:16" ht="15.75" customHeight="1" x14ac:dyDescent="0.25">
      <c r="D430" s="17"/>
      <c r="E430" s="17"/>
      <c r="F430" s="17"/>
      <c r="G430" s="17"/>
      <c r="H430" s="17"/>
      <c r="I430" s="17"/>
      <c r="J430" s="17"/>
      <c r="N430" s="17"/>
      <c r="O430" s="17"/>
      <c r="P430" s="17"/>
    </row>
    <row r="431" spans="4:16" ht="15.75" customHeight="1" x14ac:dyDescent="0.25">
      <c r="D431" s="17"/>
      <c r="E431" s="17"/>
      <c r="F431" s="17"/>
      <c r="G431" s="17"/>
      <c r="H431" s="17"/>
      <c r="I431" s="17"/>
      <c r="J431" s="17"/>
      <c r="N431" s="17"/>
      <c r="O431" s="17"/>
      <c r="P431" s="17"/>
    </row>
    <row r="432" spans="4:16" ht="15.75" customHeight="1" x14ac:dyDescent="0.25">
      <c r="D432" s="17"/>
      <c r="E432" s="17"/>
      <c r="F432" s="17"/>
      <c r="G432" s="17"/>
      <c r="H432" s="17"/>
      <c r="I432" s="17"/>
      <c r="J432" s="17"/>
      <c r="N432" s="17"/>
      <c r="O432" s="17"/>
      <c r="P432" s="17"/>
    </row>
    <row r="433" spans="4:16" ht="15.75" customHeight="1" x14ac:dyDescent="0.25">
      <c r="D433" s="17"/>
      <c r="E433" s="17"/>
      <c r="F433" s="17"/>
      <c r="G433" s="17"/>
      <c r="H433" s="17"/>
      <c r="I433" s="17"/>
      <c r="J433" s="17"/>
      <c r="N433" s="17"/>
      <c r="O433" s="17"/>
      <c r="P433" s="17"/>
    </row>
    <row r="434" spans="4:16" ht="15.75" customHeight="1" x14ac:dyDescent="0.25">
      <c r="D434" s="17"/>
      <c r="E434" s="17"/>
      <c r="F434" s="17"/>
      <c r="G434" s="17"/>
      <c r="H434" s="17"/>
      <c r="I434" s="17"/>
      <c r="J434" s="17"/>
      <c r="N434" s="17"/>
      <c r="O434" s="17"/>
      <c r="P434" s="17"/>
    </row>
    <row r="435" spans="4:16" ht="15.75" customHeight="1" x14ac:dyDescent="0.25">
      <c r="D435" s="17"/>
      <c r="E435" s="17"/>
      <c r="F435" s="17"/>
      <c r="G435" s="17"/>
      <c r="H435" s="17"/>
      <c r="I435" s="17"/>
      <c r="J435" s="17"/>
      <c r="N435" s="17"/>
      <c r="O435" s="17"/>
      <c r="P435" s="17"/>
    </row>
    <row r="436" spans="4:16" ht="15.75" customHeight="1" x14ac:dyDescent="0.25">
      <c r="D436" s="17"/>
      <c r="E436" s="17"/>
      <c r="F436" s="17"/>
      <c r="G436" s="17"/>
      <c r="H436" s="17"/>
      <c r="I436" s="17"/>
      <c r="J436" s="17"/>
      <c r="N436" s="17"/>
      <c r="O436" s="17"/>
      <c r="P436" s="17"/>
    </row>
    <row r="437" spans="4:16" ht="15.75" customHeight="1" x14ac:dyDescent="0.25">
      <c r="D437" s="17"/>
      <c r="E437" s="17"/>
      <c r="F437" s="17"/>
      <c r="G437" s="17"/>
      <c r="H437" s="17"/>
      <c r="I437" s="17"/>
      <c r="J437" s="17"/>
      <c r="N437" s="17"/>
      <c r="O437" s="17"/>
      <c r="P437" s="17"/>
    </row>
    <row r="438" spans="4:16" ht="15.75" customHeight="1" x14ac:dyDescent="0.25">
      <c r="D438" s="17"/>
      <c r="E438" s="17"/>
      <c r="F438" s="17"/>
      <c r="G438" s="17"/>
      <c r="H438" s="17"/>
      <c r="I438" s="17"/>
      <c r="J438" s="17"/>
      <c r="N438" s="17"/>
      <c r="O438" s="17"/>
      <c r="P438" s="17"/>
    </row>
    <row r="439" spans="4:16" ht="15.75" customHeight="1" x14ac:dyDescent="0.25">
      <c r="D439" s="17"/>
      <c r="E439" s="17"/>
      <c r="F439" s="17"/>
      <c r="G439" s="17"/>
      <c r="H439" s="17"/>
      <c r="I439" s="17"/>
      <c r="J439" s="17"/>
      <c r="N439" s="17"/>
      <c r="O439" s="17"/>
      <c r="P439" s="17"/>
    </row>
    <row r="440" spans="4:16" ht="15.75" customHeight="1" x14ac:dyDescent="0.25">
      <c r="D440" s="17"/>
      <c r="E440" s="17"/>
      <c r="F440" s="17"/>
      <c r="G440" s="17"/>
      <c r="H440" s="17"/>
      <c r="I440" s="17"/>
      <c r="J440" s="17"/>
      <c r="N440" s="17"/>
      <c r="O440" s="17"/>
      <c r="P440" s="17"/>
    </row>
    <row r="441" spans="4:16" ht="15.75" customHeight="1" x14ac:dyDescent="0.25">
      <c r="D441" s="17"/>
      <c r="E441" s="17"/>
      <c r="F441" s="17"/>
      <c r="G441" s="17"/>
      <c r="H441" s="17"/>
      <c r="I441" s="17"/>
      <c r="J441" s="17"/>
      <c r="N441" s="17"/>
      <c r="O441" s="17"/>
      <c r="P441" s="17"/>
    </row>
    <row r="442" spans="4:16" ht="15.75" customHeight="1" x14ac:dyDescent="0.25">
      <c r="D442" s="17"/>
      <c r="E442" s="17"/>
      <c r="F442" s="17"/>
      <c r="G442" s="17"/>
      <c r="H442" s="17"/>
      <c r="I442" s="17"/>
      <c r="J442" s="17"/>
      <c r="N442" s="17"/>
      <c r="O442" s="17"/>
      <c r="P442" s="17"/>
    </row>
    <row r="443" spans="4:16" ht="15.75" customHeight="1" x14ac:dyDescent="0.25">
      <c r="D443" s="17"/>
      <c r="E443" s="17"/>
      <c r="F443" s="17"/>
      <c r="G443" s="17"/>
      <c r="H443" s="17"/>
      <c r="I443" s="17"/>
      <c r="J443" s="17"/>
      <c r="N443" s="17"/>
      <c r="O443" s="17"/>
      <c r="P443" s="17"/>
    </row>
    <row r="444" spans="4:16" ht="15.75" customHeight="1" x14ac:dyDescent="0.25">
      <c r="D444" s="17"/>
      <c r="E444" s="17"/>
      <c r="F444" s="17"/>
      <c r="G444" s="17"/>
      <c r="H444" s="17"/>
      <c r="I444" s="17"/>
      <c r="J444" s="17"/>
      <c r="N444" s="17"/>
      <c r="O444" s="17"/>
      <c r="P444" s="17"/>
    </row>
    <row r="445" spans="4:16" ht="15.75" customHeight="1" x14ac:dyDescent="0.25">
      <c r="D445" s="17"/>
      <c r="E445" s="17"/>
      <c r="F445" s="17"/>
      <c r="G445" s="17"/>
      <c r="H445" s="17"/>
      <c r="I445" s="17"/>
      <c r="J445" s="17"/>
      <c r="N445" s="17"/>
      <c r="O445" s="17"/>
      <c r="P445" s="17"/>
    </row>
    <row r="446" spans="4:16" ht="15.75" customHeight="1" x14ac:dyDescent="0.25">
      <c r="D446" s="17"/>
      <c r="E446" s="17"/>
      <c r="F446" s="17"/>
      <c r="G446" s="17"/>
      <c r="H446" s="17"/>
      <c r="I446" s="17"/>
      <c r="J446" s="17"/>
      <c r="N446" s="17"/>
      <c r="O446" s="17"/>
      <c r="P446" s="17"/>
    </row>
    <row r="447" spans="4:16" ht="15.75" customHeight="1" x14ac:dyDescent="0.25">
      <c r="D447" s="17"/>
      <c r="E447" s="17"/>
      <c r="F447" s="17"/>
      <c r="G447" s="17"/>
      <c r="H447" s="17"/>
      <c r="I447" s="17"/>
      <c r="J447" s="17"/>
      <c r="N447" s="17"/>
      <c r="O447" s="17"/>
      <c r="P447" s="17"/>
    </row>
    <row r="448" spans="4:16" ht="15.75" customHeight="1" x14ac:dyDescent="0.25">
      <c r="D448" s="17"/>
      <c r="E448" s="17"/>
      <c r="F448" s="17"/>
      <c r="G448" s="17"/>
      <c r="H448" s="17"/>
      <c r="I448" s="17"/>
      <c r="J448" s="17"/>
      <c r="N448" s="17"/>
      <c r="O448" s="17"/>
      <c r="P448" s="17"/>
    </row>
    <row r="449" spans="4:16" ht="15.75" customHeight="1" x14ac:dyDescent="0.25">
      <c r="D449" s="17"/>
      <c r="E449" s="17"/>
      <c r="F449" s="17"/>
      <c r="G449" s="17"/>
      <c r="H449" s="17"/>
      <c r="I449" s="17"/>
      <c r="J449" s="17"/>
      <c r="N449" s="17"/>
      <c r="O449" s="17"/>
      <c r="P449" s="17"/>
    </row>
    <row r="450" spans="4:16" ht="15.75" customHeight="1" x14ac:dyDescent="0.25">
      <c r="D450" s="17"/>
      <c r="E450" s="17"/>
      <c r="F450" s="17"/>
      <c r="G450" s="17"/>
      <c r="H450" s="17"/>
      <c r="I450" s="17"/>
      <c r="J450" s="17"/>
      <c r="N450" s="17"/>
      <c r="O450" s="17"/>
      <c r="P450" s="17"/>
    </row>
    <row r="451" spans="4:16" ht="15.75" customHeight="1" x14ac:dyDescent="0.25">
      <c r="D451" s="17"/>
      <c r="E451" s="17"/>
      <c r="F451" s="17"/>
      <c r="G451" s="17"/>
      <c r="H451" s="17"/>
      <c r="I451" s="17"/>
      <c r="J451" s="17"/>
      <c r="N451" s="17"/>
      <c r="O451" s="17"/>
      <c r="P451" s="17"/>
    </row>
    <row r="452" spans="4:16" ht="15.75" customHeight="1" x14ac:dyDescent="0.25">
      <c r="D452" s="17"/>
      <c r="E452" s="17"/>
      <c r="F452" s="17"/>
      <c r="G452" s="17"/>
      <c r="H452" s="17"/>
      <c r="I452" s="17"/>
      <c r="J452" s="17"/>
      <c r="N452" s="17"/>
      <c r="O452" s="17"/>
      <c r="P452" s="17"/>
    </row>
    <row r="453" spans="4:16" ht="15.75" customHeight="1" x14ac:dyDescent="0.25">
      <c r="D453" s="17"/>
      <c r="E453" s="17"/>
      <c r="F453" s="17"/>
      <c r="G453" s="17"/>
      <c r="H453" s="17"/>
      <c r="I453" s="17"/>
      <c r="J453" s="17"/>
      <c r="N453" s="17"/>
      <c r="O453" s="17"/>
      <c r="P453" s="17"/>
    </row>
    <row r="454" spans="4:16" ht="15.75" customHeight="1" x14ac:dyDescent="0.25">
      <c r="D454" s="17"/>
      <c r="E454" s="17"/>
      <c r="F454" s="17"/>
      <c r="G454" s="17"/>
      <c r="H454" s="17"/>
      <c r="I454" s="17"/>
      <c r="J454" s="17"/>
      <c r="N454" s="17"/>
      <c r="O454" s="17"/>
      <c r="P454" s="17"/>
    </row>
    <row r="455" spans="4:16" ht="15.75" customHeight="1" x14ac:dyDescent="0.25">
      <c r="D455" s="17"/>
      <c r="E455" s="17"/>
      <c r="F455" s="17"/>
      <c r="G455" s="17"/>
      <c r="H455" s="17"/>
      <c r="I455" s="17"/>
      <c r="J455" s="17"/>
      <c r="N455" s="17"/>
      <c r="O455" s="17"/>
      <c r="P455" s="17"/>
    </row>
    <row r="456" spans="4:16" ht="15.75" customHeight="1" x14ac:dyDescent="0.25">
      <c r="D456" s="17"/>
      <c r="E456" s="17"/>
      <c r="F456" s="17"/>
      <c r="G456" s="17"/>
      <c r="H456" s="17"/>
      <c r="I456" s="17"/>
      <c r="J456" s="17"/>
      <c r="N456" s="17"/>
      <c r="O456" s="17"/>
      <c r="P456" s="17"/>
    </row>
    <row r="457" spans="4:16" ht="15.75" customHeight="1" x14ac:dyDescent="0.25">
      <c r="D457" s="17"/>
      <c r="E457" s="17"/>
      <c r="F457" s="17"/>
      <c r="G457" s="17"/>
      <c r="H457" s="17"/>
      <c r="I457" s="17"/>
      <c r="J457" s="17"/>
      <c r="N457" s="17"/>
      <c r="O457" s="17"/>
      <c r="P457" s="17"/>
    </row>
    <row r="458" spans="4:16" ht="15.75" customHeight="1" x14ac:dyDescent="0.25">
      <c r="D458" s="17"/>
      <c r="E458" s="17"/>
      <c r="F458" s="17"/>
      <c r="G458" s="17"/>
      <c r="H458" s="17"/>
      <c r="I458" s="17"/>
      <c r="J458" s="17"/>
      <c r="N458" s="17"/>
      <c r="O458" s="17"/>
      <c r="P458" s="17"/>
    </row>
    <row r="459" spans="4:16" ht="15.75" customHeight="1" x14ac:dyDescent="0.25">
      <c r="D459" s="17"/>
      <c r="E459" s="17"/>
      <c r="F459" s="17"/>
      <c r="G459" s="17"/>
      <c r="H459" s="17"/>
      <c r="I459" s="17"/>
      <c r="J459" s="17"/>
      <c r="N459" s="17"/>
      <c r="O459" s="17"/>
      <c r="P459" s="17"/>
    </row>
    <row r="460" spans="4:16" ht="15.75" customHeight="1" x14ac:dyDescent="0.25">
      <c r="D460" s="17"/>
      <c r="E460" s="17"/>
      <c r="F460" s="17"/>
      <c r="G460" s="17"/>
      <c r="H460" s="17"/>
      <c r="I460" s="17"/>
      <c r="J460" s="17"/>
      <c r="N460" s="17"/>
      <c r="O460" s="17"/>
      <c r="P460" s="17"/>
    </row>
    <row r="461" spans="4:16" ht="15.75" customHeight="1" x14ac:dyDescent="0.25">
      <c r="D461" s="17"/>
      <c r="E461" s="17"/>
      <c r="F461" s="17"/>
      <c r="G461" s="17"/>
      <c r="H461" s="17"/>
      <c r="I461" s="17"/>
      <c r="J461" s="17"/>
      <c r="N461" s="17"/>
      <c r="O461" s="17"/>
      <c r="P461" s="17"/>
    </row>
    <row r="462" spans="4:16" ht="15.75" customHeight="1" x14ac:dyDescent="0.25">
      <c r="D462" s="17"/>
      <c r="E462" s="17"/>
      <c r="F462" s="17"/>
      <c r="G462" s="17"/>
      <c r="H462" s="17"/>
      <c r="I462" s="17"/>
      <c r="J462" s="17"/>
      <c r="N462" s="17"/>
      <c r="O462" s="17"/>
      <c r="P462" s="17"/>
    </row>
    <row r="463" spans="4:16" ht="15.75" customHeight="1" x14ac:dyDescent="0.25">
      <c r="D463" s="17"/>
      <c r="E463" s="17"/>
      <c r="F463" s="17"/>
      <c r="G463" s="17"/>
      <c r="H463" s="17"/>
      <c r="I463" s="17"/>
      <c r="J463" s="17"/>
      <c r="N463" s="17"/>
      <c r="O463" s="17"/>
      <c r="P463" s="17"/>
    </row>
    <row r="464" spans="4:16" ht="15.75" customHeight="1" x14ac:dyDescent="0.25">
      <c r="D464" s="17"/>
      <c r="E464" s="17"/>
      <c r="F464" s="17"/>
      <c r="G464" s="17"/>
      <c r="H464" s="17"/>
      <c r="I464" s="17"/>
      <c r="J464" s="17"/>
      <c r="N464" s="17"/>
      <c r="O464" s="17"/>
      <c r="P464" s="17"/>
    </row>
    <row r="465" spans="4:16" ht="15.75" customHeight="1" x14ac:dyDescent="0.25">
      <c r="D465" s="17"/>
      <c r="E465" s="17"/>
      <c r="F465" s="17"/>
      <c r="G465" s="17"/>
      <c r="H465" s="17"/>
      <c r="I465" s="17"/>
      <c r="J465" s="17"/>
      <c r="N465" s="17"/>
      <c r="O465" s="17"/>
      <c r="P465" s="17"/>
    </row>
    <row r="466" spans="4:16" ht="15.75" customHeight="1" x14ac:dyDescent="0.25">
      <c r="D466" s="17"/>
      <c r="E466" s="17"/>
      <c r="F466" s="17"/>
      <c r="G466" s="17"/>
      <c r="H466" s="17"/>
      <c r="I466" s="17"/>
      <c r="J466" s="17"/>
      <c r="N466" s="17"/>
      <c r="O466" s="17"/>
      <c r="P466" s="17"/>
    </row>
    <row r="467" spans="4:16" ht="15.75" customHeight="1" x14ac:dyDescent="0.25">
      <c r="D467" s="17"/>
      <c r="E467" s="17"/>
      <c r="F467" s="17"/>
      <c r="G467" s="17"/>
      <c r="H467" s="17"/>
      <c r="I467" s="17"/>
      <c r="J467" s="17"/>
      <c r="N467" s="17"/>
      <c r="O467" s="17"/>
      <c r="P467" s="17"/>
    </row>
    <row r="468" spans="4:16" ht="15.75" customHeight="1" x14ac:dyDescent="0.25">
      <c r="D468" s="17"/>
      <c r="E468" s="17"/>
      <c r="F468" s="17"/>
      <c r="G468" s="17"/>
      <c r="H468" s="17"/>
      <c r="I468" s="17"/>
      <c r="J468" s="17"/>
      <c r="N468" s="17"/>
      <c r="O468" s="17"/>
      <c r="P468" s="17"/>
    </row>
    <row r="469" spans="4:16" ht="15.75" customHeight="1" x14ac:dyDescent="0.25">
      <c r="D469" s="17"/>
      <c r="E469" s="17"/>
      <c r="F469" s="17"/>
      <c r="G469" s="17"/>
      <c r="H469" s="17"/>
      <c r="I469" s="17"/>
      <c r="J469" s="17"/>
      <c r="N469" s="17"/>
      <c r="O469" s="17"/>
      <c r="P469" s="17"/>
    </row>
    <row r="470" spans="4:16" ht="15.75" customHeight="1" x14ac:dyDescent="0.25">
      <c r="D470" s="17"/>
      <c r="E470" s="17"/>
      <c r="F470" s="17"/>
      <c r="G470" s="17"/>
      <c r="H470" s="17"/>
      <c r="I470" s="17"/>
      <c r="J470" s="17"/>
      <c r="N470" s="17"/>
      <c r="O470" s="17"/>
      <c r="P470" s="17"/>
    </row>
    <row r="471" spans="4:16" ht="15.75" customHeight="1" x14ac:dyDescent="0.25">
      <c r="D471" s="17"/>
      <c r="E471" s="17"/>
      <c r="F471" s="17"/>
      <c r="G471" s="17"/>
      <c r="H471" s="17"/>
      <c r="I471" s="17"/>
      <c r="J471" s="17"/>
      <c r="N471" s="17"/>
      <c r="O471" s="17"/>
      <c r="P471" s="17"/>
    </row>
    <row r="472" spans="4:16" ht="15.75" customHeight="1" x14ac:dyDescent="0.25">
      <c r="D472" s="17"/>
      <c r="E472" s="17"/>
      <c r="F472" s="17"/>
      <c r="G472" s="17"/>
      <c r="H472" s="17"/>
      <c r="I472" s="17"/>
      <c r="J472" s="17"/>
      <c r="N472" s="17"/>
      <c r="O472" s="17"/>
      <c r="P472" s="17"/>
    </row>
    <row r="473" spans="4:16" ht="15.75" customHeight="1" x14ac:dyDescent="0.25">
      <c r="D473" s="17"/>
      <c r="E473" s="17"/>
      <c r="F473" s="17"/>
      <c r="G473" s="17"/>
      <c r="H473" s="17"/>
      <c r="I473" s="17"/>
      <c r="J473" s="17"/>
      <c r="N473" s="17"/>
      <c r="O473" s="17"/>
      <c r="P473" s="17"/>
    </row>
    <row r="474" spans="4:16" ht="15.75" customHeight="1" x14ac:dyDescent="0.25">
      <c r="D474" s="17"/>
      <c r="E474" s="17"/>
      <c r="F474" s="17"/>
      <c r="G474" s="17"/>
      <c r="H474" s="17"/>
      <c r="I474" s="17"/>
      <c r="J474" s="17"/>
      <c r="N474" s="17"/>
      <c r="O474" s="17"/>
      <c r="P474" s="17"/>
    </row>
    <row r="475" spans="4:16" ht="15.75" customHeight="1" x14ac:dyDescent="0.25">
      <c r="D475" s="17"/>
      <c r="E475" s="17"/>
      <c r="F475" s="17"/>
      <c r="G475" s="17"/>
      <c r="H475" s="17"/>
      <c r="I475" s="17"/>
      <c r="J475" s="17"/>
      <c r="N475" s="17"/>
      <c r="O475" s="17"/>
      <c r="P475" s="17"/>
    </row>
    <row r="476" spans="4:16" ht="15.75" customHeight="1" x14ac:dyDescent="0.25">
      <c r="D476" s="17"/>
      <c r="E476" s="17"/>
      <c r="F476" s="17"/>
      <c r="G476" s="17"/>
      <c r="H476" s="17"/>
      <c r="I476" s="17"/>
      <c r="J476" s="17"/>
      <c r="N476" s="17"/>
      <c r="O476" s="17"/>
      <c r="P476" s="17"/>
    </row>
    <row r="477" spans="4:16" ht="15.75" customHeight="1" x14ac:dyDescent="0.25">
      <c r="D477" s="17"/>
      <c r="E477" s="17"/>
      <c r="F477" s="17"/>
      <c r="G477" s="17"/>
      <c r="H477" s="17"/>
      <c r="I477" s="17"/>
      <c r="J477" s="17"/>
      <c r="N477" s="17"/>
      <c r="O477" s="17"/>
      <c r="P477" s="17"/>
    </row>
    <row r="478" spans="4:16" ht="15.75" customHeight="1" x14ac:dyDescent="0.25">
      <c r="D478" s="17"/>
      <c r="E478" s="17"/>
      <c r="F478" s="17"/>
      <c r="G478" s="17"/>
      <c r="H478" s="17"/>
      <c r="I478" s="17"/>
      <c r="J478" s="17"/>
      <c r="N478" s="17"/>
      <c r="O478" s="17"/>
      <c r="P478" s="17"/>
    </row>
    <row r="479" spans="4:16" ht="15.75" customHeight="1" x14ac:dyDescent="0.25">
      <c r="D479" s="17"/>
      <c r="E479" s="17"/>
      <c r="F479" s="17"/>
      <c r="G479" s="17"/>
      <c r="H479" s="17"/>
      <c r="I479" s="17"/>
      <c r="J479" s="17"/>
      <c r="N479" s="17"/>
      <c r="O479" s="17"/>
      <c r="P479" s="17"/>
    </row>
    <row r="480" spans="4:16" ht="15.75" customHeight="1" x14ac:dyDescent="0.25">
      <c r="D480" s="17"/>
      <c r="E480" s="17"/>
      <c r="F480" s="17"/>
      <c r="G480" s="17"/>
      <c r="H480" s="17"/>
      <c r="I480" s="17"/>
      <c r="J480" s="17"/>
      <c r="N480" s="17"/>
      <c r="O480" s="17"/>
      <c r="P480" s="17"/>
    </row>
    <row r="481" spans="4:16" ht="15.75" customHeight="1" x14ac:dyDescent="0.25">
      <c r="D481" s="17"/>
      <c r="E481" s="17"/>
      <c r="F481" s="17"/>
      <c r="G481" s="17"/>
      <c r="H481" s="17"/>
      <c r="I481" s="17"/>
      <c r="J481" s="17"/>
      <c r="N481" s="17"/>
      <c r="O481" s="17"/>
      <c r="P481" s="17"/>
    </row>
    <row r="482" spans="4:16" ht="15.75" customHeight="1" x14ac:dyDescent="0.25">
      <c r="D482" s="17"/>
      <c r="E482" s="17"/>
      <c r="F482" s="17"/>
      <c r="G482" s="17"/>
      <c r="H482" s="17"/>
      <c r="I482" s="17"/>
      <c r="J482" s="17"/>
      <c r="N482" s="17"/>
      <c r="O482" s="17"/>
      <c r="P482" s="17"/>
    </row>
    <row r="483" spans="4:16" ht="15.75" customHeight="1" x14ac:dyDescent="0.25">
      <c r="D483" s="17"/>
      <c r="E483" s="17"/>
      <c r="F483" s="17"/>
      <c r="G483" s="17"/>
      <c r="H483" s="17"/>
      <c r="I483" s="17"/>
      <c r="J483" s="17"/>
      <c r="N483" s="17"/>
      <c r="O483" s="17"/>
      <c r="P483" s="17"/>
    </row>
    <row r="484" spans="4:16" ht="15.75" customHeight="1" x14ac:dyDescent="0.25">
      <c r="D484" s="17"/>
      <c r="E484" s="17"/>
      <c r="F484" s="17"/>
      <c r="G484" s="17"/>
      <c r="H484" s="17"/>
      <c r="I484" s="17"/>
      <c r="J484" s="17"/>
      <c r="N484" s="17"/>
      <c r="O484" s="17"/>
      <c r="P484" s="17"/>
    </row>
    <row r="485" spans="4:16" ht="15.75" customHeight="1" x14ac:dyDescent="0.25">
      <c r="D485" s="17"/>
      <c r="E485" s="17"/>
      <c r="F485" s="17"/>
      <c r="G485" s="17"/>
      <c r="H485" s="17"/>
      <c r="I485" s="17"/>
      <c r="J485" s="17"/>
      <c r="N485" s="17"/>
      <c r="O485" s="17"/>
      <c r="P485" s="17"/>
    </row>
    <row r="486" spans="4:16" ht="15.75" customHeight="1" x14ac:dyDescent="0.25">
      <c r="D486" s="17"/>
      <c r="E486" s="17"/>
      <c r="F486" s="17"/>
      <c r="G486" s="17"/>
      <c r="H486" s="17"/>
      <c r="I486" s="17"/>
      <c r="J486" s="17"/>
      <c r="N486" s="17"/>
      <c r="O486" s="17"/>
      <c r="P486" s="17"/>
    </row>
    <row r="487" spans="4:16" ht="15.75" customHeight="1" x14ac:dyDescent="0.25">
      <c r="D487" s="17"/>
      <c r="E487" s="17"/>
      <c r="F487" s="17"/>
      <c r="G487" s="17"/>
      <c r="H487" s="17"/>
      <c r="I487" s="17"/>
      <c r="J487" s="17"/>
      <c r="N487" s="17"/>
      <c r="O487" s="17"/>
      <c r="P487" s="17"/>
    </row>
    <row r="488" spans="4:16" ht="15.75" customHeight="1" x14ac:dyDescent="0.25">
      <c r="D488" s="17"/>
      <c r="E488" s="17"/>
      <c r="F488" s="17"/>
      <c r="G488" s="17"/>
      <c r="H488" s="17"/>
      <c r="I488" s="17"/>
      <c r="J488" s="17"/>
      <c r="N488" s="17"/>
      <c r="O488" s="17"/>
      <c r="P488" s="17"/>
    </row>
    <row r="489" spans="4:16" ht="15.75" customHeight="1" x14ac:dyDescent="0.25">
      <c r="D489" s="17"/>
      <c r="E489" s="17"/>
      <c r="F489" s="17"/>
      <c r="G489" s="17"/>
      <c r="H489" s="17"/>
      <c r="I489" s="17"/>
      <c r="J489" s="17"/>
      <c r="N489" s="17"/>
      <c r="O489" s="17"/>
      <c r="P489" s="17"/>
    </row>
    <row r="490" spans="4:16" ht="15.75" customHeight="1" x14ac:dyDescent="0.25">
      <c r="D490" s="17"/>
      <c r="E490" s="17"/>
      <c r="F490" s="17"/>
      <c r="G490" s="17"/>
      <c r="H490" s="17"/>
      <c r="I490" s="17"/>
      <c r="J490" s="17"/>
      <c r="N490" s="17"/>
      <c r="O490" s="17"/>
      <c r="P490" s="17"/>
    </row>
    <row r="491" spans="4:16" ht="15.75" customHeight="1" x14ac:dyDescent="0.25">
      <c r="D491" s="17"/>
      <c r="E491" s="17"/>
      <c r="F491" s="17"/>
      <c r="G491" s="17"/>
      <c r="H491" s="17"/>
      <c r="I491" s="17"/>
      <c r="J491" s="17"/>
      <c r="N491" s="17"/>
      <c r="O491" s="17"/>
      <c r="P491" s="17"/>
    </row>
    <row r="492" spans="4:16" ht="15.75" customHeight="1" x14ac:dyDescent="0.25">
      <c r="D492" s="17"/>
      <c r="E492" s="17"/>
      <c r="F492" s="17"/>
      <c r="G492" s="17"/>
      <c r="H492" s="17"/>
      <c r="I492" s="17"/>
      <c r="J492" s="17"/>
      <c r="N492" s="17"/>
      <c r="O492" s="17"/>
      <c r="P492" s="17"/>
    </row>
    <row r="493" spans="4:16" ht="15.75" customHeight="1" x14ac:dyDescent="0.25">
      <c r="D493" s="17"/>
      <c r="E493" s="17"/>
      <c r="F493" s="17"/>
      <c r="G493" s="17"/>
      <c r="H493" s="17"/>
      <c r="I493" s="17"/>
      <c r="J493" s="17"/>
      <c r="N493" s="17"/>
      <c r="O493" s="17"/>
      <c r="P493" s="17"/>
    </row>
    <row r="494" spans="4:16" ht="15.75" customHeight="1" x14ac:dyDescent="0.25">
      <c r="D494" s="17"/>
      <c r="E494" s="17"/>
      <c r="F494" s="17"/>
      <c r="G494" s="17"/>
      <c r="H494" s="17"/>
      <c r="I494" s="17"/>
      <c r="J494" s="17"/>
      <c r="N494" s="17"/>
      <c r="O494" s="17"/>
      <c r="P494" s="17"/>
    </row>
    <row r="495" spans="4:16" ht="15.75" customHeight="1" x14ac:dyDescent="0.25">
      <c r="D495" s="17"/>
      <c r="E495" s="17"/>
      <c r="F495" s="17"/>
      <c r="G495" s="17"/>
      <c r="H495" s="17"/>
      <c r="I495" s="17"/>
      <c r="J495" s="17"/>
      <c r="N495" s="17"/>
      <c r="O495" s="17"/>
      <c r="P495" s="17"/>
    </row>
    <row r="496" spans="4:16" ht="15.75" customHeight="1" x14ac:dyDescent="0.25">
      <c r="D496" s="17"/>
      <c r="E496" s="17"/>
      <c r="F496" s="17"/>
      <c r="G496" s="17"/>
      <c r="H496" s="17"/>
      <c r="I496" s="17"/>
      <c r="J496" s="17"/>
      <c r="N496" s="17"/>
      <c r="O496" s="17"/>
      <c r="P496" s="17"/>
    </row>
    <row r="497" spans="4:16" ht="15.75" customHeight="1" x14ac:dyDescent="0.25">
      <c r="D497" s="17"/>
      <c r="E497" s="17"/>
      <c r="F497" s="17"/>
      <c r="G497" s="17"/>
      <c r="H497" s="17"/>
      <c r="I497" s="17"/>
      <c r="J497" s="17"/>
      <c r="N497" s="17"/>
      <c r="O497" s="17"/>
      <c r="P497" s="17"/>
    </row>
    <row r="498" spans="4:16" ht="15.75" customHeight="1" x14ac:dyDescent="0.25">
      <c r="D498" s="17"/>
      <c r="E498" s="17"/>
      <c r="F498" s="17"/>
      <c r="G498" s="17"/>
      <c r="H498" s="17"/>
      <c r="I498" s="17"/>
      <c r="J498" s="17"/>
      <c r="N498" s="17"/>
      <c r="O498" s="17"/>
      <c r="P498" s="17"/>
    </row>
    <row r="499" spans="4:16" ht="15.75" customHeight="1" x14ac:dyDescent="0.25">
      <c r="D499" s="17"/>
      <c r="E499" s="17"/>
      <c r="F499" s="17"/>
      <c r="G499" s="17"/>
      <c r="H499" s="17"/>
      <c r="I499" s="17"/>
      <c r="J499" s="17"/>
      <c r="N499" s="17"/>
      <c r="O499" s="17"/>
      <c r="P499" s="17"/>
    </row>
    <row r="500" spans="4:16" ht="15.75" customHeight="1" x14ac:dyDescent="0.25">
      <c r="D500" s="17"/>
      <c r="E500" s="17"/>
      <c r="F500" s="17"/>
      <c r="G500" s="17"/>
      <c r="H500" s="17"/>
      <c r="I500" s="17"/>
      <c r="J500" s="17"/>
      <c r="N500" s="17"/>
      <c r="O500" s="17"/>
      <c r="P500" s="17"/>
    </row>
    <row r="501" spans="4:16" ht="15.75" customHeight="1" x14ac:dyDescent="0.25">
      <c r="D501" s="17"/>
      <c r="E501" s="17"/>
      <c r="F501" s="17"/>
      <c r="G501" s="17"/>
      <c r="H501" s="17"/>
      <c r="I501" s="17"/>
      <c r="J501" s="17"/>
      <c r="N501" s="17"/>
      <c r="O501" s="17"/>
      <c r="P501" s="17"/>
    </row>
    <row r="502" spans="4:16" ht="15.75" customHeight="1" x14ac:dyDescent="0.25">
      <c r="D502" s="17"/>
      <c r="E502" s="17"/>
      <c r="F502" s="17"/>
      <c r="G502" s="17"/>
      <c r="H502" s="17"/>
      <c r="I502" s="17"/>
      <c r="J502" s="17"/>
      <c r="N502" s="17"/>
      <c r="O502" s="17"/>
      <c r="P502" s="17"/>
    </row>
    <row r="503" spans="4:16" ht="15.75" customHeight="1" x14ac:dyDescent="0.25">
      <c r="D503" s="17"/>
      <c r="E503" s="17"/>
      <c r="F503" s="17"/>
      <c r="G503" s="17"/>
      <c r="H503" s="17"/>
      <c r="I503" s="17"/>
      <c r="J503" s="17"/>
      <c r="N503" s="17"/>
      <c r="O503" s="17"/>
      <c r="P503" s="17"/>
    </row>
    <row r="504" spans="4:16" ht="15.75" customHeight="1" x14ac:dyDescent="0.25">
      <c r="D504" s="17"/>
      <c r="E504" s="17"/>
      <c r="F504" s="17"/>
      <c r="G504" s="17"/>
      <c r="H504" s="17"/>
      <c r="I504" s="17"/>
      <c r="J504" s="17"/>
      <c r="N504" s="17"/>
      <c r="O504" s="17"/>
      <c r="P504" s="17"/>
    </row>
    <row r="505" spans="4:16" ht="15.75" customHeight="1" x14ac:dyDescent="0.25">
      <c r="D505" s="17"/>
      <c r="E505" s="17"/>
      <c r="F505" s="17"/>
      <c r="G505" s="17"/>
      <c r="H505" s="17"/>
      <c r="I505" s="17"/>
      <c r="J505" s="17"/>
      <c r="N505" s="17"/>
      <c r="O505" s="17"/>
      <c r="P505" s="17"/>
    </row>
    <row r="506" spans="4:16" ht="15.75" customHeight="1" x14ac:dyDescent="0.25">
      <c r="D506" s="17"/>
      <c r="E506" s="17"/>
      <c r="F506" s="17"/>
      <c r="G506" s="17"/>
      <c r="H506" s="17"/>
      <c r="I506" s="17"/>
      <c r="J506" s="17"/>
      <c r="N506" s="17"/>
      <c r="O506" s="17"/>
      <c r="P506" s="17"/>
    </row>
    <row r="507" spans="4:16" ht="15.75" customHeight="1" x14ac:dyDescent="0.25">
      <c r="D507" s="17"/>
      <c r="E507" s="17"/>
      <c r="F507" s="17"/>
      <c r="G507" s="17"/>
      <c r="H507" s="17"/>
      <c r="I507" s="17"/>
      <c r="J507" s="17"/>
      <c r="N507" s="17"/>
      <c r="O507" s="17"/>
      <c r="P507" s="17"/>
    </row>
    <row r="508" spans="4:16" ht="15.75" customHeight="1" x14ac:dyDescent="0.25">
      <c r="D508" s="17"/>
      <c r="E508" s="17"/>
      <c r="F508" s="17"/>
      <c r="G508" s="17"/>
      <c r="H508" s="17"/>
      <c r="I508" s="17"/>
      <c r="J508" s="17"/>
      <c r="N508" s="17"/>
      <c r="O508" s="17"/>
      <c r="P508" s="17"/>
    </row>
    <row r="509" spans="4:16" ht="15.75" customHeight="1" x14ac:dyDescent="0.25">
      <c r="D509" s="17"/>
      <c r="E509" s="17"/>
      <c r="F509" s="17"/>
      <c r="G509" s="17"/>
      <c r="H509" s="17"/>
      <c r="I509" s="17"/>
      <c r="J509" s="17"/>
      <c r="N509" s="17"/>
      <c r="O509" s="17"/>
      <c r="P509" s="17"/>
    </row>
    <row r="510" spans="4:16" ht="15.75" customHeight="1" x14ac:dyDescent="0.25">
      <c r="D510" s="17"/>
      <c r="E510" s="17"/>
      <c r="F510" s="17"/>
      <c r="G510" s="17"/>
      <c r="H510" s="17"/>
      <c r="I510" s="17"/>
      <c r="J510" s="17"/>
      <c r="N510" s="17"/>
      <c r="O510" s="17"/>
      <c r="P510" s="17"/>
    </row>
    <row r="511" spans="4:16" ht="15.75" customHeight="1" x14ac:dyDescent="0.25">
      <c r="D511" s="17"/>
      <c r="E511" s="17"/>
      <c r="F511" s="17"/>
      <c r="G511" s="17"/>
      <c r="H511" s="17"/>
      <c r="I511" s="17"/>
      <c r="J511" s="17"/>
      <c r="N511" s="17"/>
      <c r="O511" s="17"/>
      <c r="P511" s="17"/>
    </row>
    <row r="512" spans="4:16" ht="15.75" customHeight="1" x14ac:dyDescent="0.25">
      <c r="D512" s="17"/>
      <c r="E512" s="17"/>
      <c r="F512" s="17"/>
      <c r="G512" s="17"/>
      <c r="H512" s="17"/>
      <c r="I512" s="17"/>
      <c r="J512" s="17"/>
      <c r="N512" s="17"/>
      <c r="O512" s="17"/>
      <c r="P512" s="17"/>
    </row>
    <row r="513" spans="4:16" ht="15.75" customHeight="1" x14ac:dyDescent="0.25">
      <c r="D513" s="17"/>
      <c r="E513" s="17"/>
      <c r="F513" s="17"/>
      <c r="G513" s="17"/>
      <c r="H513" s="17"/>
      <c r="I513" s="17"/>
      <c r="J513" s="17"/>
      <c r="N513" s="17"/>
      <c r="O513" s="17"/>
      <c r="P513" s="17"/>
    </row>
    <row r="514" spans="4:16" ht="15.75" customHeight="1" x14ac:dyDescent="0.25">
      <c r="D514" s="17"/>
      <c r="E514" s="17"/>
      <c r="F514" s="17"/>
      <c r="G514" s="17"/>
      <c r="H514" s="17"/>
      <c r="I514" s="17"/>
      <c r="J514" s="17"/>
      <c r="N514" s="17"/>
      <c r="O514" s="17"/>
      <c r="P514" s="17"/>
    </row>
    <row r="515" spans="4:16" ht="15.75" customHeight="1" x14ac:dyDescent="0.25">
      <c r="D515" s="17"/>
      <c r="E515" s="17"/>
      <c r="F515" s="17"/>
      <c r="G515" s="17"/>
      <c r="H515" s="17"/>
      <c r="I515" s="17"/>
      <c r="J515" s="17"/>
      <c r="N515" s="17"/>
      <c r="O515" s="17"/>
      <c r="P515" s="17"/>
    </row>
    <row r="516" spans="4:16" ht="15.75" customHeight="1" x14ac:dyDescent="0.25">
      <c r="D516" s="17"/>
      <c r="E516" s="17"/>
      <c r="F516" s="17"/>
      <c r="G516" s="17"/>
      <c r="H516" s="17"/>
      <c r="I516" s="17"/>
      <c r="J516" s="17"/>
      <c r="N516" s="17"/>
      <c r="O516" s="17"/>
      <c r="P516" s="17"/>
    </row>
    <row r="517" spans="4:16" ht="15.75" customHeight="1" x14ac:dyDescent="0.25">
      <c r="D517" s="17"/>
      <c r="E517" s="17"/>
      <c r="F517" s="17"/>
      <c r="G517" s="17"/>
      <c r="H517" s="17"/>
      <c r="I517" s="17"/>
      <c r="J517" s="17"/>
      <c r="N517" s="17"/>
      <c r="O517" s="17"/>
      <c r="P517" s="17"/>
    </row>
    <row r="518" spans="4:16" ht="15.75" customHeight="1" x14ac:dyDescent="0.25">
      <c r="D518" s="17"/>
      <c r="E518" s="17"/>
      <c r="F518" s="17"/>
      <c r="G518" s="17"/>
      <c r="H518" s="17"/>
      <c r="I518" s="17"/>
      <c r="J518" s="17"/>
      <c r="N518" s="17"/>
      <c r="O518" s="17"/>
      <c r="P518" s="17"/>
    </row>
    <row r="519" spans="4:16" ht="15.75" customHeight="1" x14ac:dyDescent="0.25">
      <c r="D519" s="17"/>
      <c r="E519" s="17"/>
      <c r="F519" s="17"/>
      <c r="G519" s="17"/>
      <c r="H519" s="17"/>
      <c r="I519" s="17"/>
      <c r="J519" s="17"/>
      <c r="N519" s="17"/>
      <c r="O519" s="17"/>
      <c r="P519" s="17"/>
    </row>
    <row r="520" spans="4:16" ht="15.75" customHeight="1" x14ac:dyDescent="0.25">
      <c r="D520" s="17"/>
      <c r="E520" s="17"/>
      <c r="F520" s="17"/>
      <c r="G520" s="17"/>
      <c r="H520" s="17"/>
      <c r="I520" s="17"/>
      <c r="J520" s="17"/>
      <c r="N520" s="17"/>
      <c r="O520" s="17"/>
      <c r="P520" s="17"/>
    </row>
    <row r="521" spans="4:16" ht="15.75" customHeight="1" x14ac:dyDescent="0.25">
      <c r="D521" s="17"/>
      <c r="E521" s="17"/>
      <c r="F521" s="17"/>
      <c r="G521" s="17"/>
      <c r="H521" s="17"/>
      <c r="I521" s="17"/>
      <c r="J521" s="17"/>
      <c r="N521" s="17"/>
      <c r="O521" s="17"/>
      <c r="P521" s="17"/>
    </row>
    <row r="522" spans="4:16" ht="15.75" customHeight="1" x14ac:dyDescent="0.25">
      <c r="D522" s="17"/>
      <c r="E522" s="17"/>
      <c r="F522" s="17"/>
      <c r="G522" s="17"/>
      <c r="H522" s="17"/>
      <c r="I522" s="17"/>
      <c r="J522" s="17"/>
      <c r="N522" s="17"/>
      <c r="O522" s="17"/>
      <c r="P522" s="17"/>
    </row>
    <row r="523" spans="4:16" ht="15.75" customHeight="1" x14ac:dyDescent="0.25">
      <c r="D523" s="17"/>
      <c r="E523" s="17"/>
      <c r="F523" s="17"/>
      <c r="G523" s="17"/>
      <c r="H523" s="17"/>
      <c r="I523" s="17"/>
      <c r="J523" s="17"/>
      <c r="N523" s="17"/>
      <c r="O523" s="17"/>
      <c r="P523" s="17"/>
    </row>
    <row r="524" spans="4:16" ht="15.75" customHeight="1" x14ac:dyDescent="0.25">
      <c r="D524" s="17"/>
      <c r="E524" s="17"/>
      <c r="F524" s="17"/>
      <c r="G524" s="17"/>
      <c r="H524" s="17"/>
      <c r="I524" s="17"/>
      <c r="J524" s="17"/>
      <c r="N524" s="17"/>
      <c r="O524" s="17"/>
      <c r="P524" s="17"/>
    </row>
    <row r="525" spans="4:16" ht="15.75" customHeight="1" x14ac:dyDescent="0.25">
      <c r="D525" s="17"/>
      <c r="E525" s="17"/>
      <c r="F525" s="17"/>
      <c r="G525" s="17"/>
      <c r="H525" s="17"/>
      <c r="I525" s="17"/>
      <c r="J525" s="17"/>
      <c r="N525" s="17"/>
      <c r="O525" s="17"/>
      <c r="P525" s="17"/>
    </row>
    <row r="526" spans="4:16" ht="15.75" customHeight="1" x14ac:dyDescent="0.25">
      <c r="D526" s="17"/>
      <c r="E526" s="17"/>
      <c r="F526" s="17"/>
      <c r="G526" s="17"/>
      <c r="H526" s="17"/>
      <c r="I526" s="17"/>
      <c r="J526" s="17"/>
      <c r="N526" s="17"/>
      <c r="O526" s="17"/>
      <c r="P526" s="17"/>
    </row>
    <row r="527" spans="4:16" ht="15.75" customHeight="1" x14ac:dyDescent="0.25">
      <c r="D527" s="17"/>
      <c r="E527" s="17"/>
      <c r="F527" s="17"/>
      <c r="G527" s="17"/>
      <c r="H527" s="17"/>
      <c r="I527" s="17"/>
      <c r="J527" s="17"/>
      <c r="N527" s="17"/>
      <c r="O527" s="17"/>
      <c r="P527" s="17"/>
    </row>
    <row r="528" spans="4:16" ht="15.75" customHeight="1" x14ac:dyDescent="0.25">
      <c r="D528" s="17"/>
      <c r="E528" s="17"/>
      <c r="F528" s="17"/>
      <c r="G528" s="17"/>
      <c r="H528" s="17"/>
      <c r="I528" s="17"/>
      <c r="J528" s="17"/>
      <c r="N528" s="17"/>
      <c r="O528" s="17"/>
      <c r="P528" s="17"/>
    </row>
    <row r="529" spans="4:16" ht="15.75" customHeight="1" x14ac:dyDescent="0.25">
      <c r="D529" s="17"/>
      <c r="E529" s="17"/>
      <c r="F529" s="17"/>
      <c r="G529" s="17"/>
      <c r="H529" s="17"/>
      <c r="I529" s="17"/>
      <c r="J529" s="17"/>
      <c r="N529" s="17"/>
      <c r="O529" s="17"/>
      <c r="P529" s="17"/>
    </row>
    <row r="530" spans="4:16" ht="15.75" customHeight="1" x14ac:dyDescent="0.25">
      <c r="D530" s="17"/>
      <c r="E530" s="17"/>
      <c r="F530" s="17"/>
      <c r="G530" s="17"/>
      <c r="H530" s="17"/>
      <c r="I530" s="17"/>
      <c r="J530" s="17"/>
      <c r="N530" s="17"/>
      <c r="O530" s="17"/>
      <c r="P530" s="17"/>
    </row>
    <row r="531" spans="4:16" ht="15.75" customHeight="1" x14ac:dyDescent="0.25">
      <c r="D531" s="17"/>
      <c r="E531" s="17"/>
      <c r="F531" s="17"/>
      <c r="G531" s="17"/>
      <c r="H531" s="17"/>
      <c r="I531" s="17"/>
      <c r="J531" s="17"/>
      <c r="N531" s="17"/>
      <c r="O531" s="17"/>
      <c r="P531" s="17"/>
    </row>
    <row r="532" spans="4:16" ht="15.75" customHeight="1" x14ac:dyDescent="0.25">
      <c r="D532" s="17"/>
      <c r="E532" s="17"/>
      <c r="F532" s="17"/>
      <c r="G532" s="17"/>
      <c r="H532" s="17"/>
      <c r="I532" s="17"/>
      <c r="J532" s="17"/>
      <c r="N532" s="17"/>
      <c r="O532" s="17"/>
      <c r="P532" s="17"/>
    </row>
    <row r="533" spans="4:16" ht="15.75" customHeight="1" x14ac:dyDescent="0.25">
      <c r="D533" s="17"/>
      <c r="E533" s="17"/>
      <c r="F533" s="17"/>
      <c r="G533" s="17"/>
      <c r="H533" s="17"/>
      <c r="I533" s="17"/>
      <c r="J533" s="17"/>
      <c r="N533" s="17"/>
      <c r="O533" s="17"/>
      <c r="P533" s="17"/>
    </row>
    <row r="534" spans="4:16" ht="15.75" customHeight="1" x14ac:dyDescent="0.25">
      <c r="D534" s="17"/>
      <c r="E534" s="17"/>
      <c r="F534" s="17"/>
      <c r="G534" s="17"/>
      <c r="H534" s="17"/>
      <c r="I534" s="17"/>
      <c r="J534" s="17"/>
      <c r="N534" s="17"/>
      <c r="O534" s="17"/>
      <c r="P534" s="17"/>
    </row>
    <row r="535" spans="4:16" ht="15.75" customHeight="1" x14ac:dyDescent="0.25">
      <c r="D535" s="17"/>
      <c r="E535" s="17"/>
      <c r="F535" s="17"/>
      <c r="G535" s="17"/>
      <c r="H535" s="17"/>
      <c r="I535" s="17"/>
      <c r="J535" s="17"/>
      <c r="N535" s="17"/>
      <c r="O535" s="17"/>
      <c r="P535" s="17"/>
    </row>
    <row r="536" spans="4:16" ht="15.75" customHeight="1" x14ac:dyDescent="0.25">
      <c r="D536" s="17"/>
      <c r="E536" s="17"/>
      <c r="F536" s="17"/>
      <c r="G536" s="17"/>
      <c r="H536" s="17"/>
      <c r="I536" s="17"/>
      <c r="J536" s="17"/>
      <c r="N536" s="17"/>
      <c r="O536" s="17"/>
      <c r="P536" s="17"/>
    </row>
    <row r="537" spans="4:16" ht="15.75" customHeight="1" x14ac:dyDescent="0.25">
      <c r="D537" s="17"/>
      <c r="E537" s="17"/>
      <c r="F537" s="17"/>
      <c r="G537" s="17"/>
      <c r="H537" s="17"/>
      <c r="I537" s="17"/>
      <c r="J537" s="17"/>
      <c r="N537" s="17"/>
      <c r="O537" s="17"/>
      <c r="P537" s="17"/>
    </row>
    <row r="538" spans="4:16" ht="15.75" customHeight="1" x14ac:dyDescent="0.25">
      <c r="D538" s="17"/>
      <c r="E538" s="17"/>
      <c r="F538" s="17"/>
      <c r="G538" s="17"/>
      <c r="H538" s="17"/>
      <c r="I538" s="17"/>
      <c r="J538" s="17"/>
      <c r="N538" s="17"/>
      <c r="O538" s="17"/>
      <c r="P538" s="17"/>
    </row>
    <row r="539" spans="4:16" ht="15.75" customHeight="1" x14ac:dyDescent="0.25">
      <c r="D539" s="17"/>
      <c r="E539" s="17"/>
      <c r="F539" s="17"/>
      <c r="G539" s="17"/>
      <c r="H539" s="17"/>
      <c r="I539" s="17"/>
      <c r="J539" s="17"/>
      <c r="N539" s="17"/>
      <c r="O539" s="17"/>
      <c r="P539" s="17"/>
    </row>
    <row r="540" spans="4:16" ht="15.75" customHeight="1" x14ac:dyDescent="0.25">
      <c r="D540" s="17"/>
      <c r="E540" s="17"/>
      <c r="F540" s="17"/>
      <c r="G540" s="17"/>
      <c r="H540" s="17"/>
      <c r="I540" s="17"/>
      <c r="J540" s="17"/>
      <c r="N540" s="17"/>
      <c r="O540" s="17"/>
      <c r="P540" s="17"/>
    </row>
    <row r="541" spans="4:16" ht="15.75" customHeight="1" x14ac:dyDescent="0.25">
      <c r="D541" s="17"/>
      <c r="E541" s="17"/>
      <c r="F541" s="17"/>
      <c r="G541" s="17"/>
      <c r="H541" s="17"/>
      <c r="I541" s="17"/>
      <c r="J541" s="17"/>
      <c r="N541" s="17"/>
      <c r="O541" s="17"/>
      <c r="P541" s="17"/>
    </row>
    <row r="542" spans="4:16" ht="15.75" customHeight="1" x14ac:dyDescent="0.25">
      <c r="D542" s="17"/>
      <c r="E542" s="17"/>
      <c r="F542" s="17"/>
      <c r="G542" s="17"/>
      <c r="H542" s="17"/>
      <c r="I542" s="17"/>
      <c r="J542" s="17"/>
      <c r="N542" s="17"/>
      <c r="O542" s="17"/>
      <c r="P542" s="17"/>
    </row>
    <row r="543" spans="4:16" ht="15.75" customHeight="1" x14ac:dyDescent="0.25">
      <c r="D543" s="17"/>
      <c r="E543" s="17"/>
      <c r="F543" s="17"/>
      <c r="G543" s="17"/>
      <c r="H543" s="17"/>
      <c r="I543" s="17"/>
      <c r="J543" s="17"/>
      <c r="N543" s="17"/>
      <c r="O543" s="17"/>
      <c r="P543" s="17"/>
    </row>
    <row r="544" spans="4:16" ht="15.75" customHeight="1" x14ac:dyDescent="0.25">
      <c r="D544" s="17"/>
      <c r="E544" s="17"/>
      <c r="F544" s="17"/>
      <c r="G544" s="17"/>
      <c r="H544" s="17"/>
      <c r="I544" s="17"/>
      <c r="J544" s="17"/>
      <c r="N544" s="17"/>
      <c r="O544" s="17"/>
      <c r="P544" s="17"/>
    </row>
    <row r="545" spans="4:16" ht="15.75" customHeight="1" x14ac:dyDescent="0.25">
      <c r="D545" s="17"/>
      <c r="E545" s="17"/>
      <c r="F545" s="17"/>
      <c r="G545" s="17"/>
      <c r="H545" s="17"/>
      <c r="I545" s="17"/>
      <c r="J545" s="17"/>
      <c r="N545" s="17"/>
      <c r="O545" s="17"/>
      <c r="P545" s="17"/>
    </row>
    <row r="546" spans="4:16" ht="15.75" customHeight="1" x14ac:dyDescent="0.25">
      <c r="D546" s="17"/>
      <c r="E546" s="17"/>
      <c r="F546" s="17"/>
      <c r="G546" s="17"/>
      <c r="H546" s="17"/>
      <c r="I546" s="17"/>
      <c r="J546" s="17"/>
      <c r="N546" s="17"/>
      <c r="O546" s="17"/>
      <c r="P546" s="17"/>
    </row>
    <row r="547" spans="4:16" ht="15.75" customHeight="1" x14ac:dyDescent="0.25">
      <c r="D547" s="17"/>
      <c r="E547" s="17"/>
      <c r="F547" s="17"/>
      <c r="G547" s="17"/>
      <c r="H547" s="17"/>
      <c r="I547" s="17"/>
      <c r="J547" s="17"/>
      <c r="N547" s="17"/>
      <c r="O547" s="17"/>
      <c r="P547" s="17"/>
    </row>
    <row r="548" spans="4:16" ht="15.75" customHeight="1" x14ac:dyDescent="0.25">
      <c r="D548" s="17"/>
      <c r="E548" s="17"/>
      <c r="F548" s="17"/>
      <c r="G548" s="17"/>
      <c r="H548" s="17"/>
      <c r="I548" s="17"/>
      <c r="J548" s="17"/>
      <c r="N548" s="17"/>
      <c r="O548" s="17"/>
      <c r="P548" s="17"/>
    </row>
    <row r="549" spans="4:16" ht="15.75" customHeight="1" x14ac:dyDescent="0.25">
      <c r="D549" s="17"/>
      <c r="E549" s="17"/>
      <c r="F549" s="17"/>
      <c r="G549" s="17"/>
      <c r="H549" s="17"/>
      <c r="I549" s="17"/>
      <c r="J549" s="17"/>
      <c r="N549" s="17"/>
      <c r="O549" s="17"/>
      <c r="P549" s="17"/>
    </row>
    <row r="550" spans="4:16" ht="15.75" customHeight="1" x14ac:dyDescent="0.25">
      <c r="D550" s="17"/>
      <c r="E550" s="17"/>
      <c r="F550" s="17"/>
      <c r="G550" s="17"/>
      <c r="H550" s="17"/>
      <c r="I550" s="17"/>
      <c r="J550" s="17"/>
      <c r="N550" s="17"/>
      <c r="O550" s="17"/>
      <c r="P550" s="17"/>
    </row>
    <row r="551" spans="4:16" ht="15.75" customHeight="1" x14ac:dyDescent="0.25">
      <c r="D551" s="17"/>
      <c r="E551" s="17"/>
      <c r="F551" s="17"/>
      <c r="G551" s="17"/>
      <c r="H551" s="17"/>
      <c r="I551" s="17"/>
      <c r="J551" s="17"/>
      <c r="N551" s="17"/>
      <c r="O551" s="17"/>
      <c r="P551" s="17"/>
    </row>
    <row r="552" spans="4:16" ht="15.75" customHeight="1" x14ac:dyDescent="0.25">
      <c r="D552" s="17"/>
      <c r="E552" s="17"/>
      <c r="F552" s="17"/>
      <c r="G552" s="17"/>
      <c r="H552" s="17"/>
      <c r="I552" s="17"/>
      <c r="J552" s="17"/>
      <c r="N552" s="17"/>
      <c r="O552" s="17"/>
      <c r="P552" s="17"/>
    </row>
    <row r="553" spans="4:16" ht="15.75" customHeight="1" x14ac:dyDescent="0.25">
      <c r="D553" s="17"/>
      <c r="E553" s="17"/>
      <c r="F553" s="17"/>
      <c r="G553" s="17"/>
      <c r="H553" s="17"/>
      <c r="I553" s="17"/>
      <c r="J553" s="17"/>
      <c r="N553" s="17"/>
      <c r="O553" s="17"/>
      <c r="P553" s="17"/>
    </row>
    <row r="554" spans="4:16" ht="15.75" customHeight="1" x14ac:dyDescent="0.25">
      <c r="D554" s="17"/>
      <c r="E554" s="17"/>
      <c r="F554" s="17"/>
      <c r="G554" s="17"/>
      <c r="H554" s="17"/>
      <c r="I554" s="17"/>
      <c r="J554" s="17"/>
      <c r="N554" s="17"/>
      <c r="O554" s="17"/>
      <c r="P554" s="17"/>
    </row>
    <row r="555" spans="4:16" ht="15.75" customHeight="1" x14ac:dyDescent="0.25">
      <c r="D555" s="17"/>
      <c r="E555" s="17"/>
      <c r="F555" s="17"/>
      <c r="G555" s="17"/>
      <c r="H555" s="17"/>
      <c r="I555" s="17"/>
      <c r="J555" s="17"/>
      <c r="N555" s="17"/>
      <c r="O555" s="17"/>
      <c r="P555" s="17"/>
    </row>
    <row r="556" spans="4:16" ht="15.75" customHeight="1" x14ac:dyDescent="0.25">
      <c r="D556" s="17"/>
      <c r="E556" s="17"/>
      <c r="F556" s="17"/>
      <c r="G556" s="17"/>
      <c r="H556" s="17"/>
      <c r="I556" s="17"/>
      <c r="J556" s="17"/>
      <c r="N556" s="17"/>
      <c r="O556" s="17"/>
      <c r="P556" s="17"/>
    </row>
    <row r="557" spans="4:16" ht="15.75" customHeight="1" x14ac:dyDescent="0.25">
      <c r="D557" s="17"/>
      <c r="E557" s="17"/>
      <c r="F557" s="17"/>
      <c r="G557" s="17"/>
      <c r="H557" s="17"/>
      <c r="I557" s="17"/>
      <c r="J557" s="17"/>
      <c r="N557" s="17"/>
      <c r="O557" s="17"/>
      <c r="P557" s="17"/>
    </row>
    <row r="558" spans="4:16" ht="15.75" customHeight="1" x14ac:dyDescent="0.25">
      <c r="D558" s="17"/>
      <c r="E558" s="17"/>
      <c r="F558" s="17"/>
      <c r="G558" s="17"/>
      <c r="H558" s="17"/>
      <c r="I558" s="17"/>
      <c r="J558" s="17"/>
      <c r="N558" s="17"/>
      <c r="O558" s="17"/>
      <c r="P558" s="17"/>
    </row>
    <row r="559" spans="4:16" ht="15.75" customHeight="1" x14ac:dyDescent="0.25">
      <c r="D559" s="17"/>
      <c r="E559" s="17"/>
      <c r="F559" s="17"/>
      <c r="G559" s="17"/>
      <c r="H559" s="17"/>
      <c r="I559" s="17"/>
      <c r="J559" s="17"/>
      <c r="N559" s="17"/>
      <c r="O559" s="17"/>
      <c r="P559" s="17"/>
    </row>
    <row r="560" spans="4:16" ht="15.75" customHeight="1" x14ac:dyDescent="0.25">
      <c r="D560" s="17"/>
      <c r="E560" s="17"/>
      <c r="F560" s="17"/>
      <c r="G560" s="17"/>
      <c r="H560" s="17"/>
      <c r="I560" s="17"/>
      <c r="J560" s="17"/>
      <c r="N560" s="17"/>
      <c r="O560" s="17"/>
      <c r="P560" s="17"/>
    </row>
    <row r="561" spans="4:16" ht="15.75" customHeight="1" x14ac:dyDescent="0.25">
      <c r="D561" s="17"/>
      <c r="E561" s="17"/>
      <c r="F561" s="17"/>
      <c r="G561" s="17"/>
      <c r="H561" s="17"/>
      <c r="I561" s="17"/>
      <c r="J561" s="17"/>
      <c r="N561" s="17"/>
      <c r="O561" s="17"/>
      <c r="P561" s="17"/>
    </row>
    <row r="562" spans="4:16" ht="15.75" customHeight="1" x14ac:dyDescent="0.25">
      <c r="D562" s="17"/>
      <c r="E562" s="17"/>
      <c r="F562" s="17"/>
      <c r="G562" s="17"/>
      <c r="H562" s="17"/>
      <c r="I562" s="17"/>
      <c r="J562" s="17"/>
      <c r="N562" s="17"/>
      <c r="O562" s="17"/>
      <c r="P562" s="17"/>
    </row>
    <row r="563" spans="4:16" ht="15.75" customHeight="1" x14ac:dyDescent="0.25">
      <c r="D563" s="17"/>
      <c r="E563" s="17"/>
      <c r="F563" s="17"/>
      <c r="G563" s="17"/>
      <c r="H563" s="17"/>
      <c r="I563" s="17"/>
      <c r="J563" s="17"/>
      <c r="N563" s="17"/>
      <c r="O563" s="17"/>
      <c r="P563" s="17"/>
    </row>
    <row r="564" spans="4:16" ht="15.75" customHeight="1" x14ac:dyDescent="0.25">
      <c r="D564" s="17"/>
      <c r="E564" s="17"/>
      <c r="F564" s="17"/>
      <c r="G564" s="17"/>
      <c r="H564" s="17"/>
      <c r="I564" s="17"/>
      <c r="J564" s="17"/>
      <c r="N564" s="17"/>
      <c r="O564" s="17"/>
      <c r="P564" s="17"/>
    </row>
    <row r="565" spans="4:16" ht="15.75" customHeight="1" x14ac:dyDescent="0.25">
      <c r="D565" s="17"/>
      <c r="E565" s="17"/>
      <c r="F565" s="17"/>
      <c r="G565" s="17"/>
      <c r="H565" s="17"/>
      <c r="I565" s="17"/>
      <c r="J565" s="17"/>
      <c r="N565" s="17"/>
      <c r="O565" s="17"/>
      <c r="P565" s="17"/>
    </row>
    <row r="566" spans="4:16" ht="15.75" customHeight="1" x14ac:dyDescent="0.25">
      <c r="D566" s="17"/>
      <c r="E566" s="17"/>
      <c r="F566" s="17"/>
      <c r="G566" s="17"/>
      <c r="H566" s="17"/>
      <c r="I566" s="17"/>
      <c r="J566" s="17"/>
      <c r="N566" s="17"/>
      <c r="O566" s="17"/>
      <c r="P566" s="17"/>
    </row>
    <row r="567" spans="4:16" ht="15.75" customHeight="1" x14ac:dyDescent="0.25">
      <c r="D567" s="17"/>
      <c r="E567" s="17"/>
      <c r="F567" s="17"/>
      <c r="G567" s="17"/>
      <c r="H567" s="17"/>
      <c r="I567" s="17"/>
      <c r="J567" s="17"/>
      <c r="N567" s="17"/>
      <c r="O567" s="17"/>
      <c r="P567" s="17"/>
    </row>
    <row r="568" spans="4:16" ht="15.75" customHeight="1" x14ac:dyDescent="0.25">
      <c r="D568" s="17"/>
      <c r="E568" s="17"/>
      <c r="F568" s="17"/>
      <c r="G568" s="17"/>
      <c r="H568" s="17"/>
      <c r="I568" s="17"/>
      <c r="J568" s="17"/>
      <c r="N568" s="17"/>
      <c r="O568" s="17"/>
      <c r="P568" s="17"/>
    </row>
    <row r="569" spans="4:16" ht="15.75" customHeight="1" x14ac:dyDescent="0.25">
      <c r="D569" s="17"/>
      <c r="E569" s="17"/>
      <c r="F569" s="17"/>
      <c r="G569" s="17"/>
      <c r="H569" s="17"/>
      <c r="I569" s="17"/>
      <c r="J569" s="17"/>
      <c r="N569" s="17"/>
      <c r="O569" s="17"/>
      <c r="P569" s="17"/>
    </row>
    <row r="570" spans="4:16" ht="15.75" customHeight="1" x14ac:dyDescent="0.25">
      <c r="D570" s="17"/>
      <c r="E570" s="17"/>
      <c r="F570" s="17"/>
      <c r="G570" s="17"/>
      <c r="H570" s="17"/>
      <c r="I570" s="17"/>
      <c r="J570" s="17"/>
      <c r="N570" s="17"/>
      <c r="O570" s="17"/>
      <c r="P570" s="17"/>
    </row>
    <row r="571" spans="4:16" ht="15.75" customHeight="1" x14ac:dyDescent="0.25">
      <c r="D571" s="17"/>
      <c r="E571" s="17"/>
      <c r="F571" s="17"/>
      <c r="G571" s="17"/>
      <c r="H571" s="17"/>
      <c r="I571" s="17"/>
      <c r="J571" s="17"/>
      <c r="N571" s="17"/>
      <c r="O571" s="17"/>
      <c r="P571" s="17"/>
    </row>
    <row r="572" spans="4:16" ht="15.75" customHeight="1" x14ac:dyDescent="0.25">
      <c r="D572" s="17"/>
      <c r="E572" s="17"/>
      <c r="F572" s="17"/>
      <c r="G572" s="17"/>
      <c r="H572" s="17"/>
      <c r="I572" s="17"/>
      <c r="J572" s="17"/>
      <c r="N572" s="17"/>
      <c r="O572" s="17"/>
      <c r="P572" s="17"/>
    </row>
    <row r="573" spans="4:16" ht="15.75" customHeight="1" x14ac:dyDescent="0.25">
      <c r="D573" s="17"/>
      <c r="E573" s="17"/>
      <c r="F573" s="17"/>
      <c r="G573" s="17"/>
      <c r="H573" s="17"/>
      <c r="I573" s="17"/>
      <c r="J573" s="17"/>
      <c r="N573" s="17"/>
      <c r="O573" s="17"/>
      <c r="P573" s="17"/>
    </row>
    <row r="574" spans="4:16" ht="15.75" customHeight="1" x14ac:dyDescent="0.25">
      <c r="D574" s="17"/>
      <c r="E574" s="17"/>
      <c r="F574" s="17"/>
      <c r="G574" s="17"/>
      <c r="H574" s="17"/>
      <c r="I574" s="17"/>
      <c r="J574" s="17"/>
      <c r="N574" s="17"/>
      <c r="O574" s="17"/>
      <c r="P574" s="17"/>
    </row>
    <row r="575" spans="4:16" ht="15.75" customHeight="1" x14ac:dyDescent="0.25">
      <c r="D575" s="17"/>
      <c r="E575" s="17"/>
      <c r="F575" s="17"/>
      <c r="G575" s="17"/>
      <c r="H575" s="17"/>
      <c r="I575" s="17"/>
      <c r="J575" s="17"/>
      <c r="N575" s="17"/>
      <c r="O575" s="17"/>
      <c r="P575" s="17"/>
    </row>
    <row r="576" spans="4:16" ht="15.75" customHeight="1" x14ac:dyDescent="0.25">
      <c r="D576" s="17"/>
      <c r="E576" s="17"/>
      <c r="F576" s="17"/>
      <c r="G576" s="17"/>
      <c r="H576" s="17"/>
      <c r="I576" s="17"/>
      <c r="J576" s="17"/>
      <c r="N576" s="17"/>
      <c r="O576" s="17"/>
      <c r="P576" s="17"/>
    </row>
    <row r="577" spans="4:16" ht="15.75" customHeight="1" x14ac:dyDescent="0.25">
      <c r="D577" s="17"/>
      <c r="E577" s="17"/>
      <c r="F577" s="17"/>
      <c r="G577" s="17"/>
      <c r="H577" s="17"/>
      <c r="I577" s="17"/>
      <c r="J577" s="17"/>
      <c r="N577" s="17"/>
      <c r="O577" s="17"/>
      <c r="P577" s="17"/>
    </row>
    <row r="578" spans="4:16" ht="15.75" customHeight="1" x14ac:dyDescent="0.25">
      <c r="D578" s="17"/>
      <c r="E578" s="17"/>
      <c r="F578" s="17"/>
      <c r="G578" s="17"/>
      <c r="H578" s="17"/>
      <c r="I578" s="17"/>
      <c r="J578" s="17"/>
      <c r="N578" s="17"/>
      <c r="O578" s="17"/>
      <c r="P578" s="17"/>
    </row>
    <row r="579" spans="4:16" ht="15.75" customHeight="1" x14ac:dyDescent="0.25">
      <c r="D579" s="17"/>
      <c r="E579" s="17"/>
      <c r="F579" s="17"/>
      <c r="G579" s="17"/>
      <c r="H579" s="17"/>
      <c r="I579" s="17"/>
      <c r="J579" s="17"/>
      <c r="N579" s="17"/>
      <c r="O579" s="17"/>
      <c r="P579" s="17"/>
    </row>
    <row r="580" spans="4:16" ht="15.75" customHeight="1" x14ac:dyDescent="0.25">
      <c r="D580" s="17"/>
      <c r="E580" s="17"/>
      <c r="F580" s="17"/>
      <c r="G580" s="17"/>
      <c r="H580" s="17"/>
      <c r="I580" s="17"/>
      <c r="J580" s="17"/>
      <c r="N580" s="17"/>
      <c r="O580" s="17"/>
      <c r="P580" s="17"/>
    </row>
    <row r="581" spans="4:16" ht="15.75" customHeight="1" x14ac:dyDescent="0.25">
      <c r="D581" s="17"/>
      <c r="E581" s="17"/>
      <c r="F581" s="17"/>
      <c r="G581" s="17"/>
      <c r="H581" s="17"/>
      <c r="I581" s="17"/>
      <c r="J581" s="17"/>
      <c r="N581" s="17"/>
      <c r="O581" s="17"/>
      <c r="P581" s="17"/>
    </row>
    <row r="582" spans="4:16" ht="15.75" customHeight="1" x14ac:dyDescent="0.25">
      <c r="D582" s="17"/>
      <c r="E582" s="17"/>
      <c r="F582" s="17"/>
      <c r="G582" s="17"/>
      <c r="H582" s="17"/>
      <c r="I582" s="17"/>
      <c r="J582" s="17"/>
      <c r="N582" s="17"/>
      <c r="O582" s="17"/>
      <c r="P582" s="17"/>
    </row>
    <row r="583" spans="4:16" ht="15.75" customHeight="1" x14ac:dyDescent="0.25">
      <c r="D583" s="17"/>
      <c r="E583" s="17"/>
      <c r="F583" s="17"/>
      <c r="G583" s="17"/>
      <c r="H583" s="17"/>
      <c r="I583" s="17"/>
      <c r="J583" s="17"/>
      <c r="N583" s="17"/>
      <c r="O583" s="17"/>
      <c r="P583" s="17"/>
    </row>
    <row r="584" spans="4:16" ht="15.75" customHeight="1" x14ac:dyDescent="0.25">
      <c r="D584" s="17"/>
      <c r="E584" s="17"/>
      <c r="F584" s="17"/>
      <c r="G584" s="17"/>
      <c r="H584" s="17"/>
      <c r="I584" s="17"/>
      <c r="J584" s="17"/>
      <c r="N584" s="17"/>
      <c r="O584" s="17"/>
      <c r="P584" s="17"/>
    </row>
    <row r="585" spans="4:16" ht="15.75" customHeight="1" x14ac:dyDescent="0.25">
      <c r="D585" s="17"/>
      <c r="E585" s="17"/>
      <c r="F585" s="17"/>
      <c r="G585" s="17"/>
      <c r="H585" s="17"/>
      <c r="I585" s="17"/>
      <c r="J585" s="17"/>
      <c r="N585" s="17"/>
      <c r="O585" s="17"/>
      <c r="P585" s="17"/>
    </row>
    <row r="586" spans="4:16" ht="15.75" customHeight="1" x14ac:dyDescent="0.25">
      <c r="D586" s="17"/>
      <c r="E586" s="17"/>
      <c r="F586" s="17"/>
      <c r="G586" s="17"/>
      <c r="H586" s="17"/>
      <c r="I586" s="17"/>
      <c r="J586" s="17"/>
      <c r="N586" s="17"/>
      <c r="O586" s="17"/>
      <c r="P586" s="17"/>
    </row>
    <row r="587" spans="4:16" ht="15.75" customHeight="1" x14ac:dyDescent="0.25">
      <c r="D587" s="17"/>
      <c r="E587" s="17"/>
      <c r="F587" s="17"/>
      <c r="G587" s="17"/>
      <c r="H587" s="17"/>
      <c r="I587" s="17"/>
      <c r="J587" s="17"/>
      <c r="N587" s="17"/>
      <c r="O587" s="17"/>
      <c r="P587" s="17"/>
    </row>
    <row r="588" spans="4:16" ht="15.75" customHeight="1" x14ac:dyDescent="0.25">
      <c r="D588" s="17"/>
      <c r="E588" s="17"/>
      <c r="F588" s="17"/>
      <c r="G588" s="17"/>
      <c r="H588" s="17"/>
      <c r="I588" s="17"/>
      <c r="J588" s="17"/>
      <c r="N588" s="17"/>
      <c r="O588" s="17"/>
      <c r="P588" s="17"/>
    </row>
    <row r="589" spans="4:16" ht="15.75" customHeight="1" x14ac:dyDescent="0.25">
      <c r="D589" s="17"/>
      <c r="E589" s="17"/>
      <c r="F589" s="17"/>
      <c r="G589" s="17"/>
      <c r="H589" s="17"/>
      <c r="I589" s="17"/>
      <c r="J589" s="17"/>
      <c r="N589" s="17"/>
      <c r="O589" s="17"/>
      <c r="P589" s="17"/>
    </row>
    <row r="590" spans="4:16" ht="15.75" customHeight="1" x14ac:dyDescent="0.25">
      <c r="D590" s="17"/>
      <c r="E590" s="17"/>
      <c r="F590" s="17"/>
      <c r="G590" s="17"/>
      <c r="H590" s="17"/>
      <c r="I590" s="17"/>
      <c r="J590" s="17"/>
      <c r="N590" s="17"/>
      <c r="O590" s="17"/>
      <c r="P590" s="17"/>
    </row>
    <row r="591" spans="4:16" ht="15.75" customHeight="1" x14ac:dyDescent="0.25">
      <c r="D591" s="17"/>
      <c r="E591" s="17"/>
      <c r="F591" s="17"/>
      <c r="G591" s="17"/>
      <c r="H591" s="17"/>
      <c r="I591" s="17"/>
      <c r="J591" s="17"/>
      <c r="N591" s="17"/>
      <c r="O591" s="17"/>
      <c r="P591" s="17"/>
    </row>
    <row r="592" spans="4:16" ht="15.75" customHeight="1" x14ac:dyDescent="0.25">
      <c r="D592" s="17"/>
      <c r="E592" s="17"/>
      <c r="F592" s="17"/>
      <c r="G592" s="17"/>
      <c r="H592" s="17"/>
      <c r="I592" s="17"/>
      <c r="J592" s="17"/>
      <c r="N592" s="17"/>
      <c r="O592" s="17"/>
      <c r="P592" s="17"/>
    </row>
    <row r="593" spans="4:16" ht="15.75" customHeight="1" x14ac:dyDescent="0.25">
      <c r="D593" s="17"/>
      <c r="E593" s="17"/>
      <c r="F593" s="17"/>
      <c r="G593" s="17"/>
      <c r="H593" s="17"/>
      <c r="I593" s="17"/>
      <c r="J593" s="17"/>
      <c r="N593" s="17"/>
      <c r="O593" s="17"/>
      <c r="P593" s="17"/>
    </row>
    <row r="594" spans="4:16" ht="15.75" customHeight="1" x14ac:dyDescent="0.25">
      <c r="D594" s="17"/>
      <c r="E594" s="17"/>
      <c r="F594" s="17"/>
      <c r="G594" s="17"/>
      <c r="H594" s="17"/>
      <c r="I594" s="17"/>
      <c r="J594" s="17"/>
      <c r="N594" s="17"/>
      <c r="O594" s="17"/>
      <c r="P594" s="17"/>
    </row>
    <row r="595" spans="4:16" ht="15.75" customHeight="1" x14ac:dyDescent="0.25">
      <c r="D595" s="17"/>
      <c r="E595" s="17"/>
      <c r="F595" s="17"/>
      <c r="G595" s="17"/>
      <c r="H595" s="17"/>
      <c r="I595" s="17"/>
      <c r="J595" s="17"/>
      <c r="N595" s="17"/>
      <c r="O595" s="17"/>
      <c r="P595" s="17"/>
    </row>
    <row r="596" spans="4:16" ht="15.75" customHeight="1" x14ac:dyDescent="0.25">
      <c r="D596" s="17"/>
      <c r="E596" s="17"/>
      <c r="F596" s="17"/>
      <c r="G596" s="17"/>
      <c r="H596" s="17"/>
      <c r="I596" s="17"/>
      <c r="J596" s="17"/>
      <c r="N596" s="17"/>
      <c r="O596" s="17"/>
      <c r="P596" s="17"/>
    </row>
    <row r="597" spans="4:16" ht="15.75" customHeight="1" x14ac:dyDescent="0.25">
      <c r="D597" s="17"/>
      <c r="E597" s="17"/>
      <c r="F597" s="17"/>
      <c r="G597" s="17"/>
      <c r="H597" s="17"/>
      <c r="I597" s="17"/>
      <c r="J597" s="17"/>
      <c r="N597" s="17"/>
      <c r="O597" s="17"/>
      <c r="P597" s="17"/>
    </row>
    <row r="598" spans="4:16" ht="15.75" customHeight="1" x14ac:dyDescent="0.25">
      <c r="D598" s="17"/>
      <c r="E598" s="17"/>
      <c r="F598" s="17"/>
      <c r="G598" s="17"/>
      <c r="H598" s="17"/>
      <c r="I598" s="17"/>
      <c r="J598" s="17"/>
      <c r="N598" s="17"/>
      <c r="O598" s="17"/>
      <c r="P598" s="17"/>
    </row>
    <row r="599" spans="4:16" ht="15.75" customHeight="1" x14ac:dyDescent="0.25">
      <c r="D599" s="17"/>
      <c r="E599" s="17"/>
      <c r="F599" s="17"/>
      <c r="G599" s="17"/>
      <c r="H599" s="17"/>
      <c r="I599" s="17"/>
      <c r="J599" s="17"/>
      <c r="N599" s="17"/>
      <c r="O599" s="17"/>
      <c r="P599" s="17"/>
    </row>
    <row r="600" spans="4:16" ht="15.75" customHeight="1" x14ac:dyDescent="0.25">
      <c r="D600" s="17"/>
      <c r="E600" s="17"/>
      <c r="F600" s="17"/>
      <c r="G600" s="17"/>
      <c r="H600" s="17"/>
      <c r="I600" s="17"/>
      <c r="J600" s="17"/>
      <c r="N600" s="17"/>
      <c r="O600" s="17"/>
      <c r="P600" s="17"/>
    </row>
    <row r="601" spans="4:16" ht="15.75" customHeight="1" x14ac:dyDescent="0.25">
      <c r="D601" s="17"/>
      <c r="E601" s="17"/>
      <c r="F601" s="17"/>
      <c r="G601" s="17"/>
      <c r="H601" s="17"/>
      <c r="I601" s="17"/>
      <c r="J601" s="17"/>
      <c r="N601" s="17"/>
      <c r="O601" s="17"/>
      <c r="P601" s="17"/>
    </row>
    <row r="602" spans="4:16" ht="15.75" customHeight="1" x14ac:dyDescent="0.25">
      <c r="D602" s="17"/>
      <c r="E602" s="17"/>
      <c r="F602" s="17"/>
      <c r="G602" s="17"/>
      <c r="H602" s="17"/>
      <c r="I602" s="17"/>
      <c r="J602" s="17"/>
      <c r="N602" s="17"/>
      <c r="O602" s="17"/>
      <c r="P602" s="17"/>
    </row>
    <row r="603" spans="4:16" ht="15.75" customHeight="1" x14ac:dyDescent="0.25">
      <c r="D603" s="17"/>
      <c r="E603" s="17"/>
      <c r="F603" s="17"/>
      <c r="G603" s="17"/>
      <c r="H603" s="17"/>
      <c r="I603" s="17"/>
      <c r="J603" s="17"/>
      <c r="N603" s="17"/>
      <c r="O603" s="17"/>
      <c r="P603" s="17"/>
    </row>
    <row r="604" spans="4:16" ht="15.75" customHeight="1" x14ac:dyDescent="0.25">
      <c r="D604" s="17"/>
      <c r="E604" s="17"/>
      <c r="F604" s="17"/>
      <c r="G604" s="17"/>
      <c r="H604" s="17"/>
      <c r="I604" s="17"/>
      <c r="J604" s="17"/>
      <c r="N604" s="17"/>
      <c r="O604" s="17"/>
      <c r="P604" s="17"/>
    </row>
    <row r="605" spans="4:16" ht="15.75" customHeight="1" x14ac:dyDescent="0.25">
      <c r="D605" s="17"/>
      <c r="E605" s="17"/>
      <c r="F605" s="17"/>
      <c r="G605" s="17"/>
      <c r="H605" s="17"/>
      <c r="I605" s="17"/>
      <c r="J605" s="17"/>
      <c r="N605" s="17"/>
      <c r="O605" s="17"/>
      <c r="P605" s="17"/>
    </row>
    <row r="606" spans="4:16" ht="15.75" customHeight="1" x14ac:dyDescent="0.25">
      <c r="D606" s="17"/>
      <c r="E606" s="17"/>
      <c r="F606" s="17"/>
      <c r="G606" s="17"/>
      <c r="H606" s="17"/>
      <c r="I606" s="17"/>
      <c r="J606" s="17"/>
      <c r="N606" s="17"/>
      <c r="O606" s="17"/>
      <c r="P606" s="17"/>
    </row>
    <row r="607" spans="4:16" ht="15.75" customHeight="1" x14ac:dyDescent="0.25">
      <c r="D607" s="17"/>
      <c r="E607" s="17"/>
      <c r="F607" s="17"/>
      <c r="G607" s="17"/>
      <c r="H607" s="17"/>
      <c r="I607" s="17"/>
      <c r="J607" s="17"/>
      <c r="N607" s="17"/>
      <c r="O607" s="17"/>
      <c r="P607" s="17"/>
    </row>
    <row r="608" spans="4:16" ht="15.75" customHeight="1" x14ac:dyDescent="0.25">
      <c r="D608" s="17"/>
      <c r="E608" s="17"/>
      <c r="F608" s="17"/>
      <c r="G608" s="17"/>
      <c r="H608" s="17"/>
      <c r="I608" s="17"/>
      <c r="J608" s="17"/>
      <c r="N608" s="17"/>
      <c r="O608" s="17"/>
      <c r="P608" s="17"/>
    </row>
    <row r="609" spans="4:16" ht="15.75" customHeight="1" x14ac:dyDescent="0.25">
      <c r="D609" s="17"/>
      <c r="E609" s="17"/>
      <c r="F609" s="17"/>
      <c r="G609" s="17"/>
      <c r="H609" s="17"/>
      <c r="I609" s="17"/>
      <c r="J609" s="17"/>
      <c r="N609" s="17"/>
      <c r="O609" s="17"/>
      <c r="P609" s="17"/>
    </row>
    <row r="610" spans="4:16" ht="15.75" customHeight="1" x14ac:dyDescent="0.25">
      <c r="D610" s="17"/>
      <c r="E610" s="17"/>
      <c r="F610" s="17"/>
      <c r="G610" s="17"/>
      <c r="H610" s="17"/>
      <c r="I610" s="17"/>
      <c r="J610" s="17"/>
      <c r="N610" s="17"/>
      <c r="O610" s="17"/>
      <c r="P610" s="17"/>
    </row>
    <row r="611" spans="4:16" ht="15.75" customHeight="1" x14ac:dyDescent="0.25">
      <c r="D611" s="17"/>
      <c r="E611" s="17"/>
      <c r="F611" s="17"/>
      <c r="G611" s="17"/>
      <c r="H611" s="17"/>
      <c r="I611" s="17"/>
      <c r="J611" s="17"/>
      <c r="N611" s="17"/>
      <c r="O611" s="17"/>
      <c r="P611" s="17"/>
    </row>
    <row r="612" spans="4:16" ht="15.75" customHeight="1" x14ac:dyDescent="0.25">
      <c r="D612" s="17"/>
      <c r="E612" s="17"/>
      <c r="F612" s="17"/>
      <c r="G612" s="17"/>
      <c r="H612" s="17"/>
      <c r="I612" s="17"/>
      <c r="J612" s="17"/>
      <c r="N612" s="17"/>
      <c r="O612" s="17"/>
      <c r="P612" s="17"/>
    </row>
    <row r="613" spans="4:16" ht="15.75" customHeight="1" x14ac:dyDescent="0.25">
      <c r="D613" s="17"/>
      <c r="E613" s="17"/>
      <c r="F613" s="17"/>
      <c r="G613" s="17"/>
      <c r="H613" s="17"/>
      <c r="I613" s="17"/>
      <c r="J613" s="17"/>
      <c r="N613" s="17"/>
      <c r="O613" s="17"/>
      <c r="P613" s="17"/>
    </row>
    <row r="614" spans="4:16" ht="15.75" customHeight="1" x14ac:dyDescent="0.25">
      <c r="D614" s="17"/>
      <c r="E614" s="17"/>
      <c r="F614" s="17"/>
      <c r="G614" s="17"/>
      <c r="H614" s="17"/>
      <c r="I614" s="17"/>
      <c r="J614" s="17"/>
      <c r="N614" s="17"/>
      <c r="O614" s="17"/>
      <c r="P614" s="17"/>
    </row>
    <row r="615" spans="4:16" ht="15.75" customHeight="1" x14ac:dyDescent="0.25">
      <c r="D615" s="17"/>
      <c r="E615" s="17"/>
      <c r="F615" s="17"/>
      <c r="G615" s="17"/>
      <c r="H615" s="17"/>
      <c r="I615" s="17"/>
      <c r="J615" s="17"/>
      <c r="N615" s="17"/>
      <c r="O615" s="17"/>
      <c r="P615" s="17"/>
    </row>
    <row r="616" spans="4:16" ht="15.75" customHeight="1" x14ac:dyDescent="0.25">
      <c r="D616" s="17"/>
      <c r="E616" s="17"/>
      <c r="F616" s="17"/>
      <c r="G616" s="17"/>
      <c r="H616" s="17"/>
      <c r="I616" s="17"/>
      <c r="J616" s="17"/>
      <c r="N616" s="17"/>
      <c r="O616" s="17"/>
      <c r="P616" s="17"/>
    </row>
    <row r="617" spans="4:16" ht="15.75" customHeight="1" x14ac:dyDescent="0.25">
      <c r="D617" s="17"/>
      <c r="E617" s="17"/>
      <c r="F617" s="17"/>
      <c r="G617" s="17"/>
      <c r="H617" s="17"/>
      <c r="I617" s="17"/>
      <c r="J617" s="17"/>
      <c r="N617" s="17"/>
      <c r="O617" s="17"/>
      <c r="P617" s="17"/>
    </row>
    <row r="618" spans="4:16" ht="15.75" customHeight="1" x14ac:dyDescent="0.25">
      <c r="D618" s="17"/>
      <c r="E618" s="17"/>
      <c r="F618" s="17"/>
      <c r="G618" s="17"/>
      <c r="H618" s="17"/>
      <c r="I618" s="17"/>
      <c r="J618" s="17"/>
      <c r="N618" s="17"/>
      <c r="O618" s="17"/>
      <c r="P618" s="17"/>
    </row>
    <row r="619" spans="4:16" ht="15.75" customHeight="1" x14ac:dyDescent="0.25">
      <c r="D619" s="17"/>
      <c r="E619" s="17"/>
      <c r="F619" s="17"/>
      <c r="G619" s="17"/>
      <c r="H619" s="17"/>
      <c r="I619" s="17"/>
      <c r="J619" s="17"/>
      <c r="N619" s="17"/>
      <c r="O619" s="17"/>
      <c r="P619" s="17"/>
    </row>
    <row r="620" spans="4:16" ht="15.75" customHeight="1" x14ac:dyDescent="0.25">
      <c r="D620" s="17"/>
      <c r="E620" s="17"/>
      <c r="F620" s="17"/>
      <c r="G620" s="17"/>
      <c r="H620" s="17"/>
      <c r="I620" s="17"/>
      <c r="J620" s="17"/>
      <c r="N620" s="17"/>
      <c r="O620" s="17"/>
      <c r="P620" s="17"/>
    </row>
    <row r="621" spans="4:16" ht="15.75" customHeight="1" x14ac:dyDescent="0.25">
      <c r="D621" s="17"/>
      <c r="E621" s="17"/>
      <c r="F621" s="17"/>
      <c r="G621" s="17"/>
      <c r="H621" s="17"/>
      <c r="I621" s="17"/>
      <c r="J621" s="17"/>
      <c r="N621" s="17"/>
      <c r="O621" s="17"/>
      <c r="P621" s="17"/>
    </row>
    <row r="622" spans="4:16" ht="15.75" customHeight="1" x14ac:dyDescent="0.25">
      <c r="D622" s="17"/>
      <c r="E622" s="17"/>
      <c r="F622" s="17"/>
      <c r="G622" s="17"/>
      <c r="H622" s="17"/>
      <c r="I622" s="17"/>
      <c r="J622" s="17"/>
      <c r="N622" s="17"/>
      <c r="O622" s="17"/>
      <c r="P622" s="17"/>
    </row>
    <row r="623" spans="4:16" ht="15.75" customHeight="1" x14ac:dyDescent="0.25">
      <c r="D623" s="17"/>
      <c r="E623" s="17"/>
      <c r="F623" s="17"/>
      <c r="G623" s="17"/>
      <c r="H623" s="17"/>
      <c r="I623" s="17"/>
      <c r="J623" s="17"/>
      <c r="N623" s="17"/>
      <c r="O623" s="17"/>
      <c r="P623" s="17"/>
    </row>
    <row r="624" spans="4:16" ht="15.75" customHeight="1" x14ac:dyDescent="0.25">
      <c r="D624" s="17"/>
      <c r="E624" s="17"/>
      <c r="F624" s="17"/>
      <c r="G624" s="17"/>
      <c r="H624" s="17"/>
      <c r="I624" s="17"/>
      <c r="J624" s="17"/>
      <c r="N624" s="17"/>
      <c r="O624" s="17"/>
      <c r="P624" s="17"/>
    </row>
    <row r="625" spans="4:16" ht="15.75" customHeight="1" x14ac:dyDescent="0.25">
      <c r="D625" s="17"/>
      <c r="E625" s="17"/>
      <c r="F625" s="17"/>
      <c r="G625" s="17"/>
      <c r="H625" s="17"/>
      <c r="I625" s="17"/>
      <c r="J625" s="17"/>
      <c r="N625" s="17"/>
      <c r="O625" s="17"/>
      <c r="P625" s="17"/>
    </row>
    <row r="626" spans="4:16" ht="15.75" customHeight="1" x14ac:dyDescent="0.25">
      <c r="D626" s="17"/>
      <c r="E626" s="17"/>
      <c r="F626" s="17"/>
      <c r="G626" s="17"/>
      <c r="H626" s="17"/>
      <c r="I626" s="17"/>
      <c r="J626" s="17"/>
      <c r="N626" s="17"/>
      <c r="O626" s="17"/>
      <c r="P626" s="17"/>
    </row>
    <row r="627" spans="4:16" ht="15.75" customHeight="1" x14ac:dyDescent="0.25">
      <c r="D627" s="17"/>
      <c r="E627" s="17"/>
      <c r="F627" s="17"/>
      <c r="G627" s="17"/>
      <c r="H627" s="17"/>
      <c r="I627" s="17"/>
      <c r="J627" s="17"/>
      <c r="N627" s="17"/>
      <c r="O627" s="17"/>
      <c r="P627" s="17"/>
    </row>
    <row r="628" spans="4:16" ht="15.75" customHeight="1" x14ac:dyDescent="0.25">
      <c r="D628" s="17"/>
      <c r="E628" s="17"/>
      <c r="F628" s="17"/>
      <c r="G628" s="17"/>
      <c r="H628" s="17"/>
      <c r="I628" s="17"/>
      <c r="J628" s="17"/>
      <c r="N628" s="17"/>
      <c r="O628" s="17"/>
      <c r="P628" s="17"/>
    </row>
    <row r="629" spans="4:16" ht="15.75" customHeight="1" x14ac:dyDescent="0.25">
      <c r="D629" s="17"/>
      <c r="E629" s="17"/>
      <c r="F629" s="17"/>
      <c r="G629" s="17"/>
      <c r="H629" s="17"/>
      <c r="I629" s="17"/>
      <c r="J629" s="17"/>
      <c r="N629" s="17"/>
      <c r="O629" s="17"/>
      <c r="P629" s="17"/>
    </row>
    <row r="630" spans="4:16" ht="15.75" customHeight="1" x14ac:dyDescent="0.25">
      <c r="D630" s="17"/>
      <c r="E630" s="17"/>
      <c r="F630" s="17"/>
      <c r="G630" s="17"/>
      <c r="H630" s="17"/>
      <c r="I630" s="17"/>
      <c r="J630" s="17"/>
      <c r="N630" s="17"/>
      <c r="O630" s="17"/>
      <c r="P630" s="17"/>
    </row>
    <row r="631" spans="4:16" ht="15.75" customHeight="1" x14ac:dyDescent="0.25">
      <c r="D631" s="17"/>
      <c r="E631" s="17"/>
      <c r="F631" s="17"/>
      <c r="G631" s="17"/>
      <c r="H631" s="17"/>
      <c r="I631" s="17"/>
      <c r="J631" s="17"/>
      <c r="N631" s="17"/>
      <c r="O631" s="17"/>
      <c r="P631" s="17"/>
    </row>
    <row r="632" spans="4:16" ht="15.75" customHeight="1" x14ac:dyDescent="0.25">
      <c r="D632" s="17"/>
      <c r="E632" s="17"/>
      <c r="F632" s="17"/>
      <c r="G632" s="17"/>
      <c r="H632" s="17"/>
      <c r="I632" s="17"/>
      <c r="J632" s="17"/>
      <c r="N632" s="17"/>
      <c r="O632" s="17"/>
      <c r="P632" s="17"/>
    </row>
    <row r="633" spans="4:16" ht="15.75" customHeight="1" x14ac:dyDescent="0.25">
      <c r="D633" s="17"/>
      <c r="E633" s="17"/>
      <c r="F633" s="17"/>
      <c r="G633" s="17"/>
      <c r="H633" s="17"/>
      <c r="I633" s="17"/>
      <c r="J633" s="17"/>
      <c r="N633" s="17"/>
      <c r="O633" s="17"/>
      <c r="P633" s="17"/>
    </row>
    <row r="634" spans="4:16" ht="15.75" customHeight="1" x14ac:dyDescent="0.25">
      <c r="D634" s="17"/>
      <c r="E634" s="17"/>
      <c r="F634" s="17"/>
      <c r="G634" s="17"/>
      <c r="H634" s="17"/>
      <c r="I634" s="17"/>
      <c r="J634" s="17"/>
      <c r="N634" s="17"/>
      <c r="O634" s="17"/>
      <c r="P634" s="17"/>
    </row>
    <row r="635" spans="4:16" ht="15.75" customHeight="1" x14ac:dyDescent="0.25">
      <c r="D635" s="17"/>
      <c r="E635" s="17"/>
      <c r="F635" s="17"/>
      <c r="G635" s="17"/>
      <c r="H635" s="17"/>
      <c r="I635" s="17"/>
      <c r="J635" s="17"/>
      <c r="N635" s="17"/>
      <c r="O635" s="17"/>
      <c r="P635" s="17"/>
    </row>
    <row r="636" spans="4:16" ht="15.75" customHeight="1" x14ac:dyDescent="0.25">
      <c r="D636" s="17"/>
      <c r="E636" s="17"/>
      <c r="F636" s="17"/>
      <c r="G636" s="17"/>
      <c r="H636" s="17"/>
      <c r="I636" s="17"/>
      <c r="J636" s="17"/>
      <c r="N636" s="17"/>
      <c r="O636" s="17"/>
      <c r="P636" s="17"/>
    </row>
    <row r="637" spans="4:16" ht="15.75" customHeight="1" x14ac:dyDescent="0.25">
      <c r="D637" s="17"/>
      <c r="E637" s="17"/>
      <c r="F637" s="17"/>
      <c r="G637" s="17"/>
      <c r="H637" s="17"/>
      <c r="I637" s="17"/>
      <c r="J637" s="17"/>
      <c r="N637" s="17"/>
      <c r="O637" s="17"/>
      <c r="P637" s="17"/>
    </row>
    <row r="638" spans="4:16" ht="15.75" customHeight="1" x14ac:dyDescent="0.25">
      <c r="D638" s="17"/>
      <c r="E638" s="17"/>
      <c r="F638" s="17"/>
      <c r="G638" s="17"/>
      <c r="H638" s="17"/>
      <c r="I638" s="17"/>
      <c r="J638" s="17"/>
      <c r="N638" s="17"/>
      <c r="O638" s="17"/>
      <c r="P638" s="17"/>
    </row>
    <row r="639" spans="4:16" ht="15.75" customHeight="1" x14ac:dyDescent="0.25">
      <c r="D639" s="17"/>
      <c r="E639" s="17"/>
      <c r="F639" s="17"/>
      <c r="G639" s="17"/>
      <c r="H639" s="17"/>
      <c r="I639" s="17"/>
      <c r="J639" s="17"/>
      <c r="N639" s="17"/>
      <c r="O639" s="17"/>
      <c r="P639" s="17"/>
    </row>
    <row r="640" spans="4:16" ht="15.75" customHeight="1" x14ac:dyDescent="0.25">
      <c r="D640" s="17"/>
      <c r="E640" s="17"/>
      <c r="F640" s="17"/>
      <c r="G640" s="17"/>
      <c r="H640" s="17"/>
      <c r="I640" s="17"/>
      <c r="J640" s="17"/>
      <c r="N640" s="17"/>
      <c r="O640" s="17"/>
      <c r="P640" s="17"/>
    </row>
    <row r="641" spans="4:16" ht="15.75" customHeight="1" x14ac:dyDescent="0.25">
      <c r="D641" s="17"/>
      <c r="E641" s="17"/>
      <c r="F641" s="17"/>
      <c r="G641" s="17"/>
      <c r="H641" s="17"/>
      <c r="I641" s="17"/>
      <c r="J641" s="17"/>
      <c r="N641" s="17"/>
      <c r="O641" s="17"/>
      <c r="P641" s="17"/>
    </row>
    <row r="642" spans="4:16" ht="15.75" customHeight="1" x14ac:dyDescent="0.25">
      <c r="D642" s="17"/>
      <c r="E642" s="17"/>
      <c r="F642" s="17"/>
      <c r="G642" s="17"/>
      <c r="H642" s="17"/>
      <c r="I642" s="17"/>
      <c r="J642" s="17"/>
      <c r="N642" s="17"/>
      <c r="O642" s="17"/>
      <c r="P642" s="17"/>
    </row>
    <row r="643" spans="4:16" ht="15.75" customHeight="1" x14ac:dyDescent="0.25">
      <c r="D643" s="17"/>
      <c r="E643" s="17"/>
      <c r="F643" s="17"/>
      <c r="G643" s="17"/>
      <c r="H643" s="17"/>
      <c r="I643" s="17"/>
      <c r="J643" s="17"/>
      <c r="N643" s="17"/>
      <c r="O643" s="17"/>
      <c r="P643" s="17"/>
    </row>
    <row r="644" spans="4:16" ht="15.75" customHeight="1" x14ac:dyDescent="0.25">
      <c r="D644" s="17"/>
      <c r="E644" s="17"/>
      <c r="F644" s="17"/>
      <c r="G644" s="17"/>
      <c r="H644" s="17"/>
      <c r="I644" s="17"/>
      <c r="J644" s="17"/>
      <c r="N644" s="17"/>
      <c r="O644" s="17"/>
      <c r="P644" s="17"/>
    </row>
    <row r="645" spans="4:16" ht="15.75" customHeight="1" x14ac:dyDescent="0.25">
      <c r="D645" s="17"/>
      <c r="E645" s="17"/>
      <c r="F645" s="17"/>
      <c r="G645" s="17"/>
      <c r="H645" s="17"/>
      <c r="I645" s="17"/>
      <c r="J645" s="17"/>
      <c r="N645" s="17"/>
      <c r="O645" s="17"/>
      <c r="P645" s="17"/>
    </row>
    <row r="646" spans="4:16" ht="15.75" customHeight="1" x14ac:dyDescent="0.25">
      <c r="D646" s="17"/>
      <c r="E646" s="17"/>
      <c r="F646" s="17"/>
      <c r="G646" s="17"/>
      <c r="H646" s="17"/>
      <c r="I646" s="17"/>
      <c r="J646" s="17"/>
      <c r="N646" s="17"/>
      <c r="O646" s="17"/>
      <c r="P646" s="17"/>
    </row>
    <row r="647" spans="4:16" ht="15.75" customHeight="1" x14ac:dyDescent="0.25">
      <c r="D647" s="17"/>
      <c r="E647" s="17"/>
      <c r="F647" s="17"/>
      <c r="G647" s="17"/>
      <c r="H647" s="17"/>
      <c r="I647" s="17"/>
      <c r="J647" s="17"/>
      <c r="N647" s="17"/>
      <c r="O647" s="17"/>
      <c r="P647" s="17"/>
    </row>
    <row r="648" spans="4:16" ht="15.75" customHeight="1" x14ac:dyDescent="0.25">
      <c r="D648" s="17"/>
      <c r="E648" s="17"/>
      <c r="F648" s="17"/>
      <c r="G648" s="17"/>
      <c r="H648" s="17"/>
      <c r="I648" s="17"/>
      <c r="J648" s="17"/>
      <c r="N648" s="17"/>
      <c r="O648" s="17"/>
      <c r="P648" s="17"/>
    </row>
    <row r="649" spans="4:16" ht="15.75" customHeight="1" x14ac:dyDescent="0.25">
      <c r="D649" s="17"/>
      <c r="E649" s="17"/>
      <c r="F649" s="17"/>
      <c r="G649" s="17"/>
      <c r="H649" s="17"/>
      <c r="I649" s="17"/>
      <c r="J649" s="17"/>
      <c r="N649" s="17"/>
      <c r="O649" s="17"/>
      <c r="P649" s="17"/>
    </row>
    <row r="650" spans="4:16" ht="15.75" customHeight="1" x14ac:dyDescent="0.25">
      <c r="D650" s="17"/>
      <c r="E650" s="17"/>
      <c r="F650" s="17"/>
      <c r="G650" s="17"/>
      <c r="H650" s="17"/>
      <c r="I650" s="17"/>
      <c r="J650" s="17"/>
      <c r="N650" s="17"/>
      <c r="O650" s="17"/>
      <c r="P650" s="17"/>
    </row>
    <row r="651" spans="4:16" ht="15.75" customHeight="1" x14ac:dyDescent="0.25">
      <c r="D651" s="17"/>
      <c r="E651" s="17"/>
      <c r="F651" s="17"/>
      <c r="G651" s="17"/>
      <c r="H651" s="17"/>
      <c r="I651" s="17"/>
      <c r="J651" s="17"/>
      <c r="N651" s="17"/>
      <c r="O651" s="17"/>
      <c r="P651" s="17"/>
    </row>
    <row r="652" spans="4:16" ht="15.75" customHeight="1" x14ac:dyDescent="0.25">
      <c r="D652" s="17"/>
      <c r="E652" s="17"/>
      <c r="F652" s="17"/>
      <c r="G652" s="17"/>
      <c r="H652" s="17"/>
      <c r="I652" s="17"/>
      <c r="J652" s="17"/>
      <c r="N652" s="17"/>
      <c r="O652" s="17"/>
      <c r="P652" s="17"/>
    </row>
    <row r="653" spans="4:16" ht="15.75" customHeight="1" x14ac:dyDescent="0.25">
      <c r="D653" s="17"/>
      <c r="E653" s="17"/>
      <c r="F653" s="17"/>
      <c r="G653" s="17"/>
      <c r="H653" s="17"/>
      <c r="I653" s="17"/>
      <c r="J653" s="17"/>
      <c r="N653" s="17"/>
      <c r="O653" s="17"/>
      <c r="P653" s="17"/>
    </row>
    <row r="654" spans="4:16" ht="15.75" customHeight="1" x14ac:dyDescent="0.25">
      <c r="D654" s="17"/>
      <c r="E654" s="17"/>
      <c r="F654" s="17"/>
      <c r="G654" s="17"/>
      <c r="H654" s="17"/>
      <c r="I654" s="17"/>
      <c r="J654" s="17"/>
      <c r="N654" s="17"/>
      <c r="O654" s="17"/>
      <c r="P654" s="17"/>
    </row>
    <row r="655" spans="4:16" ht="15.75" customHeight="1" x14ac:dyDescent="0.25">
      <c r="D655" s="17"/>
      <c r="E655" s="17"/>
      <c r="F655" s="17"/>
      <c r="G655" s="17"/>
      <c r="H655" s="17"/>
      <c r="I655" s="17"/>
      <c r="J655" s="17"/>
      <c r="N655" s="17"/>
      <c r="O655" s="17"/>
      <c r="P655" s="17"/>
    </row>
    <row r="656" spans="4:16" ht="15.75" customHeight="1" x14ac:dyDescent="0.25">
      <c r="D656" s="17"/>
      <c r="E656" s="17"/>
      <c r="F656" s="17"/>
      <c r="G656" s="17"/>
      <c r="H656" s="17"/>
      <c r="I656" s="17"/>
      <c r="J656" s="17"/>
      <c r="N656" s="17"/>
      <c r="O656" s="17"/>
      <c r="P656" s="17"/>
    </row>
    <row r="657" spans="4:16" ht="15.75" customHeight="1" x14ac:dyDescent="0.25">
      <c r="D657" s="17"/>
      <c r="E657" s="17"/>
      <c r="F657" s="17"/>
      <c r="G657" s="17"/>
      <c r="H657" s="17"/>
      <c r="I657" s="17"/>
      <c r="J657" s="17"/>
      <c r="N657" s="17"/>
      <c r="O657" s="17"/>
      <c r="P657" s="17"/>
    </row>
    <row r="658" spans="4:16" ht="15.75" customHeight="1" x14ac:dyDescent="0.25">
      <c r="D658" s="17"/>
      <c r="E658" s="17"/>
      <c r="F658" s="17"/>
      <c r="G658" s="17"/>
      <c r="H658" s="17"/>
      <c r="I658" s="17"/>
      <c r="J658" s="17"/>
      <c r="N658" s="17"/>
      <c r="O658" s="17"/>
      <c r="P658" s="17"/>
    </row>
    <row r="659" spans="4:16" ht="15.75" customHeight="1" x14ac:dyDescent="0.25">
      <c r="D659" s="17"/>
      <c r="E659" s="17"/>
      <c r="F659" s="17"/>
      <c r="G659" s="17"/>
      <c r="H659" s="17"/>
      <c r="I659" s="17"/>
      <c r="J659" s="17"/>
      <c r="N659" s="17"/>
      <c r="O659" s="17"/>
      <c r="P659" s="17"/>
    </row>
    <row r="660" spans="4:16" ht="15.75" customHeight="1" x14ac:dyDescent="0.25">
      <c r="D660" s="17"/>
      <c r="E660" s="17"/>
      <c r="F660" s="17"/>
      <c r="G660" s="17"/>
      <c r="H660" s="17"/>
      <c r="I660" s="17"/>
      <c r="J660" s="17"/>
      <c r="N660" s="17"/>
      <c r="O660" s="17"/>
      <c r="P660" s="17"/>
    </row>
    <row r="661" spans="4:16" ht="15.75" customHeight="1" x14ac:dyDescent="0.25">
      <c r="D661" s="17"/>
      <c r="E661" s="17"/>
      <c r="F661" s="17"/>
      <c r="G661" s="17"/>
      <c r="H661" s="17"/>
      <c r="I661" s="17"/>
      <c r="J661" s="17"/>
      <c r="N661" s="17"/>
      <c r="O661" s="17"/>
      <c r="P661" s="17"/>
    </row>
    <row r="662" spans="4:16" ht="15.75" customHeight="1" x14ac:dyDescent="0.25">
      <c r="D662" s="17"/>
      <c r="E662" s="17"/>
      <c r="F662" s="17"/>
      <c r="G662" s="17"/>
      <c r="H662" s="17"/>
      <c r="I662" s="17"/>
      <c r="J662" s="17"/>
      <c r="N662" s="17"/>
      <c r="O662" s="17"/>
      <c r="P662" s="17"/>
    </row>
    <row r="663" spans="4:16" ht="15.75" customHeight="1" x14ac:dyDescent="0.25">
      <c r="D663" s="17"/>
      <c r="E663" s="17"/>
      <c r="F663" s="17"/>
      <c r="G663" s="17"/>
      <c r="H663" s="17"/>
      <c r="I663" s="17"/>
      <c r="J663" s="17"/>
      <c r="N663" s="17"/>
      <c r="O663" s="17"/>
      <c r="P663" s="17"/>
    </row>
    <row r="664" spans="4:16" ht="15.75" customHeight="1" x14ac:dyDescent="0.25">
      <c r="D664" s="17"/>
      <c r="E664" s="17"/>
      <c r="F664" s="17"/>
      <c r="G664" s="17"/>
      <c r="H664" s="17"/>
      <c r="I664" s="17"/>
      <c r="J664" s="17"/>
      <c r="N664" s="17"/>
      <c r="O664" s="17"/>
      <c r="P664" s="17"/>
    </row>
    <row r="665" spans="4:16" ht="15.75" customHeight="1" x14ac:dyDescent="0.25">
      <c r="D665" s="17"/>
      <c r="E665" s="17"/>
      <c r="F665" s="17"/>
      <c r="G665" s="17"/>
      <c r="H665" s="17"/>
      <c r="I665" s="17"/>
      <c r="J665" s="17"/>
      <c r="N665" s="17"/>
      <c r="O665" s="17"/>
      <c r="P665" s="17"/>
    </row>
    <row r="666" spans="4:16" ht="15.75" customHeight="1" x14ac:dyDescent="0.25">
      <c r="D666" s="17"/>
      <c r="E666" s="17"/>
      <c r="F666" s="17"/>
      <c r="G666" s="17"/>
      <c r="H666" s="17"/>
      <c r="I666" s="17"/>
      <c r="J666" s="17"/>
      <c r="N666" s="17"/>
      <c r="O666" s="17"/>
      <c r="P666" s="17"/>
    </row>
    <row r="667" spans="4:16" ht="15.75" customHeight="1" x14ac:dyDescent="0.25">
      <c r="D667" s="17"/>
      <c r="E667" s="17"/>
      <c r="F667" s="17"/>
      <c r="G667" s="17"/>
      <c r="H667" s="17"/>
      <c r="I667" s="17"/>
      <c r="J667" s="17"/>
      <c r="N667" s="17"/>
      <c r="O667" s="17"/>
      <c r="P667" s="17"/>
    </row>
    <row r="668" spans="4:16" ht="15.75" customHeight="1" x14ac:dyDescent="0.25">
      <c r="D668" s="17"/>
      <c r="E668" s="17"/>
      <c r="F668" s="17"/>
      <c r="G668" s="17"/>
      <c r="H668" s="17"/>
      <c r="I668" s="17"/>
      <c r="J668" s="17"/>
      <c r="N668" s="17"/>
      <c r="O668" s="17"/>
      <c r="P668" s="17"/>
    </row>
    <row r="669" spans="4:16" ht="15.75" customHeight="1" x14ac:dyDescent="0.25">
      <c r="D669" s="17"/>
      <c r="E669" s="17"/>
      <c r="F669" s="17"/>
      <c r="G669" s="17"/>
      <c r="H669" s="17"/>
      <c r="I669" s="17"/>
      <c r="J669" s="17"/>
      <c r="N669" s="17"/>
      <c r="O669" s="17"/>
      <c r="P669" s="17"/>
    </row>
    <row r="670" spans="4:16" ht="15.75" customHeight="1" x14ac:dyDescent="0.25">
      <c r="D670" s="17"/>
      <c r="E670" s="17"/>
      <c r="F670" s="17"/>
      <c r="G670" s="17"/>
      <c r="H670" s="17"/>
      <c r="I670" s="17"/>
      <c r="J670" s="17"/>
      <c r="N670" s="17"/>
      <c r="O670" s="17"/>
      <c r="P670" s="17"/>
    </row>
    <row r="671" spans="4:16" ht="15.75" customHeight="1" x14ac:dyDescent="0.25">
      <c r="D671" s="17"/>
      <c r="E671" s="17"/>
      <c r="F671" s="17"/>
      <c r="G671" s="17"/>
      <c r="H671" s="17"/>
      <c r="I671" s="17"/>
      <c r="J671" s="17"/>
      <c r="N671" s="17"/>
      <c r="O671" s="17"/>
      <c r="P671" s="17"/>
    </row>
    <row r="672" spans="4:16" ht="15.75" customHeight="1" x14ac:dyDescent="0.25">
      <c r="D672" s="17"/>
      <c r="E672" s="17"/>
      <c r="F672" s="17"/>
      <c r="G672" s="17"/>
      <c r="H672" s="17"/>
      <c r="I672" s="17"/>
      <c r="J672" s="17"/>
      <c r="N672" s="17"/>
      <c r="O672" s="17"/>
      <c r="P672" s="17"/>
    </row>
    <row r="673" spans="4:16" ht="15.75" customHeight="1" x14ac:dyDescent="0.25">
      <c r="D673" s="17"/>
      <c r="E673" s="17"/>
      <c r="F673" s="17"/>
      <c r="G673" s="17"/>
      <c r="H673" s="17"/>
      <c r="I673" s="17"/>
      <c r="J673" s="17"/>
      <c r="N673" s="17"/>
      <c r="O673" s="17"/>
      <c r="P673" s="17"/>
    </row>
    <row r="674" spans="4:16" ht="15.75" customHeight="1" x14ac:dyDescent="0.25">
      <c r="D674" s="17"/>
      <c r="E674" s="17"/>
      <c r="F674" s="17"/>
      <c r="G674" s="17"/>
      <c r="H674" s="17"/>
      <c r="I674" s="17"/>
      <c r="J674" s="17"/>
      <c r="N674" s="17"/>
      <c r="O674" s="17"/>
      <c r="P674" s="17"/>
    </row>
    <row r="675" spans="4:16" ht="15.75" customHeight="1" x14ac:dyDescent="0.25">
      <c r="D675" s="17"/>
      <c r="E675" s="17"/>
      <c r="F675" s="17"/>
      <c r="G675" s="17"/>
      <c r="H675" s="17"/>
      <c r="I675" s="17"/>
      <c r="J675" s="17"/>
      <c r="N675" s="17"/>
      <c r="O675" s="17"/>
      <c r="P675" s="17"/>
    </row>
    <row r="676" spans="4:16" ht="15.75" customHeight="1" x14ac:dyDescent="0.25">
      <c r="D676" s="17"/>
      <c r="E676" s="17"/>
      <c r="F676" s="17"/>
      <c r="G676" s="17"/>
      <c r="H676" s="17"/>
      <c r="I676" s="17"/>
      <c r="J676" s="17"/>
      <c r="N676" s="17"/>
      <c r="O676" s="17"/>
      <c r="P676" s="17"/>
    </row>
    <row r="677" spans="4:16" ht="15.75" customHeight="1" x14ac:dyDescent="0.25">
      <c r="D677" s="17"/>
      <c r="E677" s="17"/>
      <c r="F677" s="17"/>
      <c r="G677" s="17"/>
      <c r="H677" s="17"/>
      <c r="I677" s="17"/>
      <c r="J677" s="17"/>
      <c r="N677" s="17"/>
      <c r="O677" s="17"/>
      <c r="P677" s="17"/>
    </row>
    <row r="678" spans="4:16" ht="15.75" customHeight="1" x14ac:dyDescent="0.25">
      <c r="D678" s="17"/>
      <c r="E678" s="17"/>
      <c r="F678" s="17"/>
      <c r="G678" s="17"/>
      <c r="H678" s="17"/>
      <c r="I678" s="17"/>
      <c r="J678" s="17"/>
      <c r="N678" s="17"/>
      <c r="O678" s="17"/>
      <c r="P678" s="17"/>
    </row>
    <row r="679" spans="4:16" ht="15.75" customHeight="1" x14ac:dyDescent="0.25">
      <c r="D679" s="17"/>
      <c r="E679" s="17"/>
      <c r="F679" s="17"/>
      <c r="G679" s="17"/>
      <c r="H679" s="17"/>
      <c r="I679" s="17"/>
      <c r="J679" s="17"/>
      <c r="N679" s="17"/>
      <c r="O679" s="17"/>
      <c r="P679" s="17"/>
    </row>
    <row r="680" spans="4:16" ht="15.75" customHeight="1" x14ac:dyDescent="0.25">
      <c r="D680" s="17"/>
      <c r="E680" s="17"/>
      <c r="F680" s="17"/>
      <c r="G680" s="17"/>
      <c r="H680" s="17"/>
      <c r="I680" s="17"/>
      <c r="J680" s="17"/>
      <c r="N680" s="17"/>
      <c r="O680" s="17"/>
      <c r="P680" s="17"/>
    </row>
    <row r="681" spans="4:16" ht="15.75" customHeight="1" x14ac:dyDescent="0.25">
      <c r="D681" s="17"/>
      <c r="E681" s="17"/>
      <c r="F681" s="17"/>
      <c r="G681" s="17"/>
      <c r="H681" s="17"/>
      <c r="I681" s="17"/>
      <c r="J681" s="17"/>
      <c r="N681" s="17"/>
      <c r="O681" s="17"/>
      <c r="P681" s="17"/>
    </row>
    <row r="682" spans="4:16" ht="15.75" customHeight="1" x14ac:dyDescent="0.25">
      <c r="D682" s="17"/>
      <c r="E682" s="17"/>
      <c r="F682" s="17"/>
      <c r="G682" s="17"/>
      <c r="H682" s="17"/>
      <c r="I682" s="17"/>
      <c r="J682" s="17"/>
      <c r="N682" s="17"/>
      <c r="O682" s="17"/>
      <c r="P682" s="17"/>
    </row>
    <row r="683" spans="4:16" ht="15.75" customHeight="1" x14ac:dyDescent="0.25">
      <c r="D683" s="17"/>
      <c r="E683" s="17"/>
      <c r="F683" s="17"/>
      <c r="G683" s="17"/>
      <c r="H683" s="17"/>
      <c r="I683" s="17"/>
      <c r="J683" s="17"/>
      <c r="N683" s="17"/>
      <c r="O683" s="17"/>
      <c r="P683" s="17"/>
    </row>
    <row r="684" spans="4:16" ht="15.75" customHeight="1" x14ac:dyDescent="0.25">
      <c r="D684" s="17"/>
      <c r="E684" s="17"/>
      <c r="F684" s="17"/>
      <c r="G684" s="17"/>
      <c r="H684" s="17"/>
      <c r="I684" s="17"/>
      <c r="J684" s="17"/>
      <c r="N684" s="17"/>
      <c r="O684" s="17"/>
      <c r="P684" s="17"/>
    </row>
    <row r="685" spans="4:16" ht="15.75" customHeight="1" x14ac:dyDescent="0.25">
      <c r="D685" s="17"/>
      <c r="E685" s="17"/>
      <c r="F685" s="17"/>
      <c r="G685" s="17"/>
      <c r="H685" s="17"/>
      <c r="I685" s="17"/>
      <c r="J685" s="17"/>
      <c r="N685" s="17"/>
      <c r="O685" s="17"/>
      <c r="P685" s="17"/>
    </row>
    <row r="686" spans="4:16" ht="15.75" customHeight="1" x14ac:dyDescent="0.25">
      <c r="D686" s="17"/>
      <c r="E686" s="17"/>
      <c r="F686" s="17"/>
      <c r="G686" s="17"/>
      <c r="H686" s="17"/>
      <c r="I686" s="17"/>
      <c r="J686" s="17"/>
      <c r="N686" s="17"/>
      <c r="O686" s="17"/>
      <c r="P686" s="17"/>
    </row>
    <row r="687" spans="4:16" ht="15.75" customHeight="1" x14ac:dyDescent="0.25">
      <c r="D687" s="17"/>
      <c r="E687" s="17"/>
      <c r="F687" s="17"/>
      <c r="G687" s="17"/>
      <c r="H687" s="17"/>
      <c r="I687" s="17"/>
      <c r="J687" s="17"/>
      <c r="N687" s="17"/>
      <c r="O687" s="17"/>
      <c r="P687" s="17"/>
    </row>
    <row r="688" spans="4:16" ht="15.75" customHeight="1" x14ac:dyDescent="0.25">
      <c r="D688" s="17"/>
      <c r="E688" s="17"/>
      <c r="F688" s="17"/>
      <c r="G688" s="17"/>
      <c r="H688" s="17"/>
      <c r="I688" s="17"/>
      <c r="J688" s="17"/>
      <c r="N688" s="17"/>
      <c r="O688" s="17"/>
      <c r="P688" s="17"/>
    </row>
    <row r="689" spans="4:16" ht="15.75" customHeight="1" x14ac:dyDescent="0.25">
      <c r="D689" s="17"/>
      <c r="E689" s="17"/>
      <c r="F689" s="17"/>
      <c r="G689" s="17"/>
      <c r="H689" s="17"/>
      <c r="I689" s="17"/>
      <c r="J689" s="17"/>
      <c r="N689" s="17"/>
      <c r="O689" s="17"/>
      <c r="P689" s="17"/>
    </row>
    <row r="690" spans="4:16" ht="15.75" customHeight="1" x14ac:dyDescent="0.25">
      <c r="D690" s="17"/>
      <c r="E690" s="17"/>
      <c r="F690" s="17"/>
      <c r="G690" s="17"/>
      <c r="H690" s="17"/>
      <c r="I690" s="17"/>
      <c r="J690" s="17"/>
      <c r="N690" s="17"/>
      <c r="O690" s="17"/>
      <c r="P690" s="17"/>
    </row>
    <row r="691" spans="4:16" ht="15.75" customHeight="1" x14ac:dyDescent="0.25">
      <c r="D691" s="17"/>
      <c r="E691" s="17"/>
      <c r="F691" s="17"/>
      <c r="G691" s="17"/>
      <c r="H691" s="17"/>
      <c r="I691" s="17"/>
      <c r="J691" s="17"/>
      <c r="N691" s="17"/>
      <c r="O691" s="17"/>
      <c r="P691" s="17"/>
    </row>
    <row r="692" spans="4:16" ht="15.75" customHeight="1" x14ac:dyDescent="0.25">
      <c r="D692" s="17"/>
      <c r="E692" s="17"/>
      <c r="F692" s="17"/>
      <c r="G692" s="17"/>
      <c r="H692" s="17"/>
      <c r="I692" s="17"/>
      <c r="J692" s="17"/>
      <c r="N692" s="17"/>
      <c r="O692" s="17"/>
      <c r="P692" s="17"/>
    </row>
    <row r="693" spans="4:16" ht="15.75" customHeight="1" x14ac:dyDescent="0.25">
      <c r="D693" s="17"/>
      <c r="E693" s="17"/>
      <c r="F693" s="17"/>
      <c r="G693" s="17"/>
      <c r="H693" s="17"/>
      <c r="I693" s="17"/>
      <c r="J693" s="17"/>
      <c r="N693" s="17"/>
      <c r="O693" s="17"/>
      <c r="P693" s="17"/>
    </row>
    <row r="694" spans="4:16" ht="15.75" customHeight="1" x14ac:dyDescent="0.25">
      <c r="D694" s="17"/>
      <c r="E694" s="17"/>
      <c r="F694" s="17"/>
      <c r="G694" s="17"/>
      <c r="H694" s="17"/>
      <c r="I694" s="17"/>
      <c r="J694" s="17"/>
      <c r="N694" s="17"/>
      <c r="O694" s="17"/>
      <c r="P694" s="17"/>
    </row>
    <row r="695" spans="4:16" ht="15.75" customHeight="1" x14ac:dyDescent="0.25">
      <c r="D695" s="17"/>
      <c r="E695" s="17"/>
      <c r="F695" s="17"/>
      <c r="G695" s="17"/>
      <c r="H695" s="17"/>
      <c r="I695" s="17"/>
      <c r="J695" s="17"/>
      <c r="N695" s="17"/>
      <c r="O695" s="17"/>
      <c r="P695" s="17"/>
    </row>
    <row r="696" spans="4:16" ht="15.75" customHeight="1" x14ac:dyDescent="0.25">
      <c r="D696" s="17"/>
      <c r="E696" s="17"/>
      <c r="F696" s="17"/>
      <c r="G696" s="17"/>
      <c r="H696" s="17"/>
      <c r="I696" s="17"/>
      <c r="J696" s="17"/>
      <c r="N696" s="17"/>
      <c r="O696" s="17"/>
      <c r="P696" s="17"/>
    </row>
    <row r="697" spans="4:16" ht="15.75" customHeight="1" x14ac:dyDescent="0.25">
      <c r="D697" s="17"/>
      <c r="E697" s="17"/>
      <c r="F697" s="17"/>
      <c r="G697" s="17"/>
      <c r="H697" s="17"/>
      <c r="I697" s="17"/>
      <c r="J697" s="17"/>
      <c r="N697" s="17"/>
      <c r="O697" s="17"/>
      <c r="P697" s="17"/>
    </row>
    <row r="698" spans="4:16" ht="15.75" customHeight="1" x14ac:dyDescent="0.25">
      <c r="D698" s="17"/>
      <c r="E698" s="17"/>
      <c r="F698" s="17"/>
      <c r="G698" s="17"/>
      <c r="H698" s="17"/>
      <c r="I698" s="17"/>
      <c r="J698" s="17"/>
      <c r="N698" s="17"/>
      <c r="O698" s="17"/>
      <c r="P698" s="17"/>
    </row>
    <row r="699" spans="4:16" ht="15.75" customHeight="1" x14ac:dyDescent="0.25">
      <c r="D699" s="17"/>
      <c r="E699" s="17"/>
      <c r="F699" s="17"/>
      <c r="G699" s="17"/>
      <c r="H699" s="17"/>
      <c r="I699" s="17"/>
      <c r="J699" s="17"/>
      <c r="N699" s="17"/>
      <c r="O699" s="17"/>
      <c r="P699" s="17"/>
    </row>
    <row r="700" spans="4:16" ht="15.75" customHeight="1" x14ac:dyDescent="0.25">
      <c r="D700" s="17"/>
      <c r="E700" s="17"/>
      <c r="F700" s="17"/>
      <c r="G700" s="17"/>
      <c r="H700" s="17"/>
      <c r="I700" s="17"/>
      <c r="J700" s="17"/>
      <c r="N700" s="17"/>
      <c r="O700" s="17"/>
      <c r="P700" s="17"/>
    </row>
    <row r="701" spans="4:16" ht="15.75" customHeight="1" x14ac:dyDescent="0.25">
      <c r="D701" s="17"/>
      <c r="E701" s="17"/>
      <c r="F701" s="17"/>
      <c r="G701" s="17"/>
      <c r="H701" s="17"/>
      <c r="I701" s="17"/>
      <c r="J701" s="17"/>
      <c r="N701" s="17"/>
      <c r="O701" s="17"/>
      <c r="P701" s="17"/>
    </row>
    <row r="702" spans="4:16" ht="15.75" customHeight="1" x14ac:dyDescent="0.25">
      <c r="D702" s="17"/>
      <c r="E702" s="17"/>
      <c r="F702" s="17"/>
      <c r="G702" s="17"/>
      <c r="H702" s="17"/>
      <c r="I702" s="17"/>
      <c r="J702" s="17"/>
      <c r="N702" s="17"/>
      <c r="O702" s="17"/>
      <c r="P702" s="17"/>
    </row>
    <row r="703" spans="4:16" ht="15.75" customHeight="1" x14ac:dyDescent="0.25">
      <c r="D703" s="17"/>
      <c r="E703" s="17"/>
      <c r="F703" s="17"/>
      <c r="G703" s="17"/>
      <c r="H703" s="17"/>
      <c r="I703" s="17"/>
      <c r="J703" s="17"/>
      <c r="N703" s="17"/>
      <c r="O703" s="17"/>
      <c r="P703" s="17"/>
    </row>
    <row r="704" spans="4:16" ht="15.75" customHeight="1" x14ac:dyDescent="0.25">
      <c r="D704" s="17"/>
      <c r="E704" s="17"/>
      <c r="F704" s="17"/>
      <c r="G704" s="17"/>
      <c r="H704" s="17"/>
      <c r="I704" s="17"/>
      <c r="J704" s="17"/>
      <c r="N704" s="17"/>
      <c r="O704" s="17"/>
      <c r="P704" s="17"/>
    </row>
    <row r="705" spans="4:16" ht="15.75" customHeight="1" x14ac:dyDescent="0.25">
      <c r="D705" s="17"/>
      <c r="E705" s="17"/>
      <c r="F705" s="17"/>
      <c r="G705" s="17"/>
      <c r="H705" s="17"/>
      <c r="I705" s="17"/>
      <c r="J705" s="17"/>
      <c r="N705" s="17"/>
      <c r="O705" s="17"/>
      <c r="P705" s="17"/>
    </row>
    <row r="706" spans="4:16" ht="15.75" customHeight="1" x14ac:dyDescent="0.25">
      <c r="D706" s="17"/>
      <c r="E706" s="17"/>
      <c r="F706" s="17"/>
      <c r="G706" s="17"/>
      <c r="H706" s="17"/>
      <c r="I706" s="17"/>
      <c r="J706" s="17"/>
      <c r="N706" s="17"/>
      <c r="O706" s="17"/>
      <c r="P706" s="17"/>
    </row>
    <row r="707" spans="4:16" ht="15.75" customHeight="1" x14ac:dyDescent="0.25">
      <c r="D707" s="17"/>
      <c r="E707" s="17"/>
      <c r="F707" s="17"/>
      <c r="G707" s="17"/>
      <c r="H707" s="17"/>
      <c r="I707" s="17"/>
      <c r="J707" s="17"/>
      <c r="N707" s="17"/>
      <c r="O707" s="17"/>
      <c r="P707" s="17"/>
    </row>
    <row r="708" spans="4:16" ht="15.75" customHeight="1" x14ac:dyDescent="0.25">
      <c r="D708" s="17"/>
      <c r="E708" s="17"/>
      <c r="F708" s="17"/>
      <c r="G708" s="17"/>
      <c r="H708" s="17"/>
      <c r="I708" s="17"/>
      <c r="J708" s="17"/>
      <c r="N708" s="17"/>
      <c r="O708" s="17"/>
      <c r="P708" s="17"/>
    </row>
    <row r="709" spans="4:16" ht="15.75" customHeight="1" x14ac:dyDescent="0.25">
      <c r="D709" s="17"/>
      <c r="E709" s="17"/>
      <c r="F709" s="17"/>
      <c r="G709" s="17"/>
      <c r="H709" s="17"/>
      <c r="I709" s="17"/>
      <c r="J709" s="17"/>
      <c r="N709" s="17"/>
      <c r="O709" s="17"/>
      <c r="P709" s="17"/>
    </row>
    <row r="710" spans="4:16" ht="15.75" customHeight="1" x14ac:dyDescent="0.25">
      <c r="D710" s="17"/>
      <c r="E710" s="17"/>
      <c r="F710" s="17"/>
      <c r="G710" s="17"/>
      <c r="H710" s="17"/>
      <c r="I710" s="17"/>
      <c r="J710" s="17"/>
      <c r="N710" s="17"/>
      <c r="O710" s="17"/>
      <c r="P710" s="17"/>
    </row>
    <row r="711" spans="4:16" ht="15.75" customHeight="1" x14ac:dyDescent="0.25">
      <c r="D711" s="17"/>
      <c r="E711" s="17"/>
      <c r="F711" s="17"/>
      <c r="G711" s="17"/>
      <c r="H711" s="17"/>
      <c r="I711" s="17"/>
      <c r="J711" s="17"/>
      <c r="N711" s="17"/>
      <c r="O711" s="17"/>
      <c r="P711" s="17"/>
    </row>
    <row r="712" spans="4:16" ht="15.75" customHeight="1" x14ac:dyDescent="0.25">
      <c r="D712" s="17"/>
      <c r="E712" s="17"/>
      <c r="F712" s="17"/>
      <c r="G712" s="17"/>
      <c r="H712" s="17"/>
      <c r="I712" s="17"/>
      <c r="J712" s="17"/>
      <c r="N712" s="17"/>
      <c r="O712" s="17"/>
      <c r="P712" s="17"/>
    </row>
    <row r="713" spans="4:16" ht="15.75" customHeight="1" x14ac:dyDescent="0.25">
      <c r="D713" s="17"/>
      <c r="E713" s="17"/>
      <c r="F713" s="17"/>
      <c r="G713" s="17"/>
      <c r="H713" s="17"/>
      <c r="I713" s="17"/>
      <c r="J713" s="17"/>
      <c r="N713" s="17"/>
      <c r="O713" s="17"/>
      <c r="P713" s="17"/>
    </row>
    <row r="714" spans="4:16" ht="15.75" customHeight="1" x14ac:dyDescent="0.25">
      <c r="D714" s="17"/>
      <c r="E714" s="17"/>
      <c r="F714" s="17"/>
      <c r="G714" s="17"/>
      <c r="H714" s="17"/>
      <c r="I714" s="17"/>
      <c r="J714" s="17"/>
      <c r="N714" s="17"/>
      <c r="O714" s="17"/>
      <c r="P714" s="17"/>
    </row>
    <row r="715" spans="4:16" ht="15.75" customHeight="1" x14ac:dyDescent="0.25">
      <c r="D715" s="17"/>
      <c r="E715" s="17"/>
      <c r="F715" s="17"/>
      <c r="G715" s="17"/>
      <c r="H715" s="17"/>
      <c r="I715" s="17"/>
      <c r="J715" s="17"/>
      <c r="N715" s="17"/>
      <c r="O715" s="17"/>
      <c r="P715" s="17"/>
    </row>
    <row r="716" spans="4:16" ht="15.75" customHeight="1" x14ac:dyDescent="0.25">
      <c r="D716" s="17"/>
      <c r="E716" s="17"/>
      <c r="F716" s="17"/>
      <c r="G716" s="17"/>
      <c r="H716" s="17"/>
      <c r="I716" s="17"/>
      <c r="J716" s="17"/>
      <c r="N716" s="17"/>
      <c r="O716" s="17"/>
      <c r="P716" s="17"/>
    </row>
    <row r="717" spans="4:16" ht="15.75" customHeight="1" x14ac:dyDescent="0.25">
      <c r="D717" s="17"/>
      <c r="E717" s="17"/>
      <c r="F717" s="17"/>
      <c r="G717" s="17"/>
      <c r="H717" s="17"/>
      <c r="I717" s="17"/>
      <c r="J717" s="17"/>
      <c r="N717" s="17"/>
      <c r="O717" s="17"/>
      <c r="P717" s="17"/>
    </row>
    <row r="718" spans="4:16" ht="15.75" customHeight="1" x14ac:dyDescent="0.25">
      <c r="D718" s="17"/>
      <c r="E718" s="17"/>
      <c r="F718" s="17"/>
      <c r="G718" s="17"/>
      <c r="H718" s="17"/>
      <c r="I718" s="17"/>
      <c r="J718" s="17"/>
      <c r="N718" s="17"/>
      <c r="O718" s="17"/>
      <c r="P718" s="17"/>
    </row>
    <row r="719" spans="4:16" ht="15.75" customHeight="1" x14ac:dyDescent="0.25">
      <c r="D719" s="17"/>
      <c r="E719" s="17"/>
      <c r="F719" s="17"/>
      <c r="G719" s="17"/>
      <c r="H719" s="17"/>
      <c r="I719" s="17"/>
      <c r="J719" s="17"/>
      <c r="N719" s="17"/>
      <c r="O719" s="17"/>
      <c r="P719" s="17"/>
    </row>
    <row r="720" spans="4:16" ht="15.75" customHeight="1" x14ac:dyDescent="0.25">
      <c r="D720" s="17"/>
      <c r="E720" s="17"/>
      <c r="F720" s="17"/>
      <c r="G720" s="17"/>
      <c r="H720" s="17"/>
      <c r="I720" s="17"/>
      <c r="J720" s="17"/>
      <c r="N720" s="17"/>
      <c r="O720" s="17"/>
      <c r="P720" s="17"/>
    </row>
    <row r="721" spans="4:16" ht="15.75" customHeight="1" x14ac:dyDescent="0.25">
      <c r="D721" s="17"/>
      <c r="E721" s="17"/>
      <c r="F721" s="17"/>
      <c r="G721" s="17"/>
      <c r="H721" s="17"/>
      <c r="I721" s="17"/>
      <c r="J721" s="17"/>
      <c r="N721" s="17"/>
      <c r="O721" s="17"/>
      <c r="P721" s="17"/>
    </row>
    <row r="722" spans="4:16" ht="15.75" customHeight="1" x14ac:dyDescent="0.25">
      <c r="D722" s="17"/>
      <c r="E722" s="17"/>
      <c r="F722" s="17"/>
      <c r="G722" s="17"/>
      <c r="H722" s="17"/>
      <c r="I722" s="17"/>
      <c r="J722" s="17"/>
      <c r="N722" s="17"/>
      <c r="O722" s="17"/>
      <c r="P722" s="17"/>
    </row>
    <row r="723" spans="4:16" ht="15.75" customHeight="1" x14ac:dyDescent="0.25">
      <c r="D723" s="17"/>
      <c r="E723" s="17"/>
      <c r="F723" s="17"/>
      <c r="G723" s="17"/>
      <c r="H723" s="17"/>
      <c r="I723" s="17"/>
      <c r="J723" s="17"/>
      <c r="N723" s="17"/>
      <c r="O723" s="17"/>
      <c r="P723" s="17"/>
    </row>
    <row r="724" spans="4:16" ht="15.75" customHeight="1" x14ac:dyDescent="0.25">
      <c r="D724" s="17"/>
      <c r="E724" s="17"/>
      <c r="F724" s="17"/>
      <c r="G724" s="17"/>
      <c r="H724" s="17"/>
      <c r="I724" s="17"/>
      <c r="J724" s="17"/>
      <c r="N724" s="17"/>
      <c r="O724" s="17"/>
      <c r="P724" s="17"/>
    </row>
    <row r="725" spans="4:16" ht="15.75" customHeight="1" x14ac:dyDescent="0.25">
      <c r="D725" s="17"/>
      <c r="E725" s="17"/>
      <c r="F725" s="17"/>
      <c r="G725" s="17"/>
      <c r="H725" s="17"/>
      <c r="I725" s="17"/>
      <c r="J725" s="17"/>
      <c r="N725" s="17"/>
      <c r="O725" s="17"/>
      <c r="P725" s="17"/>
    </row>
    <row r="726" spans="4:16" ht="15.75" customHeight="1" x14ac:dyDescent="0.25">
      <c r="D726" s="17"/>
      <c r="E726" s="17"/>
      <c r="F726" s="17"/>
      <c r="G726" s="17"/>
      <c r="H726" s="17"/>
      <c r="I726" s="17"/>
      <c r="J726" s="17"/>
      <c r="N726" s="17"/>
      <c r="O726" s="17"/>
      <c r="P726" s="17"/>
    </row>
    <row r="727" spans="4:16" ht="15.75" customHeight="1" x14ac:dyDescent="0.25">
      <c r="D727" s="17"/>
      <c r="E727" s="17"/>
      <c r="F727" s="17"/>
      <c r="G727" s="17"/>
      <c r="H727" s="17"/>
      <c r="I727" s="17"/>
      <c r="J727" s="17"/>
      <c r="N727" s="17"/>
      <c r="O727" s="17"/>
      <c r="P727" s="17"/>
    </row>
    <row r="728" spans="4:16" ht="15.75" customHeight="1" x14ac:dyDescent="0.25">
      <c r="D728" s="17"/>
      <c r="E728" s="17"/>
      <c r="F728" s="17"/>
      <c r="G728" s="17"/>
      <c r="H728" s="17"/>
      <c r="I728" s="17"/>
      <c r="J728" s="17"/>
      <c r="N728" s="17"/>
      <c r="O728" s="17"/>
      <c r="P728" s="17"/>
    </row>
    <row r="729" spans="4:16" ht="15.75" customHeight="1" x14ac:dyDescent="0.25">
      <c r="D729" s="17"/>
      <c r="E729" s="17"/>
      <c r="F729" s="17"/>
      <c r="G729" s="17"/>
      <c r="H729" s="17"/>
      <c r="I729" s="17"/>
      <c r="J729" s="17"/>
      <c r="N729" s="17"/>
      <c r="O729" s="17"/>
      <c r="P729" s="17"/>
    </row>
    <row r="730" spans="4:16" ht="15.75" customHeight="1" x14ac:dyDescent="0.25">
      <c r="D730" s="17"/>
      <c r="E730" s="17"/>
      <c r="F730" s="17"/>
      <c r="G730" s="17"/>
      <c r="H730" s="17"/>
      <c r="I730" s="17"/>
      <c r="J730" s="17"/>
      <c r="N730" s="17"/>
      <c r="O730" s="17"/>
      <c r="P730" s="17"/>
    </row>
    <row r="731" spans="4:16" ht="15.75" customHeight="1" x14ac:dyDescent="0.25">
      <c r="D731" s="17"/>
      <c r="E731" s="17"/>
      <c r="F731" s="17"/>
      <c r="G731" s="17"/>
      <c r="H731" s="17"/>
      <c r="I731" s="17"/>
      <c r="J731" s="17"/>
      <c r="N731" s="17"/>
      <c r="O731" s="17"/>
      <c r="P731" s="17"/>
    </row>
    <row r="732" spans="4:16" ht="15.75" customHeight="1" x14ac:dyDescent="0.25">
      <c r="D732" s="17"/>
      <c r="E732" s="17"/>
      <c r="F732" s="17"/>
      <c r="G732" s="17"/>
      <c r="H732" s="17"/>
      <c r="I732" s="17"/>
      <c r="J732" s="17"/>
      <c r="N732" s="17"/>
      <c r="O732" s="17"/>
      <c r="P732" s="17"/>
    </row>
    <row r="733" spans="4:16" ht="15.75" customHeight="1" x14ac:dyDescent="0.25">
      <c r="D733" s="17"/>
      <c r="E733" s="17"/>
      <c r="F733" s="17"/>
      <c r="G733" s="17"/>
      <c r="H733" s="17"/>
      <c r="I733" s="17"/>
      <c r="J733" s="17"/>
      <c r="N733" s="17"/>
      <c r="O733" s="17"/>
      <c r="P733" s="17"/>
    </row>
    <row r="734" spans="4:16" ht="15.75" customHeight="1" x14ac:dyDescent="0.25">
      <c r="D734" s="17"/>
      <c r="E734" s="17"/>
      <c r="F734" s="17"/>
      <c r="G734" s="17"/>
      <c r="H734" s="17"/>
      <c r="I734" s="17"/>
      <c r="J734" s="17"/>
      <c r="N734" s="17"/>
      <c r="O734" s="17"/>
      <c r="P734" s="17"/>
    </row>
    <row r="735" spans="4:16" ht="15.75" customHeight="1" x14ac:dyDescent="0.25">
      <c r="D735" s="17"/>
      <c r="E735" s="17"/>
      <c r="F735" s="17"/>
      <c r="G735" s="17"/>
      <c r="H735" s="17"/>
      <c r="I735" s="17"/>
      <c r="J735" s="17"/>
      <c r="N735" s="17"/>
      <c r="O735" s="17"/>
      <c r="P735" s="17"/>
    </row>
    <row r="736" spans="4:16" ht="15.75" customHeight="1" x14ac:dyDescent="0.25">
      <c r="D736" s="17"/>
      <c r="E736" s="17"/>
      <c r="F736" s="17"/>
      <c r="G736" s="17"/>
      <c r="H736" s="17"/>
      <c r="I736" s="17"/>
      <c r="J736" s="17"/>
      <c r="N736" s="17"/>
      <c r="O736" s="17"/>
      <c r="P736" s="17"/>
    </row>
    <row r="737" spans="4:16" ht="15.75" customHeight="1" x14ac:dyDescent="0.25">
      <c r="D737" s="17"/>
      <c r="E737" s="17"/>
      <c r="F737" s="17"/>
      <c r="G737" s="17"/>
      <c r="H737" s="17"/>
      <c r="I737" s="17"/>
      <c r="J737" s="17"/>
      <c r="N737" s="17"/>
      <c r="O737" s="17"/>
      <c r="P737" s="17"/>
    </row>
    <row r="738" spans="4:16" ht="15.75" customHeight="1" x14ac:dyDescent="0.25">
      <c r="D738" s="17"/>
      <c r="E738" s="17"/>
      <c r="F738" s="17"/>
      <c r="G738" s="17"/>
      <c r="H738" s="17"/>
      <c r="I738" s="17"/>
      <c r="J738" s="17"/>
      <c r="N738" s="17"/>
      <c r="O738" s="17"/>
      <c r="P738" s="17"/>
    </row>
    <row r="739" spans="4:16" ht="15.75" customHeight="1" x14ac:dyDescent="0.25">
      <c r="D739" s="17"/>
      <c r="E739" s="17"/>
      <c r="F739" s="17"/>
      <c r="G739" s="17"/>
      <c r="H739" s="17"/>
      <c r="I739" s="17"/>
      <c r="J739" s="17"/>
      <c r="N739" s="17"/>
      <c r="O739" s="17"/>
      <c r="P739" s="17"/>
    </row>
    <row r="740" spans="4:16" ht="15.75" customHeight="1" x14ac:dyDescent="0.25">
      <c r="D740" s="17"/>
      <c r="E740" s="17"/>
      <c r="F740" s="17"/>
      <c r="G740" s="17"/>
      <c r="H740" s="17"/>
      <c r="I740" s="17"/>
      <c r="J740" s="17"/>
      <c r="N740" s="17"/>
      <c r="O740" s="17"/>
      <c r="P740" s="17"/>
    </row>
    <row r="741" spans="4:16" ht="15.75" customHeight="1" x14ac:dyDescent="0.25">
      <c r="D741" s="17"/>
      <c r="E741" s="17"/>
      <c r="F741" s="17"/>
      <c r="G741" s="17"/>
      <c r="H741" s="17"/>
      <c r="I741" s="17"/>
      <c r="J741" s="17"/>
      <c r="N741" s="17"/>
      <c r="O741" s="17"/>
      <c r="P741" s="17"/>
    </row>
    <row r="742" spans="4:16" ht="15.75" customHeight="1" x14ac:dyDescent="0.25">
      <c r="D742" s="17"/>
      <c r="E742" s="17"/>
      <c r="F742" s="17"/>
      <c r="G742" s="17"/>
      <c r="H742" s="17"/>
      <c r="I742" s="17"/>
      <c r="J742" s="17"/>
      <c r="N742" s="17"/>
      <c r="O742" s="17"/>
      <c r="P742" s="17"/>
    </row>
    <row r="743" spans="4:16" ht="15.75" customHeight="1" x14ac:dyDescent="0.25">
      <c r="D743" s="17"/>
      <c r="E743" s="17"/>
      <c r="F743" s="17"/>
      <c r="G743" s="17"/>
      <c r="H743" s="17"/>
      <c r="I743" s="17"/>
      <c r="J743" s="17"/>
      <c r="N743" s="17"/>
      <c r="O743" s="17"/>
      <c r="P743" s="17"/>
    </row>
    <row r="744" spans="4:16" ht="15.75" customHeight="1" x14ac:dyDescent="0.25">
      <c r="D744" s="17"/>
      <c r="E744" s="17"/>
      <c r="F744" s="17"/>
      <c r="G744" s="17"/>
      <c r="H744" s="17"/>
      <c r="I744" s="17"/>
      <c r="J744" s="17"/>
      <c r="N744" s="17"/>
      <c r="O744" s="17"/>
      <c r="P744" s="17"/>
    </row>
    <row r="745" spans="4:16" ht="15.75" customHeight="1" x14ac:dyDescent="0.25">
      <c r="D745" s="17"/>
      <c r="E745" s="17"/>
      <c r="F745" s="17"/>
      <c r="G745" s="17"/>
      <c r="H745" s="17"/>
      <c r="I745" s="17"/>
      <c r="J745" s="17"/>
      <c r="N745" s="17"/>
      <c r="O745" s="17"/>
      <c r="P745" s="17"/>
    </row>
    <row r="746" spans="4:16" ht="15.75" customHeight="1" x14ac:dyDescent="0.25">
      <c r="D746" s="17"/>
      <c r="E746" s="17"/>
      <c r="F746" s="17"/>
      <c r="G746" s="17"/>
      <c r="H746" s="17"/>
      <c r="I746" s="17"/>
      <c r="J746" s="17"/>
      <c r="N746" s="17"/>
      <c r="O746" s="17"/>
      <c r="P746" s="17"/>
    </row>
    <row r="747" spans="4:16" ht="15.75" customHeight="1" x14ac:dyDescent="0.25">
      <c r="D747" s="17"/>
      <c r="E747" s="17"/>
      <c r="F747" s="17"/>
      <c r="G747" s="17"/>
      <c r="H747" s="17"/>
      <c r="I747" s="17"/>
      <c r="J747" s="17"/>
      <c r="N747" s="17"/>
      <c r="O747" s="17"/>
      <c r="P747" s="17"/>
    </row>
    <row r="748" spans="4:16" ht="15.75" customHeight="1" x14ac:dyDescent="0.25">
      <c r="D748" s="17"/>
      <c r="E748" s="17"/>
      <c r="F748" s="17"/>
      <c r="G748" s="17"/>
      <c r="H748" s="17"/>
      <c r="I748" s="17"/>
      <c r="J748" s="17"/>
      <c r="N748" s="17"/>
      <c r="O748" s="17"/>
      <c r="P748" s="17"/>
    </row>
    <row r="749" spans="4:16" ht="15.75" customHeight="1" x14ac:dyDescent="0.25">
      <c r="D749" s="17"/>
      <c r="E749" s="17"/>
      <c r="F749" s="17"/>
      <c r="G749" s="17"/>
      <c r="H749" s="17"/>
      <c r="I749" s="17"/>
      <c r="J749" s="17"/>
      <c r="N749" s="17"/>
      <c r="O749" s="17"/>
      <c r="P749" s="17"/>
    </row>
    <row r="750" spans="4:16" ht="15.75" customHeight="1" x14ac:dyDescent="0.25">
      <c r="D750" s="17"/>
      <c r="E750" s="17"/>
      <c r="F750" s="17"/>
      <c r="G750" s="17"/>
      <c r="H750" s="17"/>
      <c r="I750" s="17"/>
      <c r="J750" s="17"/>
      <c r="N750" s="17"/>
      <c r="O750" s="17"/>
      <c r="P750" s="17"/>
    </row>
    <row r="751" spans="4:16" ht="15.75" customHeight="1" x14ac:dyDescent="0.25">
      <c r="D751" s="17"/>
      <c r="E751" s="17"/>
      <c r="F751" s="17"/>
      <c r="G751" s="17"/>
      <c r="H751" s="17"/>
      <c r="I751" s="17"/>
      <c r="J751" s="17"/>
      <c r="N751" s="17"/>
      <c r="O751" s="17"/>
      <c r="P751" s="17"/>
    </row>
    <row r="752" spans="4:16" ht="15.75" customHeight="1" x14ac:dyDescent="0.25">
      <c r="D752" s="17"/>
      <c r="E752" s="17"/>
      <c r="F752" s="17"/>
      <c r="G752" s="17"/>
      <c r="H752" s="17"/>
      <c r="I752" s="17"/>
      <c r="J752" s="17"/>
      <c r="N752" s="17"/>
      <c r="O752" s="17"/>
      <c r="P752" s="17"/>
    </row>
    <row r="753" spans="4:16" ht="15.75" customHeight="1" x14ac:dyDescent="0.25">
      <c r="D753" s="17"/>
      <c r="E753" s="17"/>
      <c r="F753" s="17"/>
      <c r="G753" s="17"/>
      <c r="H753" s="17"/>
      <c r="I753" s="17"/>
      <c r="J753" s="17"/>
      <c r="N753" s="17"/>
      <c r="O753" s="17"/>
      <c r="P753" s="17"/>
    </row>
    <row r="754" spans="4:16" ht="15.75" customHeight="1" x14ac:dyDescent="0.25">
      <c r="D754" s="17"/>
      <c r="E754" s="17"/>
      <c r="F754" s="17"/>
      <c r="G754" s="17"/>
      <c r="H754" s="17"/>
      <c r="I754" s="17"/>
      <c r="J754" s="17"/>
      <c r="N754" s="17"/>
      <c r="O754" s="17"/>
      <c r="P754" s="17"/>
    </row>
    <row r="755" spans="4:16" ht="15.75" customHeight="1" x14ac:dyDescent="0.25">
      <c r="D755" s="17"/>
      <c r="E755" s="17"/>
      <c r="F755" s="17"/>
      <c r="G755" s="17"/>
      <c r="H755" s="17"/>
      <c r="I755" s="17"/>
      <c r="J755" s="17"/>
      <c r="N755" s="17"/>
      <c r="O755" s="17"/>
      <c r="P755" s="17"/>
    </row>
    <row r="756" spans="4:16" ht="15.75" customHeight="1" x14ac:dyDescent="0.25">
      <c r="D756" s="17"/>
      <c r="E756" s="17"/>
      <c r="F756" s="17"/>
      <c r="G756" s="17"/>
      <c r="H756" s="17"/>
      <c r="I756" s="17"/>
      <c r="J756" s="17"/>
      <c r="N756" s="17"/>
      <c r="O756" s="17"/>
      <c r="P756" s="17"/>
    </row>
    <row r="757" spans="4:16" ht="15.75" customHeight="1" x14ac:dyDescent="0.25">
      <c r="D757" s="17"/>
      <c r="E757" s="17"/>
      <c r="F757" s="17"/>
      <c r="G757" s="17"/>
      <c r="H757" s="17"/>
      <c r="I757" s="17"/>
      <c r="J757" s="17"/>
      <c r="N757" s="17"/>
      <c r="O757" s="17"/>
      <c r="P757" s="17"/>
    </row>
    <row r="758" spans="4:16" ht="15.75" customHeight="1" x14ac:dyDescent="0.25">
      <c r="D758" s="17"/>
      <c r="E758" s="17"/>
      <c r="F758" s="17"/>
      <c r="G758" s="17"/>
      <c r="H758" s="17"/>
      <c r="I758" s="17"/>
      <c r="J758" s="17"/>
      <c r="N758" s="17"/>
      <c r="O758" s="17"/>
      <c r="P758" s="17"/>
    </row>
    <row r="759" spans="4:16" ht="15.75" customHeight="1" x14ac:dyDescent="0.25">
      <c r="D759" s="17"/>
      <c r="E759" s="17"/>
      <c r="F759" s="17"/>
      <c r="G759" s="17"/>
      <c r="H759" s="17"/>
      <c r="I759" s="17"/>
      <c r="J759" s="17"/>
      <c r="N759" s="17"/>
      <c r="O759" s="17"/>
      <c r="P759" s="17"/>
    </row>
    <row r="760" spans="4:16" ht="15.75" customHeight="1" x14ac:dyDescent="0.25">
      <c r="D760" s="17"/>
      <c r="E760" s="17"/>
      <c r="F760" s="17"/>
      <c r="G760" s="17"/>
      <c r="H760" s="17"/>
      <c r="I760" s="17"/>
      <c r="J760" s="17"/>
      <c r="N760" s="17"/>
      <c r="O760" s="17"/>
      <c r="P760" s="17"/>
    </row>
    <row r="761" spans="4:16" ht="15.75" customHeight="1" x14ac:dyDescent="0.25">
      <c r="D761" s="17"/>
      <c r="E761" s="17"/>
      <c r="F761" s="17"/>
      <c r="G761" s="17"/>
      <c r="H761" s="17"/>
      <c r="I761" s="17"/>
      <c r="J761" s="17"/>
      <c r="N761" s="17"/>
      <c r="O761" s="17"/>
      <c r="P761" s="17"/>
    </row>
    <row r="762" spans="4:16" ht="15.75" customHeight="1" x14ac:dyDescent="0.25">
      <c r="D762" s="17"/>
      <c r="E762" s="17"/>
      <c r="F762" s="17"/>
      <c r="G762" s="17"/>
      <c r="H762" s="17"/>
      <c r="I762" s="17"/>
      <c r="J762" s="17"/>
      <c r="N762" s="17"/>
      <c r="O762" s="17"/>
      <c r="P762" s="17"/>
    </row>
    <row r="763" spans="4:16" ht="15.75" customHeight="1" x14ac:dyDescent="0.25">
      <c r="D763" s="17"/>
      <c r="E763" s="17"/>
      <c r="F763" s="17"/>
      <c r="G763" s="17"/>
      <c r="H763" s="17"/>
      <c r="I763" s="17"/>
      <c r="J763" s="17"/>
      <c r="N763" s="17"/>
      <c r="O763" s="17"/>
      <c r="P763" s="17"/>
    </row>
    <row r="764" spans="4:16" ht="15.75" customHeight="1" x14ac:dyDescent="0.25">
      <c r="D764" s="17"/>
      <c r="E764" s="17"/>
      <c r="F764" s="17"/>
      <c r="G764" s="17"/>
      <c r="H764" s="17"/>
      <c r="I764" s="17"/>
      <c r="J764" s="17"/>
      <c r="N764" s="17"/>
      <c r="O764" s="17"/>
      <c r="P764" s="17"/>
    </row>
    <row r="765" spans="4:16" ht="15.75" customHeight="1" x14ac:dyDescent="0.25">
      <c r="D765" s="17"/>
      <c r="E765" s="17"/>
      <c r="F765" s="17"/>
      <c r="G765" s="17"/>
      <c r="H765" s="17"/>
      <c r="I765" s="17"/>
      <c r="J765" s="17"/>
      <c r="N765" s="17"/>
      <c r="O765" s="17"/>
      <c r="P765" s="17"/>
    </row>
    <row r="766" spans="4:16" ht="15.75" customHeight="1" x14ac:dyDescent="0.25">
      <c r="D766" s="17"/>
      <c r="E766" s="17"/>
      <c r="F766" s="17"/>
      <c r="G766" s="17"/>
      <c r="H766" s="17"/>
      <c r="I766" s="17"/>
      <c r="J766" s="17"/>
      <c r="N766" s="17"/>
      <c r="O766" s="17"/>
      <c r="P766" s="17"/>
    </row>
    <row r="767" spans="4:16" ht="15.75" customHeight="1" x14ac:dyDescent="0.25">
      <c r="D767" s="17"/>
      <c r="E767" s="17"/>
      <c r="F767" s="17"/>
      <c r="G767" s="17"/>
      <c r="H767" s="17"/>
      <c r="I767" s="17"/>
      <c r="J767" s="17"/>
      <c r="N767" s="17"/>
      <c r="O767" s="17"/>
      <c r="P767" s="17"/>
    </row>
    <row r="768" spans="4:16" ht="15.75" customHeight="1" x14ac:dyDescent="0.25">
      <c r="D768" s="17"/>
      <c r="E768" s="17"/>
      <c r="F768" s="17"/>
      <c r="G768" s="17"/>
      <c r="H768" s="17"/>
      <c r="I768" s="17"/>
      <c r="J768" s="17"/>
      <c r="N768" s="17"/>
      <c r="O768" s="17"/>
      <c r="P768" s="17"/>
    </row>
    <row r="769" spans="4:16" ht="15.75" customHeight="1" x14ac:dyDescent="0.25">
      <c r="D769" s="17"/>
      <c r="E769" s="17"/>
      <c r="F769" s="17"/>
      <c r="G769" s="17"/>
      <c r="H769" s="17"/>
      <c r="I769" s="17"/>
      <c r="J769" s="17"/>
      <c r="N769" s="17"/>
      <c r="O769" s="17"/>
      <c r="P769" s="17"/>
    </row>
    <row r="770" spans="4:16" ht="15.75" customHeight="1" x14ac:dyDescent="0.25">
      <c r="D770" s="17"/>
      <c r="E770" s="17"/>
      <c r="F770" s="17"/>
      <c r="G770" s="17"/>
      <c r="H770" s="17"/>
      <c r="I770" s="17"/>
      <c r="J770" s="17"/>
      <c r="N770" s="17"/>
      <c r="O770" s="17"/>
      <c r="P770" s="17"/>
    </row>
    <row r="771" spans="4:16" ht="15.75" customHeight="1" x14ac:dyDescent="0.25">
      <c r="D771" s="17"/>
      <c r="E771" s="17"/>
      <c r="F771" s="17"/>
      <c r="G771" s="17"/>
      <c r="H771" s="17"/>
      <c r="I771" s="17"/>
      <c r="J771" s="17"/>
      <c r="N771" s="17"/>
      <c r="O771" s="17"/>
      <c r="P771" s="17"/>
    </row>
    <row r="772" spans="4:16" ht="15.75" customHeight="1" x14ac:dyDescent="0.25">
      <c r="D772" s="17"/>
      <c r="E772" s="17"/>
      <c r="F772" s="17"/>
      <c r="G772" s="17"/>
      <c r="H772" s="17"/>
      <c r="I772" s="17"/>
      <c r="J772" s="17"/>
      <c r="N772" s="17"/>
      <c r="O772" s="17"/>
      <c r="P772" s="17"/>
    </row>
    <row r="773" spans="4:16" ht="15.75" customHeight="1" x14ac:dyDescent="0.25">
      <c r="D773" s="17"/>
      <c r="E773" s="17"/>
      <c r="F773" s="17"/>
      <c r="G773" s="17"/>
      <c r="H773" s="17"/>
      <c r="I773" s="17"/>
      <c r="J773" s="17"/>
      <c r="N773" s="17"/>
      <c r="O773" s="17"/>
      <c r="P773" s="17"/>
    </row>
    <row r="774" spans="4:16" ht="15.75" customHeight="1" x14ac:dyDescent="0.25">
      <c r="D774" s="17"/>
      <c r="E774" s="17"/>
      <c r="F774" s="17"/>
      <c r="G774" s="17"/>
      <c r="H774" s="17"/>
      <c r="I774" s="17"/>
      <c r="J774" s="17"/>
      <c r="N774" s="17"/>
      <c r="O774" s="17"/>
      <c r="P774" s="17"/>
    </row>
    <row r="775" spans="4:16" ht="15.75" customHeight="1" x14ac:dyDescent="0.25">
      <c r="D775" s="17"/>
      <c r="E775" s="17"/>
      <c r="F775" s="17"/>
      <c r="G775" s="17"/>
      <c r="H775" s="17"/>
      <c r="I775" s="17"/>
      <c r="J775" s="17"/>
      <c r="N775" s="17"/>
      <c r="O775" s="17"/>
      <c r="P775" s="17"/>
    </row>
    <row r="776" spans="4:16" ht="15.75" customHeight="1" x14ac:dyDescent="0.25">
      <c r="D776" s="17"/>
      <c r="E776" s="17"/>
      <c r="F776" s="17"/>
      <c r="G776" s="17"/>
      <c r="H776" s="17"/>
      <c r="I776" s="17"/>
      <c r="J776" s="17"/>
      <c r="N776" s="17"/>
      <c r="O776" s="17"/>
      <c r="P776" s="17"/>
    </row>
    <row r="777" spans="4:16" ht="15.75" customHeight="1" x14ac:dyDescent="0.25">
      <c r="D777" s="17"/>
      <c r="E777" s="17"/>
      <c r="F777" s="17"/>
      <c r="G777" s="17"/>
      <c r="H777" s="17"/>
      <c r="I777" s="17"/>
      <c r="J777" s="17"/>
      <c r="N777" s="17"/>
      <c r="O777" s="17"/>
      <c r="P777" s="17"/>
    </row>
    <row r="778" spans="4:16" ht="15.75" customHeight="1" x14ac:dyDescent="0.25">
      <c r="D778" s="17"/>
      <c r="E778" s="17"/>
      <c r="F778" s="17"/>
      <c r="G778" s="17"/>
      <c r="H778" s="17"/>
      <c r="I778" s="17"/>
      <c r="J778" s="17"/>
      <c r="N778" s="17"/>
      <c r="O778" s="17"/>
      <c r="P778" s="17"/>
    </row>
    <row r="779" spans="4:16" ht="15.75" customHeight="1" x14ac:dyDescent="0.25">
      <c r="D779" s="17"/>
      <c r="E779" s="17"/>
      <c r="F779" s="17"/>
      <c r="G779" s="17"/>
      <c r="H779" s="17"/>
      <c r="I779" s="17"/>
      <c r="J779" s="17"/>
      <c r="N779" s="17"/>
      <c r="O779" s="17"/>
      <c r="P779" s="17"/>
    </row>
    <row r="780" spans="4:16" ht="15.75" customHeight="1" x14ac:dyDescent="0.25">
      <c r="D780" s="17"/>
      <c r="E780" s="17"/>
      <c r="F780" s="17"/>
      <c r="G780" s="17"/>
      <c r="H780" s="17"/>
      <c r="I780" s="17"/>
      <c r="J780" s="17"/>
      <c r="N780" s="17"/>
      <c r="O780" s="17"/>
      <c r="P780" s="17"/>
    </row>
    <row r="781" spans="4:16" ht="15.75" customHeight="1" x14ac:dyDescent="0.25">
      <c r="D781" s="17"/>
      <c r="E781" s="17"/>
      <c r="F781" s="17"/>
      <c r="G781" s="17"/>
      <c r="H781" s="17"/>
      <c r="I781" s="17"/>
      <c r="J781" s="17"/>
      <c r="N781" s="17"/>
      <c r="O781" s="17"/>
      <c r="P781" s="17"/>
    </row>
    <row r="782" spans="4:16" ht="15.75" customHeight="1" x14ac:dyDescent="0.25">
      <c r="D782" s="17"/>
      <c r="E782" s="17"/>
      <c r="F782" s="17"/>
      <c r="G782" s="17"/>
      <c r="H782" s="17"/>
      <c r="I782" s="17"/>
      <c r="J782" s="17"/>
      <c r="N782" s="17"/>
      <c r="O782" s="17"/>
      <c r="P782" s="17"/>
    </row>
    <row r="783" spans="4:16" ht="15.75" customHeight="1" x14ac:dyDescent="0.25">
      <c r="D783" s="17"/>
      <c r="E783" s="17"/>
      <c r="F783" s="17"/>
      <c r="G783" s="17"/>
      <c r="H783" s="17"/>
      <c r="I783" s="17"/>
      <c r="J783" s="17"/>
      <c r="N783" s="17"/>
      <c r="O783" s="17"/>
      <c r="P783" s="17"/>
    </row>
    <row r="784" spans="4:16" ht="15.75" customHeight="1" x14ac:dyDescent="0.25">
      <c r="D784" s="17"/>
      <c r="E784" s="17"/>
      <c r="F784" s="17"/>
      <c r="G784" s="17"/>
      <c r="H784" s="17"/>
      <c r="I784" s="17"/>
      <c r="J784" s="17"/>
      <c r="N784" s="17"/>
      <c r="O784" s="17"/>
      <c r="P784" s="17"/>
    </row>
    <row r="785" spans="4:16" ht="15.75" customHeight="1" x14ac:dyDescent="0.25">
      <c r="D785" s="17"/>
      <c r="E785" s="17"/>
      <c r="F785" s="17"/>
      <c r="G785" s="17"/>
      <c r="H785" s="17"/>
      <c r="I785" s="17"/>
      <c r="J785" s="17"/>
      <c r="N785" s="17"/>
      <c r="O785" s="17"/>
      <c r="P785" s="17"/>
    </row>
    <row r="786" spans="4:16" ht="15.75" customHeight="1" x14ac:dyDescent="0.25">
      <c r="D786" s="17"/>
      <c r="E786" s="17"/>
      <c r="F786" s="17"/>
      <c r="G786" s="17"/>
      <c r="H786" s="17"/>
      <c r="I786" s="17"/>
      <c r="J786" s="17"/>
      <c r="N786" s="17"/>
      <c r="O786" s="17"/>
      <c r="P786" s="17"/>
    </row>
    <row r="787" spans="4:16" ht="15.75" customHeight="1" x14ac:dyDescent="0.25">
      <c r="D787" s="17"/>
      <c r="E787" s="17"/>
      <c r="F787" s="17"/>
      <c r="G787" s="17"/>
      <c r="H787" s="17"/>
      <c r="I787" s="17"/>
      <c r="J787" s="17"/>
      <c r="N787" s="17"/>
      <c r="O787" s="17"/>
      <c r="P787" s="17"/>
    </row>
    <row r="788" spans="4:16" ht="15.75" customHeight="1" x14ac:dyDescent="0.25">
      <c r="D788" s="17"/>
      <c r="E788" s="17"/>
      <c r="F788" s="17"/>
      <c r="G788" s="17"/>
      <c r="H788" s="17"/>
      <c r="I788" s="17"/>
      <c r="J788" s="17"/>
      <c r="N788" s="17"/>
      <c r="O788" s="17"/>
      <c r="P788" s="17"/>
    </row>
    <row r="789" spans="4:16" ht="15.75" customHeight="1" x14ac:dyDescent="0.25">
      <c r="D789" s="17"/>
      <c r="E789" s="17"/>
      <c r="F789" s="17"/>
      <c r="G789" s="17"/>
      <c r="H789" s="17"/>
      <c r="I789" s="17"/>
      <c r="J789" s="17"/>
      <c r="N789" s="17"/>
      <c r="O789" s="17"/>
      <c r="P789" s="17"/>
    </row>
    <row r="790" spans="4:16" ht="15.75" customHeight="1" x14ac:dyDescent="0.25">
      <c r="D790" s="17"/>
      <c r="E790" s="17"/>
      <c r="F790" s="17"/>
      <c r="G790" s="17"/>
      <c r="H790" s="17"/>
      <c r="I790" s="17"/>
      <c r="J790" s="17"/>
      <c r="N790" s="17"/>
      <c r="O790" s="17"/>
      <c r="P790" s="17"/>
    </row>
    <row r="791" spans="4:16" ht="15.75" customHeight="1" x14ac:dyDescent="0.25">
      <c r="D791" s="17"/>
      <c r="E791" s="17"/>
      <c r="F791" s="17"/>
      <c r="G791" s="17"/>
      <c r="H791" s="17"/>
      <c r="I791" s="17"/>
      <c r="J791" s="17"/>
      <c r="N791" s="17"/>
      <c r="O791" s="17"/>
      <c r="P791" s="17"/>
    </row>
    <row r="792" spans="4:16" ht="15.75" customHeight="1" x14ac:dyDescent="0.25">
      <c r="D792" s="17"/>
      <c r="E792" s="17"/>
      <c r="F792" s="17"/>
      <c r="G792" s="17"/>
      <c r="H792" s="17"/>
      <c r="I792" s="17"/>
      <c r="J792" s="17"/>
      <c r="N792" s="17"/>
      <c r="O792" s="17"/>
      <c r="P792" s="17"/>
    </row>
    <row r="793" spans="4:16" ht="15.75" customHeight="1" x14ac:dyDescent="0.25">
      <c r="D793" s="17"/>
      <c r="E793" s="17"/>
      <c r="F793" s="17"/>
      <c r="G793" s="17"/>
      <c r="H793" s="17"/>
      <c r="I793" s="17"/>
      <c r="J793" s="17"/>
      <c r="N793" s="17"/>
      <c r="O793" s="17"/>
      <c r="P793" s="17"/>
    </row>
    <row r="794" spans="4:16" ht="15.75" customHeight="1" x14ac:dyDescent="0.25">
      <c r="D794" s="17"/>
      <c r="E794" s="17"/>
      <c r="F794" s="17"/>
      <c r="G794" s="17"/>
      <c r="H794" s="17"/>
      <c r="I794" s="17"/>
      <c r="J794" s="17"/>
      <c r="N794" s="17"/>
      <c r="O794" s="17"/>
      <c r="P794" s="17"/>
    </row>
    <row r="795" spans="4:16" ht="15.75" customHeight="1" x14ac:dyDescent="0.25">
      <c r="D795" s="17"/>
      <c r="E795" s="17"/>
      <c r="F795" s="17"/>
      <c r="G795" s="17"/>
      <c r="H795" s="17"/>
      <c r="I795" s="17"/>
      <c r="J795" s="17"/>
      <c r="N795" s="17"/>
      <c r="O795" s="17"/>
      <c r="P795" s="17"/>
    </row>
    <row r="796" spans="4:16" ht="15.75" customHeight="1" x14ac:dyDescent="0.25">
      <c r="D796" s="17"/>
      <c r="E796" s="17"/>
      <c r="F796" s="17"/>
      <c r="G796" s="17"/>
      <c r="H796" s="17"/>
      <c r="I796" s="17"/>
      <c r="J796" s="17"/>
      <c r="N796" s="17"/>
      <c r="O796" s="17"/>
      <c r="P796" s="17"/>
    </row>
    <row r="797" spans="4:16" ht="15.75" customHeight="1" x14ac:dyDescent="0.25">
      <c r="D797" s="17"/>
      <c r="E797" s="17"/>
      <c r="F797" s="17"/>
      <c r="G797" s="17"/>
      <c r="H797" s="17"/>
      <c r="I797" s="17"/>
      <c r="J797" s="17"/>
      <c r="N797" s="17"/>
      <c r="O797" s="17"/>
      <c r="P797" s="17"/>
    </row>
    <row r="798" spans="4:16" ht="15.75" customHeight="1" x14ac:dyDescent="0.25">
      <c r="D798" s="17"/>
      <c r="E798" s="17"/>
      <c r="F798" s="17"/>
      <c r="G798" s="17"/>
      <c r="H798" s="17"/>
      <c r="I798" s="17"/>
      <c r="J798" s="17"/>
      <c r="N798" s="17"/>
      <c r="O798" s="17"/>
      <c r="P798" s="17"/>
    </row>
    <row r="799" spans="4:16" ht="15.75" customHeight="1" x14ac:dyDescent="0.25">
      <c r="D799" s="17"/>
      <c r="E799" s="17"/>
      <c r="F799" s="17"/>
      <c r="G799" s="17"/>
      <c r="H799" s="17"/>
      <c r="I799" s="17"/>
      <c r="J799" s="17"/>
      <c r="N799" s="17"/>
      <c r="O799" s="17"/>
      <c r="P799" s="17"/>
    </row>
    <row r="800" spans="4:16" ht="15.75" customHeight="1" x14ac:dyDescent="0.25">
      <c r="D800" s="17"/>
      <c r="E800" s="17"/>
      <c r="F800" s="17"/>
      <c r="G800" s="17"/>
      <c r="H800" s="17"/>
      <c r="I800" s="17"/>
      <c r="J800" s="17"/>
      <c r="N800" s="17"/>
      <c r="O800" s="17"/>
      <c r="P800" s="17"/>
    </row>
    <row r="801" spans="4:16" ht="15.75" customHeight="1" x14ac:dyDescent="0.25">
      <c r="D801" s="17"/>
      <c r="E801" s="17"/>
      <c r="F801" s="17"/>
      <c r="G801" s="17"/>
      <c r="H801" s="17"/>
      <c r="I801" s="17"/>
      <c r="J801" s="17"/>
      <c r="N801" s="17"/>
      <c r="O801" s="17"/>
      <c r="P801" s="17"/>
    </row>
    <row r="802" spans="4:16" ht="15.75" customHeight="1" x14ac:dyDescent="0.25">
      <c r="D802" s="17"/>
      <c r="E802" s="17"/>
      <c r="F802" s="17"/>
      <c r="G802" s="17"/>
      <c r="H802" s="17"/>
      <c r="I802" s="17"/>
      <c r="J802" s="17"/>
      <c r="N802" s="17"/>
      <c r="O802" s="17"/>
      <c r="P802" s="17"/>
    </row>
    <row r="803" spans="4:16" ht="15.75" customHeight="1" x14ac:dyDescent="0.25">
      <c r="D803" s="17"/>
      <c r="E803" s="17"/>
      <c r="F803" s="17"/>
      <c r="G803" s="17"/>
      <c r="H803" s="17"/>
      <c r="I803" s="17"/>
      <c r="J803" s="17"/>
      <c r="N803" s="17"/>
      <c r="O803" s="17"/>
      <c r="P803" s="17"/>
    </row>
    <row r="804" spans="4:16" ht="15.75" customHeight="1" x14ac:dyDescent="0.25">
      <c r="D804" s="17"/>
      <c r="E804" s="17"/>
      <c r="F804" s="17"/>
      <c r="G804" s="17"/>
      <c r="H804" s="17"/>
      <c r="I804" s="17"/>
      <c r="J804" s="17"/>
      <c r="N804" s="17"/>
      <c r="O804" s="17"/>
      <c r="P804" s="17"/>
    </row>
    <row r="805" spans="4:16" ht="15.75" customHeight="1" x14ac:dyDescent="0.25">
      <c r="D805" s="17"/>
      <c r="E805" s="17"/>
      <c r="F805" s="17"/>
      <c r="G805" s="17"/>
      <c r="H805" s="17"/>
      <c r="I805" s="17"/>
      <c r="J805" s="17"/>
      <c r="N805" s="17"/>
      <c r="O805" s="17"/>
      <c r="P805" s="17"/>
    </row>
    <row r="806" spans="4:16" ht="15.75" customHeight="1" x14ac:dyDescent="0.25">
      <c r="D806" s="17"/>
      <c r="E806" s="17"/>
      <c r="F806" s="17"/>
      <c r="G806" s="17"/>
      <c r="H806" s="17"/>
      <c r="I806" s="17"/>
      <c r="J806" s="17"/>
      <c r="N806" s="17"/>
      <c r="O806" s="17"/>
      <c r="P806" s="17"/>
    </row>
    <row r="807" spans="4:16" ht="15.75" customHeight="1" x14ac:dyDescent="0.25">
      <c r="D807" s="17"/>
      <c r="E807" s="17"/>
      <c r="F807" s="17"/>
      <c r="G807" s="17"/>
      <c r="H807" s="17"/>
      <c r="I807" s="17"/>
      <c r="J807" s="17"/>
      <c r="N807" s="17"/>
      <c r="O807" s="17"/>
      <c r="P807" s="17"/>
    </row>
    <row r="808" spans="4:16" ht="15.75" customHeight="1" x14ac:dyDescent="0.25">
      <c r="D808" s="17"/>
      <c r="E808" s="17"/>
      <c r="F808" s="17"/>
      <c r="G808" s="17"/>
      <c r="H808" s="17"/>
      <c r="I808" s="17"/>
      <c r="J808" s="17"/>
      <c r="N808" s="17"/>
      <c r="O808" s="17"/>
      <c r="P808" s="17"/>
    </row>
    <row r="809" spans="4:16" ht="15.75" customHeight="1" x14ac:dyDescent="0.25">
      <c r="D809" s="17"/>
      <c r="E809" s="17"/>
      <c r="F809" s="17"/>
      <c r="G809" s="17"/>
      <c r="H809" s="17"/>
      <c r="I809" s="17"/>
      <c r="J809" s="17"/>
      <c r="N809" s="17"/>
      <c r="O809" s="17"/>
      <c r="P809" s="17"/>
    </row>
    <row r="810" spans="4:16" ht="15.75" customHeight="1" x14ac:dyDescent="0.25">
      <c r="D810" s="17"/>
      <c r="E810" s="17"/>
      <c r="F810" s="17"/>
      <c r="G810" s="17"/>
      <c r="H810" s="17"/>
      <c r="I810" s="17"/>
      <c r="J810" s="17"/>
      <c r="N810" s="17"/>
      <c r="O810" s="17"/>
      <c r="P810" s="17"/>
    </row>
    <row r="811" spans="4:16" ht="15.75" customHeight="1" x14ac:dyDescent="0.25">
      <c r="D811" s="17"/>
      <c r="E811" s="17"/>
      <c r="F811" s="17"/>
      <c r="G811" s="17"/>
      <c r="H811" s="17"/>
      <c r="I811" s="17"/>
      <c r="J811" s="17"/>
      <c r="N811" s="17"/>
      <c r="O811" s="17"/>
      <c r="P811" s="17"/>
    </row>
    <row r="812" spans="4:16" ht="15.75" customHeight="1" x14ac:dyDescent="0.25">
      <c r="D812" s="17"/>
      <c r="E812" s="17"/>
      <c r="F812" s="17"/>
      <c r="G812" s="17"/>
      <c r="H812" s="17"/>
      <c r="I812" s="17"/>
      <c r="J812" s="17"/>
      <c r="N812" s="17"/>
      <c r="O812" s="17"/>
      <c r="P812" s="17"/>
    </row>
    <row r="813" spans="4:16" ht="15.75" customHeight="1" x14ac:dyDescent="0.25">
      <c r="D813" s="17"/>
      <c r="E813" s="17"/>
      <c r="F813" s="17"/>
      <c r="G813" s="17"/>
      <c r="H813" s="17"/>
      <c r="I813" s="17"/>
      <c r="J813" s="17"/>
      <c r="N813" s="17"/>
      <c r="O813" s="17"/>
      <c r="P813" s="17"/>
    </row>
    <row r="814" spans="4:16" ht="15.75" customHeight="1" x14ac:dyDescent="0.25">
      <c r="D814" s="17"/>
      <c r="E814" s="17"/>
      <c r="F814" s="17"/>
      <c r="G814" s="17"/>
      <c r="H814" s="17"/>
      <c r="I814" s="17"/>
      <c r="J814" s="17"/>
      <c r="N814" s="17"/>
      <c r="O814" s="17"/>
      <c r="P814" s="17"/>
    </row>
    <row r="815" spans="4:16" ht="15.75" customHeight="1" x14ac:dyDescent="0.25">
      <c r="D815" s="17"/>
      <c r="E815" s="17"/>
      <c r="F815" s="17"/>
      <c r="G815" s="17"/>
      <c r="H815" s="17"/>
      <c r="I815" s="17"/>
      <c r="J815" s="17"/>
      <c r="N815" s="17"/>
      <c r="O815" s="17"/>
      <c r="P815" s="17"/>
    </row>
    <row r="816" spans="4:16" ht="15.75" customHeight="1" x14ac:dyDescent="0.25">
      <c r="D816" s="17"/>
      <c r="E816" s="17"/>
      <c r="F816" s="17"/>
      <c r="G816" s="17"/>
      <c r="H816" s="17"/>
      <c r="I816" s="17"/>
      <c r="J816" s="17"/>
      <c r="N816" s="17"/>
      <c r="O816" s="17"/>
      <c r="P816" s="17"/>
    </row>
    <row r="817" spans="4:16" ht="15.75" customHeight="1" x14ac:dyDescent="0.25">
      <c r="D817" s="17"/>
      <c r="E817" s="17"/>
      <c r="F817" s="17"/>
      <c r="G817" s="17"/>
      <c r="H817" s="17"/>
      <c r="I817" s="17"/>
      <c r="J817" s="17"/>
      <c r="N817" s="17"/>
      <c r="O817" s="17"/>
      <c r="P817" s="17"/>
    </row>
    <row r="818" spans="4:16" ht="15.75" customHeight="1" x14ac:dyDescent="0.25">
      <c r="D818" s="17"/>
      <c r="E818" s="17"/>
      <c r="F818" s="17"/>
      <c r="G818" s="17"/>
      <c r="H818" s="17"/>
      <c r="I818" s="17"/>
      <c r="J818" s="17"/>
      <c r="N818" s="17"/>
      <c r="O818" s="17"/>
      <c r="P818" s="17"/>
    </row>
    <row r="819" spans="4:16" ht="15.75" customHeight="1" x14ac:dyDescent="0.25">
      <c r="D819" s="17"/>
      <c r="E819" s="17"/>
      <c r="F819" s="17"/>
      <c r="G819" s="17"/>
      <c r="H819" s="17"/>
      <c r="I819" s="17"/>
      <c r="J819" s="17"/>
      <c r="N819" s="17"/>
      <c r="O819" s="17"/>
      <c r="P819" s="17"/>
    </row>
    <row r="820" spans="4:16" ht="15.75" customHeight="1" x14ac:dyDescent="0.25">
      <c r="D820" s="17"/>
      <c r="E820" s="17"/>
      <c r="F820" s="17"/>
      <c r="G820" s="17"/>
      <c r="H820" s="17"/>
      <c r="I820" s="17"/>
      <c r="J820" s="17"/>
      <c r="N820" s="17"/>
      <c r="O820" s="17"/>
      <c r="P820" s="17"/>
    </row>
    <row r="821" spans="4:16" ht="15.75" customHeight="1" x14ac:dyDescent="0.25">
      <c r="D821" s="17"/>
      <c r="E821" s="17"/>
      <c r="F821" s="17"/>
      <c r="G821" s="17"/>
      <c r="H821" s="17"/>
      <c r="I821" s="17"/>
      <c r="J821" s="17"/>
      <c r="N821" s="17"/>
      <c r="O821" s="17"/>
      <c r="P821" s="17"/>
    </row>
    <row r="822" spans="4:16" ht="15.75" customHeight="1" x14ac:dyDescent="0.25">
      <c r="D822" s="17"/>
      <c r="E822" s="17"/>
      <c r="F822" s="17"/>
      <c r="G822" s="17"/>
      <c r="H822" s="17"/>
      <c r="I822" s="17"/>
      <c r="J822" s="17"/>
      <c r="N822" s="17"/>
      <c r="O822" s="17"/>
      <c r="P822" s="17"/>
    </row>
    <row r="823" spans="4:16" ht="15.75" customHeight="1" x14ac:dyDescent="0.25">
      <c r="D823" s="17"/>
      <c r="E823" s="17"/>
      <c r="F823" s="17"/>
      <c r="G823" s="17"/>
      <c r="H823" s="17"/>
      <c r="I823" s="17"/>
      <c r="J823" s="17"/>
      <c r="N823" s="17"/>
      <c r="O823" s="17"/>
      <c r="P823" s="17"/>
    </row>
    <row r="824" spans="4:16" ht="15.75" customHeight="1" x14ac:dyDescent="0.25">
      <c r="D824" s="17"/>
      <c r="E824" s="17"/>
      <c r="F824" s="17"/>
      <c r="G824" s="17"/>
      <c r="H824" s="17"/>
      <c r="I824" s="17"/>
      <c r="J824" s="17"/>
      <c r="N824" s="17"/>
      <c r="O824" s="17"/>
      <c r="P824" s="17"/>
    </row>
    <row r="825" spans="4:16" ht="15.75" customHeight="1" x14ac:dyDescent="0.25">
      <c r="D825" s="17"/>
      <c r="E825" s="17"/>
      <c r="F825" s="17"/>
      <c r="G825" s="17"/>
      <c r="H825" s="17"/>
      <c r="I825" s="17"/>
      <c r="J825" s="17"/>
      <c r="N825" s="17"/>
      <c r="O825" s="17"/>
      <c r="P825" s="17"/>
    </row>
    <row r="826" spans="4:16" ht="15.75" customHeight="1" x14ac:dyDescent="0.25">
      <c r="D826" s="17"/>
      <c r="E826" s="17"/>
      <c r="F826" s="17"/>
      <c r="G826" s="17"/>
      <c r="H826" s="17"/>
      <c r="I826" s="17"/>
      <c r="J826" s="17"/>
      <c r="N826" s="17"/>
      <c r="O826" s="17"/>
      <c r="P826" s="17"/>
    </row>
    <row r="827" spans="4:16" ht="15.75" customHeight="1" x14ac:dyDescent="0.25">
      <c r="D827" s="17"/>
      <c r="E827" s="17"/>
      <c r="F827" s="17"/>
      <c r="G827" s="17"/>
      <c r="H827" s="17"/>
      <c r="I827" s="17"/>
      <c r="J827" s="17"/>
      <c r="N827" s="17"/>
      <c r="O827" s="17"/>
      <c r="P827" s="17"/>
    </row>
    <row r="828" spans="4:16" ht="15.75" customHeight="1" x14ac:dyDescent="0.25">
      <c r="D828" s="17"/>
      <c r="E828" s="17"/>
      <c r="F828" s="17"/>
      <c r="G828" s="17"/>
      <c r="H828" s="17"/>
      <c r="I828" s="17"/>
      <c r="J828" s="17"/>
      <c r="N828" s="17"/>
      <c r="O828" s="17"/>
      <c r="P828" s="17"/>
    </row>
    <row r="829" spans="4:16" ht="15.75" customHeight="1" x14ac:dyDescent="0.25">
      <c r="D829" s="17"/>
      <c r="E829" s="17"/>
      <c r="F829" s="17"/>
      <c r="G829" s="17"/>
      <c r="H829" s="17"/>
      <c r="I829" s="17"/>
      <c r="J829" s="17"/>
      <c r="N829" s="17"/>
      <c r="O829" s="17"/>
      <c r="P829" s="17"/>
    </row>
    <row r="830" spans="4:16" ht="15.75" customHeight="1" x14ac:dyDescent="0.25">
      <c r="D830" s="17"/>
      <c r="E830" s="17"/>
      <c r="F830" s="17"/>
      <c r="G830" s="17"/>
      <c r="H830" s="17"/>
      <c r="I830" s="17"/>
      <c r="J830" s="17"/>
      <c r="N830" s="17"/>
      <c r="O830" s="17"/>
      <c r="P830" s="17"/>
    </row>
    <row r="831" spans="4:16" ht="15.75" customHeight="1" x14ac:dyDescent="0.25">
      <c r="D831" s="17"/>
      <c r="E831" s="17"/>
      <c r="F831" s="17"/>
      <c r="G831" s="17"/>
      <c r="H831" s="17"/>
      <c r="I831" s="17"/>
      <c r="J831" s="17"/>
      <c r="N831" s="17"/>
      <c r="O831" s="17"/>
      <c r="P831" s="17"/>
    </row>
    <row r="832" spans="4:16" ht="15.75" customHeight="1" x14ac:dyDescent="0.25">
      <c r="D832" s="17"/>
      <c r="E832" s="17"/>
      <c r="F832" s="17"/>
      <c r="G832" s="17"/>
      <c r="H832" s="17"/>
      <c r="I832" s="17"/>
      <c r="J832" s="17"/>
      <c r="N832" s="17"/>
      <c r="O832" s="17"/>
      <c r="P832" s="17"/>
    </row>
    <row r="833" spans="4:16" ht="15.75" customHeight="1" x14ac:dyDescent="0.25">
      <c r="D833" s="17"/>
      <c r="E833" s="17"/>
      <c r="F833" s="17"/>
      <c r="G833" s="17"/>
      <c r="H833" s="17"/>
      <c r="I833" s="17"/>
      <c r="J833" s="17"/>
      <c r="N833" s="17"/>
      <c r="O833" s="17"/>
      <c r="P833" s="17"/>
    </row>
    <row r="834" spans="4:16" ht="15.75" customHeight="1" x14ac:dyDescent="0.25">
      <c r="D834" s="17"/>
      <c r="E834" s="17"/>
      <c r="F834" s="17"/>
      <c r="G834" s="17"/>
      <c r="H834" s="17"/>
      <c r="I834" s="17"/>
      <c r="J834" s="17"/>
      <c r="N834" s="17"/>
      <c r="O834" s="17"/>
      <c r="P834" s="17"/>
    </row>
    <row r="835" spans="4:16" ht="15.75" customHeight="1" x14ac:dyDescent="0.25">
      <c r="D835" s="17"/>
      <c r="E835" s="17"/>
      <c r="F835" s="17"/>
      <c r="G835" s="17"/>
      <c r="H835" s="17"/>
      <c r="I835" s="17"/>
      <c r="J835" s="17"/>
      <c r="N835" s="17"/>
      <c r="O835" s="17"/>
      <c r="P835" s="17"/>
    </row>
    <row r="836" spans="4:16" ht="15.75" customHeight="1" x14ac:dyDescent="0.25">
      <c r="D836" s="17"/>
      <c r="E836" s="17"/>
      <c r="F836" s="17"/>
      <c r="G836" s="17"/>
      <c r="H836" s="17"/>
      <c r="I836" s="17"/>
      <c r="J836" s="17"/>
      <c r="N836" s="17"/>
      <c r="O836" s="17"/>
      <c r="P836" s="17"/>
    </row>
    <row r="837" spans="4:16" ht="15.75" customHeight="1" x14ac:dyDescent="0.25">
      <c r="D837" s="17"/>
      <c r="E837" s="17"/>
      <c r="F837" s="17"/>
      <c r="G837" s="17"/>
      <c r="H837" s="17"/>
      <c r="I837" s="17"/>
      <c r="J837" s="17"/>
      <c r="N837" s="17"/>
      <c r="O837" s="17"/>
      <c r="P837" s="17"/>
    </row>
    <row r="838" spans="4:16" ht="15.75" customHeight="1" x14ac:dyDescent="0.25">
      <c r="D838" s="17"/>
      <c r="E838" s="17"/>
      <c r="F838" s="17"/>
      <c r="G838" s="17"/>
      <c r="H838" s="17"/>
      <c r="I838" s="17"/>
      <c r="J838" s="17"/>
      <c r="N838" s="17"/>
      <c r="O838" s="17"/>
      <c r="P838" s="17"/>
    </row>
    <row r="839" spans="4:16" ht="15.75" customHeight="1" x14ac:dyDescent="0.25">
      <c r="D839" s="17"/>
      <c r="E839" s="17"/>
      <c r="F839" s="17"/>
      <c r="G839" s="17"/>
      <c r="H839" s="17"/>
      <c r="I839" s="17"/>
      <c r="J839" s="17"/>
      <c r="N839" s="17"/>
      <c r="O839" s="17"/>
      <c r="P839" s="17"/>
    </row>
    <row r="840" spans="4:16" ht="15.75" customHeight="1" x14ac:dyDescent="0.25">
      <c r="D840" s="17"/>
      <c r="E840" s="17"/>
      <c r="F840" s="17"/>
      <c r="G840" s="17"/>
      <c r="H840" s="17"/>
      <c r="I840" s="17"/>
      <c r="J840" s="17"/>
      <c r="N840" s="17"/>
      <c r="O840" s="17"/>
      <c r="P840" s="17"/>
    </row>
    <row r="841" spans="4:16" ht="15.75" customHeight="1" x14ac:dyDescent="0.25">
      <c r="D841" s="17"/>
      <c r="E841" s="17"/>
      <c r="F841" s="17"/>
      <c r="G841" s="17"/>
      <c r="H841" s="17"/>
      <c r="I841" s="17"/>
      <c r="J841" s="17"/>
      <c r="N841" s="17"/>
      <c r="O841" s="17"/>
      <c r="P841" s="17"/>
    </row>
    <row r="842" spans="4:16" ht="15.75" customHeight="1" x14ac:dyDescent="0.25">
      <c r="D842" s="17"/>
      <c r="E842" s="17"/>
      <c r="F842" s="17"/>
      <c r="G842" s="17"/>
      <c r="H842" s="17"/>
      <c r="I842" s="17"/>
      <c r="J842" s="17"/>
      <c r="N842" s="17"/>
      <c r="O842" s="17"/>
      <c r="P842" s="17"/>
    </row>
    <row r="843" spans="4:16" ht="15.75" customHeight="1" x14ac:dyDescent="0.25">
      <c r="D843" s="17"/>
      <c r="E843" s="17"/>
      <c r="F843" s="17"/>
      <c r="G843" s="17"/>
      <c r="H843" s="17"/>
      <c r="I843" s="17"/>
      <c r="J843" s="17"/>
      <c r="N843" s="17"/>
      <c r="O843" s="17"/>
      <c r="P843" s="17"/>
    </row>
    <row r="844" spans="4:16" ht="15.75" customHeight="1" x14ac:dyDescent="0.25">
      <c r="D844" s="17"/>
      <c r="E844" s="17"/>
      <c r="F844" s="17"/>
      <c r="G844" s="17"/>
      <c r="H844" s="17"/>
      <c r="I844" s="17"/>
      <c r="J844" s="17"/>
      <c r="N844" s="17"/>
      <c r="O844" s="17"/>
      <c r="P844" s="17"/>
    </row>
    <row r="845" spans="4:16" ht="15.75" customHeight="1" x14ac:dyDescent="0.25">
      <c r="D845" s="17"/>
      <c r="E845" s="17"/>
      <c r="F845" s="17"/>
      <c r="G845" s="17"/>
      <c r="H845" s="17"/>
      <c r="I845" s="17"/>
      <c r="J845" s="17"/>
      <c r="N845" s="17"/>
      <c r="O845" s="17"/>
      <c r="P845" s="17"/>
    </row>
    <row r="846" spans="4:16" ht="15.75" customHeight="1" x14ac:dyDescent="0.25">
      <c r="D846" s="17"/>
      <c r="E846" s="17"/>
      <c r="F846" s="17"/>
      <c r="G846" s="17"/>
      <c r="H846" s="17"/>
      <c r="I846" s="17"/>
      <c r="J846" s="17"/>
      <c r="N846" s="17"/>
      <c r="O846" s="17"/>
      <c r="P846" s="17"/>
    </row>
    <row r="847" spans="4:16" ht="15.75" customHeight="1" x14ac:dyDescent="0.25">
      <c r="D847" s="17"/>
      <c r="E847" s="17"/>
      <c r="F847" s="17"/>
      <c r="G847" s="17"/>
      <c r="H847" s="17"/>
      <c r="I847" s="17"/>
      <c r="J847" s="17"/>
      <c r="N847" s="17"/>
      <c r="O847" s="17"/>
      <c r="P847" s="17"/>
    </row>
    <row r="848" spans="4:16" ht="15.75" customHeight="1" x14ac:dyDescent="0.25">
      <c r="D848" s="17"/>
      <c r="E848" s="17"/>
      <c r="F848" s="17"/>
      <c r="G848" s="17"/>
      <c r="H848" s="17"/>
      <c r="I848" s="17"/>
      <c r="J848" s="17"/>
      <c r="N848" s="17"/>
      <c r="O848" s="17"/>
      <c r="P848" s="17"/>
    </row>
    <row r="849" spans="4:16" ht="15.75" customHeight="1" x14ac:dyDescent="0.25">
      <c r="D849" s="17"/>
      <c r="E849" s="17"/>
      <c r="F849" s="17"/>
      <c r="G849" s="17"/>
      <c r="H849" s="17"/>
      <c r="I849" s="17"/>
      <c r="J849" s="17"/>
      <c r="N849" s="17"/>
      <c r="O849" s="17"/>
      <c r="P849" s="17"/>
    </row>
    <row r="850" spans="4:16" ht="15.75" customHeight="1" x14ac:dyDescent="0.25">
      <c r="D850" s="17"/>
      <c r="E850" s="17"/>
      <c r="F850" s="17"/>
      <c r="G850" s="17"/>
      <c r="H850" s="17"/>
      <c r="I850" s="17"/>
      <c r="J850" s="17"/>
      <c r="N850" s="17"/>
      <c r="O850" s="17"/>
      <c r="P850" s="17"/>
    </row>
    <row r="851" spans="4:16" ht="15.75" customHeight="1" x14ac:dyDescent="0.25">
      <c r="D851" s="17"/>
      <c r="E851" s="17"/>
      <c r="F851" s="17"/>
      <c r="G851" s="17"/>
      <c r="H851" s="17"/>
      <c r="I851" s="17"/>
      <c r="J851" s="17"/>
      <c r="N851" s="17"/>
      <c r="O851" s="17"/>
      <c r="P851" s="17"/>
    </row>
    <row r="852" spans="4:16" ht="15.75" customHeight="1" x14ac:dyDescent="0.25">
      <c r="D852" s="17"/>
      <c r="E852" s="17"/>
      <c r="F852" s="17"/>
      <c r="G852" s="17"/>
      <c r="H852" s="17"/>
      <c r="I852" s="17"/>
      <c r="J852" s="17"/>
      <c r="N852" s="17"/>
      <c r="O852" s="17"/>
      <c r="P852" s="17"/>
    </row>
    <row r="853" spans="4:16" ht="15.75" customHeight="1" x14ac:dyDescent="0.25">
      <c r="D853" s="17"/>
      <c r="E853" s="17"/>
      <c r="F853" s="17"/>
      <c r="G853" s="17"/>
      <c r="H853" s="17"/>
      <c r="I853" s="17"/>
      <c r="J853" s="17"/>
      <c r="N853" s="17"/>
      <c r="O853" s="17"/>
      <c r="P853" s="17"/>
    </row>
    <row r="854" spans="4:16" ht="15.75" customHeight="1" x14ac:dyDescent="0.25">
      <c r="D854" s="17"/>
      <c r="E854" s="17"/>
      <c r="F854" s="17"/>
      <c r="G854" s="17"/>
      <c r="H854" s="17"/>
      <c r="I854" s="17"/>
      <c r="J854" s="17"/>
      <c r="N854" s="17"/>
      <c r="O854" s="17"/>
      <c r="P854" s="17"/>
    </row>
    <row r="855" spans="4:16" ht="15.75" customHeight="1" x14ac:dyDescent="0.25">
      <c r="D855" s="17"/>
      <c r="E855" s="17"/>
      <c r="F855" s="17"/>
      <c r="G855" s="17"/>
      <c r="H855" s="17"/>
      <c r="I855" s="17"/>
      <c r="J855" s="17"/>
      <c r="N855" s="17"/>
      <c r="O855" s="17"/>
      <c r="P855" s="17"/>
    </row>
    <row r="856" spans="4:16" ht="15.75" customHeight="1" x14ac:dyDescent="0.25">
      <c r="D856" s="17"/>
      <c r="E856" s="17"/>
      <c r="F856" s="17"/>
      <c r="G856" s="17"/>
      <c r="H856" s="17"/>
      <c r="I856" s="17"/>
      <c r="J856" s="17"/>
      <c r="N856" s="17"/>
      <c r="O856" s="17"/>
      <c r="P856" s="17"/>
    </row>
    <row r="857" spans="4:16" ht="15.75" customHeight="1" x14ac:dyDescent="0.25">
      <c r="D857" s="17"/>
      <c r="E857" s="17"/>
      <c r="F857" s="17"/>
      <c r="G857" s="17"/>
      <c r="H857" s="17"/>
      <c r="I857" s="17"/>
      <c r="J857" s="17"/>
      <c r="N857" s="17"/>
      <c r="O857" s="17"/>
      <c r="P857" s="17"/>
    </row>
    <row r="858" spans="4:16" ht="15.75" customHeight="1" x14ac:dyDescent="0.25">
      <c r="D858" s="17"/>
      <c r="E858" s="17"/>
      <c r="F858" s="17"/>
      <c r="G858" s="17"/>
      <c r="H858" s="17"/>
      <c r="I858" s="17"/>
      <c r="J858" s="17"/>
      <c r="N858" s="17"/>
      <c r="O858" s="17"/>
      <c r="P858" s="17"/>
    </row>
    <row r="859" spans="4:16" ht="15.75" customHeight="1" x14ac:dyDescent="0.25">
      <c r="D859" s="17"/>
      <c r="E859" s="17"/>
      <c r="F859" s="17"/>
      <c r="G859" s="17"/>
      <c r="H859" s="17"/>
      <c r="I859" s="17"/>
      <c r="J859" s="17"/>
      <c r="N859" s="17"/>
      <c r="O859" s="17"/>
      <c r="P859" s="17"/>
    </row>
    <row r="860" spans="4:16" ht="15.75" customHeight="1" x14ac:dyDescent="0.25">
      <c r="D860" s="17"/>
      <c r="E860" s="17"/>
      <c r="F860" s="17"/>
      <c r="G860" s="17"/>
      <c r="H860" s="17"/>
      <c r="I860" s="17"/>
      <c r="J860" s="17"/>
      <c r="N860" s="17"/>
      <c r="O860" s="17"/>
      <c r="P860" s="17"/>
    </row>
    <row r="861" spans="4:16" ht="15.75" customHeight="1" x14ac:dyDescent="0.25">
      <c r="D861" s="17"/>
      <c r="E861" s="17"/>
      <c r="F861" s="17"/>
      <c r="G861" s="17"/>
      <c r="H861" s="17"/>
      <c r="I861" s="17"/>
      <c r="J861" s="17"/>
      <c r="N861" s="17"/>
      <c r="O861" s="17"/>
      <c r="P861" s="17"/>
    </row>
    <row r="862" spans="4:16" ht="15.75" customHeight="1" x14ac:dyDescent="0.25">
      <c r="D862" s="17"/>
      <c r="E862" s="17"/>
      <c r="F862" s="17"/>
      <c r="G862" s="17"/>
      <c r="H862" s="17"/>
      <c r="I862" s="17"/>
      <c r="J862" s="17"/>
      <c r="N862" s="17"/>
      <c r="O862" s="17"/>
      <c r="P862" s="17"/>
    </row>
    <row r="863" spans="4:16" ht="15.75" customHeight="1" x14ac:dyDescent="0.25">
      <c r="D863" s="17"/>
      <c r="E863" s="17"/>
      <c r="F863" s="17"/>
      <c r="G863" s="17"/>
      <c r="H863" s="17"/>
      <c r="I863" s="17"/>
      <c r="J863" s="17"/>
      <c r="N863" s="17"/>
      <c r="O863" s="17"/>
      <c r="P863" s="17"/>
    </row>
    <row r="864" spans="4:16" ht="15.75" customHeight="1" x14ac:dyDescent="0.25">
      <c r="D864" s="17"/>
      <c r="E864" s="17"/>
      <c r="F864" s="17"/>
      <c r="G864" s="17"/>
      <c r="H864" s="17"/>
      <c r="I864" s="17"/>
      <c r="J864" s="17"/>
      <c r="N864" s="17"/>
      <c r="O864" s="17"/>
      <c r="P864" s="17"/>
    </row>
    <row r="865" spans="4:16" ht="15.75" customHeight="1" x14ac:dyDescent="0.25">
      <c r="D865" s="17"/>
      <c r="E865" s="17"/>
      <c r="F865" s="17"/>
      <c r="G865" s="17"/>
      <c r="H865" s="17"/>
      <c r="I865" s="17"/>
      <c r="J865" s="17"/>
      <c r="N865" s="17"/>
      <c r="O865" s="17"/>
      <c r="P865" s="17"/>
    </row>
    <row r="866" spans="4:16" ht="15.75" customHeight="1" x14ac:dyDescent="0.25">
      <c r="D866" s="17"/>
      <c r="E866" s="17"/>
      <c r="F866" s="17"/>
      <c r="G866" s="17"/>
      <c r="H866" s="17"/>
      <c r="I866" s="17"/>
      <c r="J866" s="17"/>
      <c r="N866" s="17"/>
      <c r="O866" s="17"/>
      <c r="P866" s="17"/>
    </row>
    <row r="867" spans="4:16" ht="15.75" customHeight="1" x14ac:dyDescent="0.25">
      <c r="D867" s="17"/>
      <c r="E867" s="17"/>
      <c r="F867" s="17"/>
      <c r="G867" s="17"/>
      <c r="H867" s="17"/>
      <c r="I867" s="17"/>
      <c r="J867" s="17"/>
      <c r="N867" s="17"/>
      <c r="O867" s="17"/>
      <c r="P867" s="17"/>
    </row>
    <row r="868" spans="4:16" ht="15.75" customHeight="1" x14ac:dyDescent="0.25">
      <c r="D868" s="17"/>
      <c r="E868" s="17"/>
      <c r="F868" s="17"/>
      <c r="G868" s="17"/>
      <c r="H868" s="17"/>
      <c r="I868" s="17"/>
      <c r="J868" s="17"/>
      <c r="N868" s="17"/>
      <c r="O868" s="17"/>
      <c r="P868" s="17"/>
    </row>
    <row r="869" spans="4:16" ht="15.75" customHeight="1" x14ac:dyDescent="0.25">
      <c r="D869" s="17"/>
      <c r="E869" s="17"/>
      <c r="F869" s="17"/>
      <c r="G869" s="17"/>
      <c r="H869" s="17"/>
      <c r="I869" s="17"/>
      <c r="J869" s="17"/>
      <c r="N869" s="17"/>
      <c r="O869" s="17"/>
      <c r="P869" s="17"/>
    </row>
    <row r="870" spans="4:16" ht="15.75" customHeight="1" x14ac:dyDescent="0.25">
      <c r="D870" s="17"/>
      <c r="E870" s="17"/>
      <c r="F870" s="17"/>
      <c r="G870" s="17"/>
      <c r="H870" s="17"/>
      <c r="I870" s="17"/>
      <c r="J870" s="17"/>
      <c r="N870" s="17"/>
      <c r="O870" s="17"/>
      <c r="P870" s="17"/>
    </row>
    <row r="871" spans="4:16" ht="15.75" customHeight="1" x14ac:dyDescent="0.25">
      <c r="D871" s="17"/>
      <c r="E871" s="17"/>
      <c r="F871" s="17"/>
      <c r="G871" s="17"/>
      <c r="H871" s="17"/>
      <c r="I871" s="17"/>
      <c r="J871" s="17"/>
      <c r="N871" s="17"/>
      <c r="O871" s="17"/>
      <c r="P871" s="17"/>
    </row>
    <row r="872" spans="4:16" ht="15.75" customHeight="1" x14ac:dyDescent="0.25">
      <c r="D872" s="17"/>
      <c r="E872" s="17"/>
      <c r="F872" s="17"/>
      <c r="G872" s="17"/>
      <c r="H872" s="17"/>
      <c r="I872" s="17"/>
      <c r="J872" s="17"/>
      <c r="N872" s="17"/>
      <c r="O872" s="17"/>
      <c r="P872" s="17"/>
    </row>
    <row r="873" spans="4:16" ht="15.75" customHeight="1" x14ac:dyDescent="0.25">
      <c r="D873" s="17"/>
      <c r="E873" s="17"/>
      <c r="F873" s="17"/>
      <c r="G873" s="17"/>
      <c r="H873" s="17"/>
      <c r="I873" s="17"/>
      <c r="J873" s="17"/>
      <c r="N873" s="17"/>
      <c r="O873" s="17"/>
      <c r="P873" s="17"/>
    </row>
    <row r="874" spans="4:16" ht="15.75" customHeight="1" x14ac:dyDescent="0.25">
      <c r="D874" s="17"/>
      <c r="E874" s="17"/>
      <c r="F874" s="17"/>
      <c r="G874" s="17"/>
      <c r="H874" s="17"/>
      <c r="I874" s="17"/>
      <c r="J874" s="17"/>
      <c r="N874" s="17"/>
      <c r="O874" s="17"/>
      <c r="P874" s="17"/>
    </row>
    <row r="875" spans="4:16" ht="15.75" customHeight="1" x14ac:dyDescent="0.25">
      <c r="D875" s="17"/>
      <c r="E875" s="17"/>
      <c r="F875" s="17"/>
      <c r="G875" s="17"/>
      <c r="H875" s="17"/>
      <c r="I875" s="17"/>
      <c r="J875" s="17"/>
      <c r="N875" s="17"/>
      <c r="O875" s="17"/>
      <c r="P875" s="17"/>
    </row>
    <row r="876" spans="4:16" ht="15.75" customHeight="1" x14ac:dyDescent="0.25">
      <c r="D876" s="17"/>
      <c r="E876" s="17"/>
      <c r="F876" s="17"/>
      <c r="G876" s="17"/>
      <c r="H876" s="17"/>
      <c r="I876" s="17"/>
      <c r="J876" s="17"/>
      <c r="N876" s="17"/>
      <c r="O876" s="17"/>
      <c r="P876" s="17"/>
    </row>
    <row r="877" spans="4:16" ht="15.75" customHeight="1" x14ac:dyDescent="0.25">
      <c r="D877" s="17"/>
      <c r="E877" s="17"/>
      <c r="F877" s="17"/>
      <c r="G877" s="17"/>
      <c r="H877" s="17"/>
      <c r="I877" s="17"/>
      <c r="J877" s="17"/>
      <c r="N877" s="17"/>
      <c r="O877" s="17"/>
      <c r="P877" s="17"/>
    </row>
    <row r="878" spans="4:16" ht="15.75" customHeight="1" x14ac:dyDescent="0.25">
      <c r="D878" s="17"/>
      <c r="E878" s="17"/>
      <c r="F878" s="17"/>
      <c r="G878" s="17"/>
      <c r="H878" s="17"/>
      <c r="I878" s="17"/>
      <c r="J878" s="17"/>
      <c r="N878" s="17"/>
      <c r="O878" s="17"/>
      <c r="P878" s="17"/>
    </row>
    <row r="879" spans="4:16" ht="15.75" customHeight="1" x14ac:dyDescent="0.25">
      <c r="D879" s="17"/>
      <c r="E879" s="17"/>
      <c r="F879" s="17"/>
      <c r="G879" s="17"/>
      <c r="H879" s="17"/>
      <c r="I879" s="17"/>
      <c r="J879" s="17"/>
      <c r="N879" s="17"/>
      <c r="O879" s="17"/>
      <c r="P879" s="17"/>
    </row>
    <row r="880" spans="4:16" ht="15.75" customHeight="1" x14ac:dyDescent="0.25">
      <c r="D880" s="17"/>
      <c r="E880" s="17"/>
      <c r="F880" s="17"/>
      <c r="G880" s="17"/>
      <c r="H880" s="17"/>
      <c r="I880" s="17"/>
      <c r="J880" s="17"/>
      <c r="N880" s="17"/>
      <c r="O880" s="17"/>
      <c r="P880" s="17"/>
    </row>
    <row r="881" spans="4:16" ht="15.75" customHeight="1" x14ac:dyDescent="0.25">
      <c r="D881" s="17"/>
      <c r="E881" s="17"/>
      <c r="F881" s="17"/>
      <c r="G881" s="17"/>
      <c r="H881" s="17"/>
      <c r="I881" s="17"/>
      <c r="J881" s="17"/>
      <c r="N881" s="17"/>
      <c r="O881" s="17"/>
      <c r="P881" s="17"/>
    </row>
    <row r="882" spans="4:16" ht="15.75" customHeight="1" x14ac:dyDescent="0.25">
      <c r="D882" s="17"/>
      <c r="E882" s="17"/>
      <c r="F882" s="17"/>
      <c r="G882" s="17"/>
      <c r="H882" s="17"/>
      <c r="I882" s="17"/>
      <c r="J882" s="17"/>
      <c r="N882" s="17"/>
      <c r="O882" s="17"/>
      <c r="P882" s="17"/>
    </row>
    <row r="883" spans="4:16" ht="15.75" customHeight="1" x14ac:dyDescent="0.25">
      <c r="D883" s="17"/>
      <c r="E883" s="17"/>
      <c r="F883" s="17"/>
      <c r="G883" s="17"/>
      <c r="H883" s="17"/>
      <c r="I883" s="17"/>
      <c r="J883" s="17"/>
      <c r="N883" s="17"/>
      <c r="O883" s="17"/>
      <c r="P883" s="17"/>
    </row>
    <row r="884" spans="4:16" ht="15.75" customHeight="1" x14ac:dyDescent="0.25">
      <c r="D884" s="17"/>
      <c r="E884" s="17"/>
      <c r="F884" s="17"/>
      <c r="G884" s="17"/>
      <c r="H884" s="17"/>
      <c r="I884" s="17"/>
      <c r="J884" s="17"/>
      <c r="N884" s="17"/>
      <c r="O884" s="17"/>
      <c r="P884" s="17"/>
    </row>
    <row r="885" spans="4:16" ht="15.75" customHeight="1" x14ac:dyDescent="0.25">
      <c r="D885" s="17"/>
      <c r="E885" s="17"/>
      <c r="F885" s="17"/>
      <c r="G885" s="17"/>
      <c r="H885" s="17"/>
      <c r="I885" s="17"/>
      <c r="J885" s="17"/>
      <c r="N885" s="17"/>
      <c r="O885" s="17"/>
      <c r="P885" s="17"/>
    </row>
    <row r="886" spans="4:16" ht="15.75" customHeight="1" x14ac:dyDescent="0.25">
      <c r="D886" s="17"/>
      <c r="E886" s="17"/>
      <c r="F886" s="17"/>
      <c r="G886" s="17"/>
      <c r="H886" s="17"/>
      <c r="I886" s="17"/>
      <c r="J886" s="17"/>
      <c r="N886" s="17"/>
      <c r="O886" s="17"/>
      <c r="P886" s="17"/>
    </row>
    <row r="887" spans="4:16" ht="15.75" customHeight="1" x14ac:dyDescent="0.25">
      <c r="D887" s="17"/>
      <c r="E887" s="17"/>
      <c r="F887" s="17"/>
      <c r="G887" s="17"/>
      <c r="H887" s="17"/>
      <c r="I887" s="17"/>
      <c r="J887" s="17"/>
      <c r="N887" s="17"/>
      <c r="O887" s="17"/>
      <c r="P887" s="17"/>
    </row>
    <row r="888" spans="4:16" ht="15.75" customHeight="1" x14ac:dyDescent="0.25">
      <c r="D888" s="17"/>
      <c r="E888" s="17"/>
      <c r="F888" s="17"/>
      <c r="G888" s="17"/>
      <c r="H888" s="17"/>
      <c r="I888" s="17"/>
      <c r="J888" s="17"/>
      <c r="N888" s="17"/>
      <c r="O888" s="17"/>
      <c r="P888" s="17"/>
    </row>
    <row r="889" spans="4:16" ht="15.75" customHeight="1" x14ac:dyDescent="0.25">
      <c r="D889" s="17"/>
      <c r="E889" s="17"/>
      <c r="F889" s="17"/>
      <c r="G889" s="17"/>
      <c r="H889" s="17"/>
      <c r="I889" s="17"/>
      <c r="J889" s="17"/>
      <c r="N889" s="17"/>
      <c r="O889" s="17"/>
      <c r="P889" s="17"/>
    </row>
    <row r="890" spans="4:16" ht="15.75" customHeight="1" x14ac:dyDescent="0.25">
      <c r="D890" s="17"/>
      <c r="E890" s="17"/>
      <c r="F890" s="17"/>
      <c r="G890" s="17"/>
      <c r="H890" s="17"/>
      <c r="I890" s="17"/>
      <c r="J890" s="17"/>
      <c r="N890" s="17"/>
      <c r="O890" s="17"/>
      <c r="P890" s="17"/>
    </row>
    <row r="891" spans="4:16" ht="15.75" customHeight="1" x14ac:dyDescent="0.25">
      <c r="D891" s="17"/>
      <c r="E891" s="17"/>
      <c r="F891" s="17"/>
      <c r="G891" s="17"/>
      <c r="H891" s="17"/>
      <c r="I891" s="17"/>
      <c r="J891" s="17"/>
      <c r="N891" s="17"/>
      <c r="O891" s="17"/>
      <c r="P891" s="17"/>
    </row>
    <row r="892" spans="4:16" ht="15.75" customHeight="1" x14ac:dyDescent="0.25">
      <c r="D892" s="17"/>
      <c r="E892" s="17"/>
      <c r="F892" s="17"/>
      <c r="G892" s="17"/>
      <c r="H892" s="17"/>
      <c r="I892" s="17"/>
      <c r="J892" s="17"/>
      <c r="N892" s="17"/>
      <c r="O892" s="17"/>
      <c r="P892" s="17"/>
    </row>
    <row r="893" spans="4:16" ht="15.75" customHeight="1" x14ac:dyDescent="0.25">
      <c r="D893" s="17"/>
      <c r="E893" s="17"/>
      <c r="F893" s="17"/>
      <c r="G893" s="17"/>
      <c r="H893" s="17"/>
      <c r="I893" s="17"/>
      <c r="J893" s="17"/>
      <c r="N893" s="17"/>
      <c r="O893" s="17"/>
      <c r="P893" s="17"/>
    </row>
    <row r="894" spans="4:16" ht="15.75" customHeight="1" x14ac:dyDescent="0.25">
      <c r="D894" s="17"/>
      <c r="E894" s="17"/>
      <c r="F894" s="17"/>
      <c r="G894" s="17"/>
      <c r="H894" s="17"/>
      <c r="I894" s="17"/>
      <c r="J894" s="17"/>
      <c r="N894" s="17"/>
      <c r="O894" s="17"/>
      <c r="P894" s="17"/>
    </row>
    <row r="895" spans="4:16" ht="15.75" customHeight="1" x14ac:dyDescent="0.25">
      <c r="D895" s="17"/>
      <c r="E895" s="17"/>
      <c r="F895" s="17"/>
      <c r="G895" s="17"/>
      <c r="H895" s="17"/>
      <c r="I895" s="17"/>
      <c r="J895" s="17"/>
      <c r="N895" s="17"/>
      <c r="O895" s="17"/>
      <c r="P895" s="17"/>
    </row>
    <row r="896" spans="4:16" ht="15.75" customHeight="1" x14ac:dyDescent="0.25">
      <c r="D896" s="17"/>
      <c r="E896" s="17"/>
      <c r="F896" s="17"/>
      <c r="G896" s="17"/>
      <c r="H896" s="17"/>
      <c r="I896" s="17"/>
      <c r="J896" s="17"/>
      <c r="N896" s="17"/>
      <c r="O896" s="17"/>
      <c r="P896" s="17"/>
    </row>
    <row r="897" spans="4:16" ht="15.75" customHeight="1" x14ac:dyDescent="0.25">
      <c r="D897" s="17"/>
      <c r="E897" s="17"/>
      <c r="F897" s="17"/>
      <c r="G897" s="17"/>
      <c r="H897" s="17"/>
      <c r="I897" s="17"/>
      <c r="J897" s="17"/>
      <c r="N897" s="17"/>
      <c r="O897" s="17"/>
      <c r="P897" s="17"/>
    </row>
    <row r="898" spans="4:16" ht="15.75" customHeight="1" x14ac:dyDescent="0.25">
      <c r="D898" s="17"/>
      <c r="E898" s="17"/>
      <c r="F898" s="17"/>
      <c r="G898" s="17"/>
      <c r="H898" s="17"/>
      <c r="I898" s="17"/>
      <c r="J898" s="17"/>
      <c r="N898" s="17"/>
      <c r="O898" s="17"/>
      <c r="P898" s="17"/>
    </row>
    <row r="899" spans="4:16" ht="15.75" customHeight="1" x14ac:dyDescent="0.25">
      <c r="D899" s="17"/>
      <c r="E899" s="17"/>
      <c r="F899" s="17"/>
      <c r="G899" s="17"/>
      <c r="H899" s="17"/>
      <c r="I899" s="17"/>
      <c r="J899" s="17"/>
      <c r="N899" s="17"/>
      <c r="O899" s="17"/>
      <c r="P899" s="17"/>
    </row>
    <row r="900" spans="4:16" ht="15.75" customHeight="1" x14ac:dyDescent="0.25">
      <c r="D900" s="17"/>
      <c r="E900" s="17"/>
      <c r="F900" s="17"/>
      <c r="G900" s="17"/>
      <c r="H900" s="17"/>
      <c r="I900" s="17"/>
      <c r="J900" s="17"/>
      <c r="N900" s="17"/>
      <c r="O900" s="17"/>
      <c r="P900" s="17"/>
    </row>
    <row r="901" spans="4:16" ht="15.75" customHeight="1" x14ac:dyDescent="0.25">
      <c r="D901" s="17"/>
      <c r="E901" s="17"/>
      <c r="F901" s="17"/>
      <c r="G901" s="17"/>
      <c r="H901" s="17"/>
      <c r="I901" s="17"/>
      <c r="J901" s="17"/>
      <c r="N901" s="17"/>
      <c r="O901" s="17"/>
      <c r="P901" s="17"/>
    </row>
    <row r="902" spans="4:16" ht="15.75" customHeight="1" x14ac:dyDescent="0.25">
      <c r="D902" s="17"/>
      <c r="E902" s="17"/>
      <c r="F902" s="17"/>
      <c r="G902" s="17"/>
      <c r="H902" s="17"/>
      <c r="I902" s="17"/>
      <c r="J902" s="17"/>
      <c r="N902" s="17"/>
      <c r="O902" s="17"/>
      <c r="P902" s="17"/>
    </row>
    <row r="903" spans="4:16" ht="15.75" customHeight="1" x14ac:dyDescent="0.25">
      <c r="D903" s="17"/>
      <c r="E903" s="17"/>
      <c r="F903" s="17"/>
      <c r="G903" s="17"/>
      <c r="H903" s="17"/>
      <c r="I903" s="17"/>
      <c r="J903" s="17"/>
      <c r="N903" s="17"/>
      <c r="O903" s="17"/>
      <c r="P903" s="17"/>
    </row>
    <row r="904" spans="4:16" ht="15.75" customHeight="1" x14ac:dyDescent="0.25">
      <c r="D904" s="17"/>
      <c r="E904" s="17"/>
      <c r="F904" s="17"/>
      <c r="G904" s="17"/>
      <c r="H904" s="17"/>
      <c r="I904" s="17"/>
      <c r="J904" s="17"/>
      <c r="N904" s="17"/>
      <c r="O904" s="17"/>
      <c r="P904" s="17"/>
    </row>
    <row r="905" spans="4:16" ht="15.75" customHeight="1" x14ac:dyDescent="0.25">
      <c r="D905" s="17"/>
      <c r="E905" s="17"/>
      <c r="F905" s="17"/>
      <c r="G905" s="17"/>
      <c r="H905" s="17"/>
      <c r="I905" s="17"/>
      <c r="J905" s="17"/>
      <c r="N905" s="17"/>
      <c r="O905" s="17"/>
      <c r="P905" s="17"/>
    </row>
    <row r="906" spans="4:16" ht="15.75" customHeight="1" x14ac:dyDescent="0.25">
      <c r="D906" s="17"/>
      <c r="E906" s="17"/>
      <c r="F906" s="17"/>
      <c r="G906" s="17"/>
      <c r="H906" s="17"/>
      <c r="I906" s="17"/>
      <c r="J906" s="17"/>
      <c r="N906" s="17"/>
      <c r="O906" s="17"/>
      <c r="P906" s="17"/>
    </row>
    <row r="907" spans="4:16" ht="15.75" customHeight="1" x14ac:dyDescent="0.25">
      <c r="D907" s="17"/>
      <c r="E907" s="17"/>
      <c r="F907" s="17"/>
      <c r="G907" s="17"/>
      <c r="H907" s="17"/>
      <c r="I907" s="17"/>
      <c r="J907" s="17"/>
      <c r="N907" s="17"/>
      <c r="O907" s="17"/>
      <c r="P907" s="17"/>
    </row>
    <row r="908" spans="4:16" ht="15.75" customHeight="1" x14ac:dyDescent="0.25">
      <c r="D908" s="17"/>
      <c r="E908" s="17"/>
      <c r="F908" s="17"/>
      <c r="G908" s="17"/>
      <c r="H908" s="17"/>
      <c r="I908" s="17"/>
      <c r="J908" s="17"/>
      <c r="N908" s="17"/>
      <c r="O908" s="17"/>
      <c r="P908" s="17"/>
    </row>
    <row r="909" spans="4:16" ht="15.75" customHeight="1" x14ac:dyDescent="0.25">
      <c r="D909" s="17"/>
      <c r="E909" s="17"/>
      <c r="F909" s="17"/>
      <c r="G909" s="17"/>
      <c r="H909" s="17"/>
      <c r="I909" s="17"/>
      <c r="J909" s="17"/>
      <c r="N909" s="17"/>
      <c r="O909" s="17"/>
      <c r="P909" s="17"/>
    </row>
    <row r="910" spans="4:16" ht="15.75" customHeight="1" x14ac:dyDescent="0.25">
      <c r="D910" s="17"/>
      <c r="E910" s="17"/>
      <c r="F910" s="17"/>
      <c r="G910" s="17"/>
      <c r="H910" s="17"/>
      <c r="I910" s="17"/>
      <c r="J910" s="17"/>
      <c r="N910" s="17"/>
      <c r="O910" s="17"/>
      <c r="P910" s="17"/>
    </row>
    <row r="911" spans="4:16" ht="15.75" customHeight="1" x14ac:dyDescent="0.25">
      <c r="D911" s="17"/>
      <c r="E911" s="17"/>
      <c r="F911" s="17"/>
      <c r="G911" s="17"/>
      <c r="H911" s="17"/>
      <c r="I911" s="17"/>
      <c r="J911" s="17"/>
      <c r="N911" s="17"/>
      <c r="O911" s="17"/>
      <c r="P911" s="17"/>
    </row>
    <row r="912" spans="4:16" ht="15.75" customHeight="1" x14ac:dyDescent="0.25">
      <c r="D912" s="17"/>
      <c r="E912" s="17"/>
      <c r="F912" s="17"/>
      <c r="G912" s="17"/>
      <c r="H912" s="17"/>
      <c r="I912" s="17"/>
      <c r="J912" s="17"/>
      <c r="N912" s="17"/>
      <c r="O912" s="17"/>
      <c r="P912" s="17"/>
    </row>
    <row r="913" spans="4:16" ht="15.75" customHeight="1" x14ac:dyDescent="0.25">
      <c r="D913" s="17"/>
      <c r="E913" s="17"/>
      <c r="F913" s="17"/>
      <c r="G913" s="17"/>
      <c r="H913" s="17"/>
      <c r="I913" s="17"/>
      <c r="J913" s="17"/>
      <c r="N913" s="17"/>
      <c r="O913" s="17"/>
      <c r="P913" s="17"/>
    </row>
    <row r="914" spans="4:16" ht="15.75" customHeight="1" x14ac:dyDescent="0.25">
      <c r="D914" s="17"/>
      <c r="E914" s="17"/>
      <c r="F914" s="17"/>
      <c r="G914" s="17"/>
      <c r="H914" s="17"/>
      <c r="I914" s="17"/>
      <c r="J914" s="17"/>
      <c r="N914" s="17"/>
      <c r="O914" s="17"/>
      <c r="P914" s="17"/>
    </row>
    <row r="915" spans="4:16" ht="15.75" customHeight="1" x14ac:dyDescent="0.25">
      <c r="D915" s="17"/>
      <c r="E915" s="17"/>
      <c r="F915" s="17"/>
      <c r="G915" s="17"/>
      <c r="H915" s="17"/>
      <c r="I915" s="17"/>
      <c r="J915" s="17"/>
      <c r="N915" s="17"/>
      <c r="O915" s="17"/>
      <c r="P915" s="17"/>
    </row>
    <row r="916" spans="4:16" ht="15.75" customHeight="1" x14ac:dyDescent="0.25">
      <c r="D916" s="17"/>
      <c r="E916" s="17"/>
      <c r="F916" s="17"/>
      <c r="G916" s="17"/>
      <c r="H916" s="17"/>
      <c r="I916" s="17"/>
      <c r="J916" s="17"/>
      <c r="N916" s="17"/>
      <c r="O916" s="17"/>
      <c r="P916" s="17"/>
    </row>
    <row r="917" spans="4:16" ht="15.75" customHeight="1" x14ac:dyDescent="0.25">
      <c r="D917" s="17"/>
      <c r="E917" s="17"/>
      <c r="F917" s="17"/>
      <c r="G917" s="17"/>
      <c r="H917" s="17"/>
      <c r="I917" s="17"/>
      <c r="J917" s="17"/>
      <c r="N917" s="17"/>
      <c r="O917" s="17"/>
      <c r="P917" s="17"/>
    </row>
    <row r="918" spans="4:16" ht="15.75" customHeight="1" x14ac:dyDescent="0.25">
      <c r="D918" s="17"/>
      <c r="E918" s="17"/>
      <c r="F918" s="17"/>
      <c r="G918" s="17"/>
      <c r="H918" s="17"/>
      <c r="I918" s="17"/>
      <c r="J918" s="17"/>
      <c r="N918" s="17"/>
      <c r="O918" s="17"/>
      <c r="P918" s="17"/>
    </row>
    <row r="919" spans="4:16" ht="15.75" customHeight="1" x14ac:dyDescent="0.25">
      <c r="D919" s="17"/>
      <c r="E919" s="17"/>
      <c r="F919" s="17"/>
      <c r="G919" s="17"/>
      <c r="H919" s="17"/>
      <c r="I919" s="17"/>
      <c r="J919" s="17"/>
      <c r="N919" s="17"/>
      <c r="O919" s="17"/>
      <c r="P919" s="17"/>
    </row>
    <row r="920" spans="4:16" ht="15.75" customHeight="1" x14ac:dyDescent="0.25">
      <c r="D920" s="17"/>
      <c r="E920" s="17"/>
      <c r="F920" s="17"/>
      <c r="G920" s="17"/>
      <c r="H920" s="17"/>
      <c r="I920" s="17"/>
      <c r="J920" s="17"/>
      <c r="N920" s="17"/>
      <c r="O920" s="17"/>
      <c r="P920" s="17"/>
    </row>
    <row r="921" spans="4:16" ht="15.75" customHeight="1" x14ac:dyDescent="0.25">
      <c r="D921" s="17"/>
      <c r="E921" s="17"/>
      <c r="F921" s="17"/>
      <c r="G921" s="17"/>
      <c r="H921" s="17"/>
      <c r="I921" s="17"/>
      <c r="J921" s="17"/>
      <c r="N921" s="17"/>
      <c r="O921" s="17"/>
      <c r="P921" s="17"/>
    </row>
    <row r="922" spans="4:16" ht="15.75" customHeight="1" x14ac:dyDescent="0.25">
      <c r="D922" s="17"/>
      <c r="E922" s="17"/>
      <c r="F922" s="17"/>
      <c r="G922" s="17"/>
      <c r="H922" s="17"/>
      <c r="I922" s="17"/>
      <c r="J922" s="17"/>
      <c r="N922" s="17"/>
      <c r="O922" s="17"/>
      <c r="P922" s="17"/>
    </row>
    <row r="923" spans="4:16" ht="15.75" customHeight="1" x14ac:dyDescent="0.25">
      <c r="D923" s="17"/>
      <c r="E923" s="17"/>
      <c r="F923" s="17"/>
      <c r="G923" s="17"/>
      <c r="H923" s="17"/>
      <c r="I923" s="17"/>
      <c r="J923" s="17"/>
      <c r="N923" s="17"/>
      <c r="O923" s="17"/>
      <c r="P923" s="17"/>
    </row>
    <row r="924" spans="4:16" ht="15.75" customHeight="1" x14ac:dyDescent="0.25">
      <c r="D924" s="17"/>
      <c r="E924" s="17"/>
      <c r="F924" s="17"/>
      <c r="G924" s="17"/>
      <c r="H924" s="17"/>
      <c r="I924" s="17"/>
      <c r="J924" s="17"/>
      <c r="N924" s="17"/>
      <c r="O924" s="17"/>
      <c r="P924" s="17"/>
    </row>
    <row r="925" spans="4:16" ht="15.75" customHeight="1" x14ac:dyDescent="0.25">
      <c r="D925" s="17"/>
      <c r="E925" s="17"/>
      <c r="F925" s="17"/>
      <c r="G925" s="17"/>
      <c r="H925" s="17"/>
      <c r="I925" s="17"/>
      <c r="J925" s="17"/>
      <c r="N925" s="17"/>
      <c r="O925" s="17"/>
      <c r="P925" s="17"/>
    </row>
    <row r="926" spans="4:16" ht="15.75" customHeight="1" x14ac:dyDescent="0.25">
      <c r="D926" s="17"/>
      <c r="E926" s="17"/>
      <c r="F926" s="17"/>
      <c r="G926" s="17"/>
      <c r="H926" s="17"/>
      <c r="I926" s="17"/>
      <c r="J926" s="17"/>
      <c r="N926" s="17"/>
      <c r="O926" s="17"/>
      <c r="P926" s="17"/>
    </row>
    <row r="927" spans="4:16" ht="15.75" customHeight="1" x14ac:dyDescent="0.25">
      <c r="D927" s="17"/>
      <c r="E927" s="17"/>
      <c r="F927" s="17"/>
      <c r="G927" s="17"/>
      <c r="H927" s="17"/>
      <c r="I927" s="17"/>
      <c r="J927" s="17"/>
      <c r="N927" s="17"/>
      <c r="O927" s="17"/>
      <c r="P927" s="17"/>
    </row>
    <row r="928" spans="4:16" ht="15.75" customHeight="1" x14ac:dyDescent="0.25">
      <c r="D928" s="17"/>
      <c r="E928" s="17"/>
      <c r="F928" s="17"/>
      <c r="G928" s="17"/>
      <c r="H928" s="17"/>
      <c r="I928" s="17"/>
      <c r="J928" s="17"/>
      <c r="N928" s="17"/>
      <c r="O928" s="17"/>
      <c r="P928" s="17"/>
    </row>
    <row r="929" spans="4:16" ht="15.75" customHeight="1" x14ac:dyDescent="0.25">
      <c r="D929" s="17"/>
      <c r="E929" s="17"/>
      <c r="F929" s="17"/>
      <c r="G929" s="17"/>
      <c r="H929" s="17"/>
      <c r="I929" s="17"/>
      <c r="J929" s="17"/>
      <c r="N929" s="17"/>
      <c r="O929" s="17"/>
      <c r="P929" s="17"/>
    </row>
    <row r="930" spans="4:16" ht="15.75" customHeight="1" x14ac:dyDescent="0.25">
      <c r="D930" s="17"/>
      <c r="E930" s="17"/>
      <c r="F930" s="17"/>
      <c r="G930" s="17"/>
      <c r="H930" s="17"/>
      <c r="I930" s="17"/>
      <c r="J930" s="17"/>
      <c r="N930" s="17"/>
      <c r="O930" s="17"/>
      <c r="P930" s="17"/>
    </row>
    <row r="931" spans="4:16" ht="15.75" customHeight="1" x14ac:dyDescent="0.25">
      <c r="D931" s="17"/>
      <c r="E931" s="17"/>
      <c r="F931" s="17"/>
      <c r="G931" s="17"/>
      <c r="H931" s="17"/>
      <c r="I931" s="17"/>
      <c r="J931" s="17"/>
      <c r="N931" s="17"/>
      <c r="O931" s="17"/>
      <c r="P931" s="17"/>
    </row>
    <row r="932" spans="4:16" ht="15.75" customHeight="1" x14ac:dyDescent="0.25">
      <c r="D932" s="17"/>
      <c r="E932" s="17"/>
      <c r="F932" s="17"/>
      <c r="G932" s="17"/>
      <c r="H932" s="17"/>
      <c r="I932" s="17"/>
      <c r="J932" s="17"/>
      <c r="N932" s="17"/>
      <c r="O932" s="17"/>
      <c r="P932" s="17"/>
    </row>
    <row r="933" spans="4:16" ht="15.75" customHeight="1" x14ac:dyDescent="0.25">
      <c r="D933" s="17"/>
      <c r="E933" s="17"/>
      <c r="F933" s="17"/>
      <c r="G933" s="17"/>
      <c r="H933" s="17"/>
      <c r="I933" s="17"/>
      <c r="J933" s="17"/>
      <c r="N933" s="17"/>
      <c r="O933" s="17"/>
      <c r="P933" s="17"/>
    </row>
    <row r="934" spans="4:16" ht="15.75" customHeight="1" x14ac:dyDescent="0.25">
      <c r="D934" s="17"/>
      <c r="E934" s="17"/>
      <c r="F934" s="17"/>
      <c r="G934" s="17"/>
      <c r="H934" s="17"/>
      <c r="I934" s="17"/>
      <c r="J934" s="17"/>
      <c r="N934" s="17"/>
      <c r="O934" s="17"/>
      <c r="P934" s="17"/>
    </row>
    <row r="935" spans="4:16" ht="15.75" customHeight="1" x14ac:dyDescent="0.25">
      <c r="D935" s="17"/>
      <c r="E935" s="17"/>
      <c r="F935" s="17"/>
      <c r="G935" s="17"/>
      <c r="H935" s="17"/>
      <c r="I935" s="17"/>
      <c r="J935" s="17"/>
      <c r="N935" s="17"/>
      <c r="O935" s="17"/>
      <c r="P935" s="17"/>
    </row>
    <row r="936" spans="4:16" ht="15.75" customHeight="1" x14ac:dyDescent="0.25">
      <c r="D936" s="17"/>
      <c r="E936" s="17"/>
      <c r="F936" s="17"/>
      <c r="G936" s="17"/>
      <c r="H936" s="17"/>
      <c r="I936" s="17"/>
      <c r="J936" s="17"/>
      <c r="N936" s="17"/>
      <c r="O936" s="17"/>
      <c r="P936" s="17"/>
    </row>
    <row r="937" spans="4:16" ht="15.75" customHeight="1" x14ac:dyDescent="0.25">
      <c r="D937" s="17"/>
      <c r="E937" s="17"/>
      <c r="F937" s="17"/>
      <c r="G937" s="17"/>
      <c r="H937" s="17"/>
      <c r="I937" s="17"/>
      <c r="J937" s="17"/>
      <c r="N937" s="17"/>
      <c r="O937" s="17"/>
      <c r="P937" s="17"/>
    </row>
    <row r="938" spans="4:16" ht="15.75" customHeight="1" x14ac:dyDescent="0.25">
      <c r="D938" s="17"/>
      <c r="E938" s="17"/>
      <c r="F938" s="17"/>
      <c r="G938" s="17"/>
      <c r="H938" s="17"/>
      <c r="I938" s="17"/>
      <c r="J938" s="17"/>
      <c r="N938" s="17"/>
      <c r="O938" s="17"/>
      <c r="P938" s="17"/>
    </row>
    <row r="939" spans="4:16" ht="15.75" customHeight="1" x14ac:dyDescent="0.25">
      <c r="D939" s="17"/>
      <c r="E939" s="17"/>
      <c r="F939" s="17"/>
      <c r="G939" s="17"/>
      <c r="H939" s="17"/>
      <c r="I939" s="17"/>
      <c r="J939" s="17"/>
      <c r="N939" s="17"/>
      <c r="O939" s="17"/>
      <c r="P939" s="17"/>
    </row>
    <row r="940" spans="4:16" ht="15.75" customHeight="1" x14ac:dyDescent="0.25">
      <c r="D940" s="17"/>
      <c r="E940" s="17"/>
      <c r="F940" s="17"/>
      <c r="G940" s="17"/>
      <c r="H940" s="17"/>
      <c r="I940" s="17"/>
      <c r="J940" s="17"/>
      <c r="N940" s="17"/>
      <c r="O940" s="17"/>
      <c r="P940" s="17"/>
    </row>
    <row r="941" spans="4:16" ht="15.75" customHeight="1" x14ac:dyDescent="0.25">
      <c r="D941" s="17"/>
      <c r="E941" s="17"/>
      <c r="F941" s="17"/>
      <c r="G941" s="17"/>
      <c r="H941" s="17"/>
      <c r="I941" s="17"/>
      <c r="J941" s="17"/>
      <c r="N941" s="17"/>
      <c r="O941" s="17"/>
      <c r="P941" s="17"/>
    </row>
    <row r="942" spans="4:16" ht="15.75" customHeight="1" x14ac:dyDescent="0.25">
      <c r="D942" s="17"/>
      <c r="E942" s="17"/>
      <c r="F942" s="17"/>
      <c r="G942" s="17"/>
      <c r="H942" s="17"/>
      <c r="I942" s="17"/>
      <c r="J942" s="17"/>
      <c r="N942" s="17"/>
      <c r="O942" s="17"/>
      <c r="P942" s="17"/>
    </row>
    <row r="943" spans="4:16" ht="15.75" customHeight="1" x14ac:dyDescent="0.25">
      <c r="D943" s="17"/>
      <c r="E943" s="17"/>
      <c r="F943" s="17"/>
      <c r="G943" s="17"/>
      <c r="H943" s="17"/>
      <c r="I943" s="17"/>
      <c r="J943" s="17"/>
      <c r="N943" s="17"/>
      <c r="O943" s="17"/>
      <c r="P943" s="17"/>
    </row>
    <row r="944" spans="4:16" ht="15.75" customHeight="1" x14ac:dyDescent="0.25">
      <c r="D944" s="17"/>
      <c r="E944" s="17"/>
      <c r="F944" s="17"/>
      <c r="G944" s="17"/>
      <c r="H944" s="17"/>
      <c r="I944" s="17"/>
      <c r="J944" s="17"/>
      <c r="N944" s="17"/>
      <c r="O944" s="17"/>
      <c r="P944" s="17"/>
    </row>
    <row r="945" spans="4:16" ht="15.75" customHeight="1" x14ac:dyDescent="0.25">
      <c r="D945" s="17"/>
      <c r="E945" s="17"/>
      <c r="F945" s="17"/>
      <c r="G945" s="17"/>
      <c r="H945" s="17"/>
      <c r="I945" s="17"/>
      <c r="J945" s="17"/>
      <c r="N945" s="17"/>
      <c r="O945" s="17"/>
      <c r="P945" s="17"/>
    </row>
    <row r="946" spans="4:16" ht="15.75" customHeight="1" x14ac:dyDescent="0.25">
      <c r="D946" s="17"/>
      <c r="E946" s="17"/>
      <c r="F946" s="17"/>
      <c r="G946" s="17"/>
      <c r="H946" s="17"/>
      <c r="I946" s="17"/>
      <c r="J946" s="17"/>
      <c r="N946" s="17"/>
      <c r="O946" s="17"/>
      <c r="P946" s="17"/>
    </row>
    <row r="947" spans="4:16" ht="15.75" customHeight="1" x14ac:dyDescent="0.25">
      <c r="D947" s="17"/>
      <c r="E947" s="17"/>
      <c r="F947" s="17"/>
      <c r="G947" s="17"/>
      <c r="H947" s="17"/>
      <c r="I947" s="17"/>
      <c r="J947" s="17"/>
      <c r="N947" s="17"/>
      <c r="O947" s="17"/>
      <c r="P947" s="17"/>
    </row>
    <row r="948" spans="4:16" ht="15.75" customHeight="1" x14ac:dyDescent="0.25">
      <c r="D948" s="17"/>
      <c r="E948" s="17"/>
      <c r="F948" s="17"/>
      <c r="G948" s="17"/>
      <c r="H948" s="17"/>
      <c r="I948" s="17"/>
      <c r="J948" s="17"/>
      <c r="N948" s="17"/>
      <c r="O948" s="17"/>
      <c r="P948" s="17"/>
    </row>
    <row r="949" spans="4:16" ht="15.75" customHeight="1" x14ac:dyDescent="0.25">
      <c r="D949" s="17"/>
      <c r="E949" s="17"/>
      <c r="F949" s="17"/>
      <c r="G949" s="17"/>
      <c r="H949" s="17"/>
      <c r="I949" s="17"/>
      <c r="J949" s="17"/>
      <c r="N949" s="17"/>
      <c r="O949" s="17"/>
      <c r="P949" s="17"/>
    </row>
    <row r="950" spans="4:16" ht="15.75" customHeight="1" x14ac:dyDescent="0.25">
      <c r="D950" s="17"/>
      <c r="E950" s="17"/>
      <c r="F950" s="17"/>
      <c r="G950" s="17"/>
      <c r="H950" s="17"/>
      <c r="I950" s="17"/>
      <c r="J950" s="17"/>
      <c r="N950" s="17"/>
      <c r="O950" s="17"/>
      <c r="P950" s="17"/>
    </row>
    <row r="951" spans="4:16" ht="15.75" customHeight="1" x14ac:dyDescent="0.25">
      <c r="D951" s="17"/>
      <c r="E951" s="17"/>
      <c r="F951" s="17"/>
      <c r="G951" s="17"/>
      <c r="H951" s="17"/>
      <c r="I951" s="17"/>
      <c r="J951" s="17"/>
      <c r="N951" s="17"/>
      <c r="O951" s="17"/>
      <c r="P951" s="17"/>
    </row>
    <row r="952" spans="4:16" ht="15.75" customHeight="1" x14ac:dyDescent="0.25">
      <c r="D952" s="17"/>
      <c r="E952" s="17"/>
      <c r="F952" s="17"/>
      <c r="G952" s="17"/>
      <c r="H952" s="17"/>
      <c r="I952" s="17"/>
      <c r="J952" s="17"/>
      <c r="N952" s="17"/>
      <c r="O952" s="17"/>
      <c r="P952" s="17"/>
    </row>
    <row r="953" spans="4:16" ht="15.75" customHeight="1" x14ac:dyDescent="0.25">
      <c r="D953" s="17"/>
      <c r="E953" s="17"/>
      <c r="F953" s="17"/>
      <c r="G953" s="17"/>
      <c r="H953" s="17"/>
      <c r="I953" s="17"/>
      <c r="J953" s="17"/>
      <c r="N953" s="17"/>
      <c r="O953" s="17"/>
      <c r="P953" s="17"/>
    </row>
    <row r="954" spans="4:16" ht="15.75" customHeight="1" x14ac:dyDescent="0.25">
      <c r="D954" s="17"/>
      <c r="E954" s="17"/>
      <c r="F954" s="17"/>
      <c r="G954" s="17"/>
      <c r="H954" s="17"/>
      <c r="I954" s="17"/>
      <c r="J954" s="17"/>
      <c r="N954" s="17"/>
      <c r="O954" s="17"/>
      <c r="P954" s="17"/>
    </row>
    <row r="955" spans="4:16" ht="15.75" customHeight="1" x14ac:dyDescent="0.25">
      <c r="D955" s="17"/>
      <c r="E955" s="17"/>
      <c r="F955" s="17"/>
      <c r="G955" s="17"/>
      <c r="H955" s="17"/>
      <c r="I955" s="17"/>
      <c r="J955" s="17"/>
      <c r="N955" s="17"/>
      <c r="O955" s="17"/>
      <c r="P955" s="17"/>
    </row>
    <row r="956" spans="4:16" ht="15.75" customHeight="1" x14ac:dyDescent="0.25">
      <c r="D956" s="17"/>
      <c r="E956" s="17"/>
      <c r="F956" s="17"/>
      <c r="G956" s="17"/>
      <c r="H956" s="17"/>
      <c r="I956" s="17"/>
      <c r="J956" s="17"/>
      <c r="N956" s="17"/>
      <c r="O956" s="17"/>
      <c r="P956" s="17"/>
    </row>
    <row r="957" spans="4:16" ht="15.75" customHeight="1" x14ac:dyDescent="0.25">
      <c r="D957" s="17"/>
      <c r="E957" s="17"/>
      <c r="F957" s="17"/>
      <c r="G957" s="17"/>
      <c r="H957" s="17"/>
      <c r="I957" s="17"/>
      <c r="J957" s="17"/>
      <c r="N957" s="17"/>
      <c r="O957" s="17"/>
      <c r="P957" s="17"/>
    </row>
    <row r="958" spans="4:16" ht="15.75" customHeight="1" x14ac:dyDescent="0.25">
      <c r="D958" s="17"/>
      <c r="E958" s="17"/>
      <c r="F958" s="17"/>
      <c r="G958" s="17"/>
      <c r="H958" s="17"/>
      <c r="I958" s="17"/>
      <c r="J958" s="17"/>
      <c r="N958" s="17"/>
      <c r="O958" s="17"/>
      <c r="P958" s="17"/>
    </row>
    <row r="959" spans="4:16" ht="15.75" customHeight="1" x14ac:dyDescent="0.25">
      <c r="D959" s="17"/>
      <c r="E959" s="17"/>
      <c r="F959" s="17"/>
      <c r="G959" s="17"/>
      <c r="H959" s="17"/>
      <c r="I959" s="17"/>
      <c r="J959" s="17"/>
      <c r="N959" s="17"/>
      <c r="O959" s="17"/>
      <c r="P959" s="17"/>
    </row>
    <row r="960" spans="4:16" ht="15.75" customHeight="1" x14ac:dyDescent="0.25">
      <c r="D960" s="17"/>
      <c r="E960" s="17"/>
      <c r="F960" s="17"/>
      <c r="G960" s="17"/>
      <c r="H960" s="17"/>
      <c r="I960" s="17"/>
      <c r="J960" s="17"/>
      <c r="N960" s="17"/>
      <c r="O960" s="17"/>
      <c r="P960" s="17"/>
    </row>
    <row r="961" spans="4:16" ht="15.75" customHeight="1" x14ac:dyDescent="0.25">
      <c r="D961" s="17"/>
      <c r="E961" s="17"/>
      <c r="F961" s="17"/>
      <c r="G961" s="17"/>
      <c r="H961" s="17"/>
      <c r="I961" s="17"/>
      <c r="J961" s="17"/>
      <c r="N961" s="17"/>
      <c r="O961" s="17"/>
      <c r="P961" s="17"/>
    </row>
    <row r="962" spans="4:16" ht="15.75" customHeight="1" x14ac:dyDescent="0.25">
      <c r="D962" s="17"/>
      <c r="E962" s="17"/>
      <c r="F962" s="17"/>
      <c r="G962" s="17"/>
      <c r="H962" s="17"/>
      <c r="I962" s="17"/>
      <c r="J962" s="17"/>
      <c r="N962" s="17"/>
      <c r="O962" s="17"/>
      <c r="P962" s="17"/>
    </row>
    <row r="963" spans="4:16" ht="15.75" customHeight="1" x14ac:dyDescent="0.25">
      <c r="D963" s="17"/>
      <c r="E963" s="17"/>
      <c r="F963" s="17"/>
      <c r="G963" s="17"/>
      <c r="H963" s="17"/>
      <c r="I963" s="17"/>
      <c r="J963" s="17"/>
      <c r="N963" s="17"/>
      <c r="O963" s="17"/>
      <c r="P963" s="17"/>
    </row>
    <row r="964" spans="4:16" ht="15.75" customHeight="1" x14ac:dyDescent="0.25">
      <c r="D964" s="17"/>
      <c r="E964" s="17"/>
      <c r="F964" s="17"/>
      <c r="G964" s="17"/>
      <c r="H964" s="17"/>
      <c r="I964" s="17"/>
      <c r="J964" s="17"/>
      <c r="N964" s="17"/>
      <c r="O964" s="17"/>
      <c r="P964" s="17"/>
    </row>
    <row r="965" spans="4:16" ht="15.75" customHeight="1" x14ac:dyDescent="0.25">
      <c r="D965" s="17"/>
      <c r="E965" s="17"/>
      <c r="F965" s="17"/>
      <c r="G965" s="17"/>
      <c r="H965" s="17"/>
      <c r="I965" s="17"/>
      <c r="J965" s="17"/>
      <c r="N965" s="17"/>
      <c r="O965" s="17"/>
      <c r="P965" s="17"/>
    </row>
    <row r="966" spans="4:16" ht="15.75" customHeight="1" x14ac:dyDescent="0.25">
      <c r="D966" s="17"/>
      <c r="E966" s="17"/>
      <c r="F966" s="17"/>
      <c r="G966" s="17"/>
      <c r="H966" s="17"/>
      <c r="I966" s="17"/>
      <c r="J966" s="17"/>
      <c r="N966" s="17"/>
      <c r="O966" s="17"/>
      <c r="P966" s="17"/>
    </row>
    <row r="967" spans="4:16" ht="15.75" customHeight="1" x14ac:dyDescent="0.25">
      <c r="D967" s="17"/>
      <c r="E967" s="17"/>
      <c r="F967" s="17"/>
      <c r="G967" s="17"/>
      <c r="H967" s="17"/>
      <c r="I967" s="17"/>
      <c r="J967" s="17"/>
      <c r="N967" s="17"/>
      <c r="O967" s="17"/>
      <c r="P967" s="17"/>
    </row>
    <row r="968" spans="4:16" ht="15.75" customHeight="1" x14ac:dyDescent="0.25">
      <c r="D968" s="17"/>
      <c r="E968" s="17"/>
      <c r="F968" s="17"/>
      <c r="G968" s="17"/>
      <c r="H968" s="17"/>
      <c r="I968" s="17"/>
      <c r="J968" s="17"/>
      <c r="N968" s="17"/>
      <c r="O968" s="17"/>
      <c r="P968" s="17"/>
    </row>
    <row r="969" spans="4:16" ht="15.75" customHeight="1" x14ac:dyDescent="0.25">
      <c r="D969" s="17"/>
      <c r="E969" s="17"/>
      <c r="F969" s="17"/>
      <c r="G969" s="17"/>
      <c r="H969" s="17"/>
      <c r="I969" s="17"/>
      <c r="J969" s="17"/>
      <c r="N969" s="17"/>
      <c r="O969" s="17"/>
      <c r="P969" s="17"/>
    </row>
    <row r="970" spans="4:16" ht="15.75" customHeight="1" x14ac:dyDescent="0.25">
      <c r="D970" s="17"/>
      <c r="E970" s="17"/>
      <c r="F970" s="17"/>
      <c r="G970" s="17"/>
      <c r="H970" s="17"/>
      <c r="I970" s="17"/>
      <c r="J970" s="17"/>
      <c r="N970" s="17"/>
      <c r="O970" s="17"/>
      <c r="P970" s="17"/>
    </row>
    <row r="971" spans="4:16" ht="15.75" customHeight="1" x14ac:dyDescent="0.25">
      <c r="D971" s="17"/>
      <c r="E971" s="17"/>
      <c r="F971" s="17"/>
      <c r="G971" s="17"/>
      <c r="H971" s="17"/>
      <c r="I971" s="17"/>
      <c r="J971" s="17"/>
      <c r="N971" s="17"/>
      <c r="O971" s="17"/>
      <c r="P971" s="17"/>
    </row>
    <row r="972" spans="4:16" ht="15.75" customHeight="1" x14ac:dyDescent="0.25">
      <c r="D972" s="17"/>
      <c r="E972" s="17"/>
      <c r="F972" s="17"/>
      <c r="G972" s="17"/>
      <c r="H972" s="17"/>
      <c r="I972" s="17"/>
      <c r="J972" s="17"/>
      <c r="N972" s="17"/>
      <c r="O972" s="17"/>
      <c r="P972" s="17"/>
    </row>
    <row r="973" spans="4:16" ht="15.75" customHeight="1" x14ac:dyDescent="0.25">
      <c r="D973" s="17"/>
      <c r="E973" s="17"/>
      <c r="F973" s="17"/>
      <c r="G973" s="17"/>
      <c r="H973" s="17"/>
      <c r="I973" s="17"/>
      <c r="J973" s="17"/>
      <c r="N973" s="17"/>
      <c r="O973" s="17"/>
      <c r="P973" s="17"/>
    </row>
    <row r="974" spans="4:16" ht="15.75" customHeight="1" x14ac:dyDescent="0.25">
      <c r="D974" s="17"/>
      <c r="E974" s="17"/>
      <c r="F974" s="17"/>
      <c r="G974" s="17"/>
      <c r="H974" s="17"/>
      <c r="I974" s="17"/>
      <c r="J974" s="17"/>
      <c r="N974" s="17"/>
      <c r="O974" s="17"/>
      <c r="P974" s="17"/>
    </row>
    <row r="975" spans="4:16" ht="15.75" customHeight="1" x14ac:dyDescent="0.25">
      <c r="D975" s="17"/>
      <c r="E975" s="17"/>
      <c r="F975" s="17"/>
      <c r="G975" s="17"/>
      <c r="H975" s="17"/>
      <c r="I975" s="17"/>
      <c r="J975" s="17"/>
      <c r="N975" s="17"/>
      <c r="O975" s="17"/>
      <c r="P975" s="17"/>
    </row>
    <row r="976" spans="4:16" ht="15.75" customHeight="1" x14ac:dyDescent="0.25">
      <c r="D976" s="17"/>
      <c r="E976" s="17"/>
      <c r="F976" s="17"/>
      <c r="G976" s="17"/>
      <c r="H976" s="17"/>
      <c r="I976" s="17"/>
      <c r="J976" s="17"/>
      <c r="N976" s="17"/>
      <c r="O976" s="17"/>
      <c r="P976" s="17"/>
    </row>
    <row r="977" spans="4:16" ht="15.75" customHeight="1" x14ac:dyDescent="0.25">
      <c r="D977" s="17"/>
      <c r="E977" s="17"/>
      <c r="F977" s="17"/>
      <c r="G977" s="17"/>
      <c r="H977" s="17"/>
      <c r="I977" s="17"/>
      <c r="J977" s="17"/>
      <c r="N977" s="17"/>
      <c r="O977" s="17"/>
      <c r="P977" s="17"/>
    </row>
    <row r="978" spans="4:16" ht="15.75" customHeight="1" x14ac:dyDescent="0.25">
      <c r="D978" s="17"/>
      <c r="E978" s="17"/>
      <c r="F978" s="17"/>
      <c r="G978" s="17"/>
      <c r="H978" s="17"/>
      <c r="I978" s="17"/>
      <c r="J978" s="17"/>
      <c r="N978" s="17"/>
      <c r="O978" s="17"/>
      <c r="P978" s="17"/>
    </row>
    <row r="979" spans="4:16" ht="15.75" customHeight="1" x14ac:dyDescent="0.25">
      <c r="D979" s="17"/>
      <c r="E979" s="17"/>
      <c r="F979" s="17"/>
      <c r="G979" s="17"/>
      <c r="H979" s="17"/>
      <c r="I979" s="17"/>
      <c r="J979" s="17"/>
      <c r="N979" s="17"/>
      <c r="O979" s="17"/>
      <c r="P979" s="17"/>
    </row>
    <row r="980" spans="4:16" ht="15.75" customHeight="1" x14ac:dyDescent="0.25">
      <c r="D980" s="17"/>
      <c r="E980" s="17"/>
      <c r="F980" s="17"/>
      <c r="G980" s="17"/>
      <c r="H980" s="17"/>
      <c r="I980" s="17"/>
      <c r="J980" s="17"/>
      <c r="N980" s="17"/>
      <c r="O980" s="17"/>
      <c r="P980" s="17"/>
    </row>
    <row r="981" spans="4:16" ht="15.75" customHeight="1" x14ac:dyDescent="0.25">
      <c r="D981" s="17"/>
      <c r="E981" s="17"/>
      <c r="F981" s="17"/>
      <c r="G981" s="17"/>
      <c r="H981" s="17"/>
      <c r="I981" s="17"/>
      <c r="J981" s="17"/>
      <c r="N981" s="17"/>
      <c r="O981" s="17"/>
      <c r="P981" s="17"/>
    </row>
    <row r="982" spans="4:16" ht="15.75" customHeight="1" x14ac:dyDescent="0.25">
      <c r="D982" s="17"/>
      <c r="E982" s="17"/>
      <c r="F982" s="17"/>
      <c r="G982" s="17"/>
      <c r="H982" s="17"/>
      <c r="I982" s="17"/>
      <c r="J982" s="17"/>
      <c r="N982" s="17"/>
      <c r="O982" s="17"/>
      <c r="P982" s="17"/>
    </row>
    <row r="983" spans="4:16" ht="15.75" customHeight="1" x14ac:dyDescent="0.25">
      <c r="D983" s="17"/>
      <c r="E983" s="17"/>
      <c r="F983" s="17"/>
      <c r="G983" s="17"/>
      <c r="H983" s="17"/>
      <c r="I983" s="17"/>
      <c r="J983" s="17"/>
      <c r="N983" s="17"/>
      <c r="O983" s="17"/>
      <c r="P983" s="17"/>
    </row>
    <row r="984" spans="4:16" ht="15.75" customHeight="1" x14ac:dyDescent="0.25">
      <c r="D984" s="17"/>
      <c r="E984" s="17"/>
      <c r="F984" s="17"/>
      <c r="G984" s="17"/>
      <c r="H984" s="17"/>
      <c r="I984" s="17"/>
      <c r="J984" s="17"/>
      <c r="N984" s="17"/>
      <c r="O984" s="17"/>
      <c r="P984" s="17"/>
    </row>
    <row r="985" spans="4:16" ht="15.75" customHeight="1" x14ac:dyDescent="0.25">
      <c r="D985" s="17"/>
      <c r="E985" s="17"/>
      <c r="F985" s="17"/>
      <c r="G985" s="17"/>
      <c r="H985" s="17"/>
      <c r="I985" s="17"/>
      <c r="J985" s="17"/>
      <c r="N985" s="17"/>
      <c r="O985" s="17"/>
      <c r="P985" s="17"/>
    </row>
    <row r="986" spans="4:16" ht="15.75" customHeight="1" x14ac:dyDescent="0.25">
      <c r="D986" s="17"/>
      <c r="E986" s="17"/>
      <c r="F986" s="17"/>
      <c r="G986" s="17"/>
      <c r="H986" s="17"/>
      <c r="I986" s="17"/>
      <c r="J986" s="17"/>
      <c r="N986" s="17"/>
      <c r="O986" s="17"/>
      <c r="P986" s="17"/>
    </row>
    <row r="987" spans="4:16" ht="15.75" customHeight="1" x14ac:dyDescent="0.25">
      <c r="D987" s="17"/>
      <c r="E987" s="17"/>
      <c r="F987" s="17"/>
      <c r="G987" s="17"/>
      <c r="H987" s="17"/>
      <c r="I987" s="17"/>
      <c r="J987" s="17"/>
      <c r="N987" s="17"/>
      <c r="O987" s="17"/>
      <c r="P987" s="17"/>
    </row>
    <row r="988" spans="4:16" ht="15.75" customHeight="1" x14ac:dyDescent="0.25">
      <c r="D988" s="17"/>
      <c r="E988" s="17"/>
      <c r="F988" s="17"/>
      <c r="G988" s="17"/>
      <c r="H988" s="17"/>
      <c r="I988" s="17"/>
      <c r="J988" s="17"/>
      <c r="N988" s="17"/>
      <c r="O988" s="17"/>
      <c r="P988" s="17"/>
    </row>
    <row r="989" spans="4:16" ht="15.75" customHeight="1" x14ac:dyDescent="0.25">
      <c r="D989" s="17"/>
      <c r="E989" s="17"/>
      <c r="F989" s="17"/>
      <c r="G989" s="17"/>
      <c r="H989" s="17"/>
      <c r="I989" s="17"/>
      <c r="J989" s="17"/>
      <c r="N989" s="17"/>
      <c r="O989" s="17"/>
      <c r="P989" s="17"/>
    </row>
    <row r="990" spans="4:16" ht="15.75" customHeight="1" x14ac:dyDescent="0.25">
      <c r="D990" s="17"/>
      <c r="E990" s="17"/>
      <c r="F990" s="17"/>
      <c r="G990" s="17"/>
      <c r="H990" s="17"/>
      <c r="I990" s="17"/>
      <c r="J990" s="17"/>
      <c r="N990" s="17"/>
      <c r="O990" s="17"/>
      <c r="P990" s="17"/>
    </row>
    <row r="991" spans="4:16" ht="15.75" customHeight="1" x14ac:dyDescent="0.25">
      <c r="D991" s="17"/>
      <c r="E991" s="17"/>
      <c r="F991" s="17"/>
      <c r="G991" s="17"/>
      <c r="H991" s="17"/>
      <c r="I991" s="17"/>
      <c r="J991" s="17"/>
      <c r="N991" s="17"/>
      <c r="O991" s="17"/>
      <c r="P991" s="17"/>
    </row>
    <row r="992" spans="4:16" ht="15.75" customHeight="1" x14ac:dyDescent="0.25">
      <c r="D992" s="17"/>
      <c r="E992" s="17"/>
      <c r="F992" s="17"/>
      <c r="G992" s="17"/>
      <c r="H992" s="17"/>
      <c r="I992" s="17"/>
      <c r="J992" s="17"/>
      <c r="N992" s="17"/>
      <c r="O992" s="17"/>
      <c r="P992" s="17"/>
    </row>
    <row r="993" spans="4:16" ht="15.75" customHeight="1" x14ac:dyDescent="0.25">
      <c r="D993" s="17"/>
      <c r="E993" s="17"/>
      <c r="F993" s="17"/>
      <c r="G993" s="17"/>
      <c r="H993" s="17"/>
      <c r="I993" s="17"/>
      <c r="J993" s="17"/>
      <c r="N993" s="17"/>
      <c r="O993" s="17"/>
      <c r="P993" s="17"/>
    </row>
    <row r="994" spans="4:16" ht="15.75" customHeight="1" x14ac:dyDescent="0.25">
      <c r="D994" s="17"/>
      <c r="E994" s="17"/>
      <c r="F994" s="17"/>
      <c r="G994" s="17"/>
      <c r="H994" s="17"/>
      <c r="I994" s="17"/>
      <c r="J994" s="17"/>
      <c r="N994" s="17"/>
      <c r="O994" s="17"/>
      <c r="P994" s="17"/>
    </row>
    <row r="995" spans="4:16" ht="15.75" customHeight="1" x14ac:dyDescent="0.25">
      <c r="D995" s="17"/>
      <c r="E995" s="17"/>
      <c r="F995" s="17"/>
      <c r="G995" s="17"/>
      <c r="H995" s="17"/>
      <c r="I995" s="17"/>
      <c r="J995" s="17"/>
      <c r="N995" s="17"/>
      <c r="O995" s="17"/>
      <c r="P995" s="17"/>
    </row>
    <row r="996" spans="4:16" ht="15.75" customHeight="1" x14ac:dyDescent="0.25">
      <c r="D996" s="17"/>
      <c r="E996" s="17"/>
      <c r="F996" s="17"/>
      <c r="G996" s="17"/>
      <c r="H996" s="17"/>
      <c r="I996" s="17"/>
      <c r="J996" s="17"/>
      <c r="N996" s="17"/>
      <c r="O996" s="17"/>
      <c r="P996" s="17"/>
    </row>
    <row r="997" spans="4:16" ht="15.75" customHeight="1" x14ac:dyDescent="0.25">
      <c r="D997" s="17"/>
      <c r="E997" s="17"/>
      <c r="F997" s="17"/>
      <c r="G997" s="17"/>
      <c r="H997" s="17"/>
      <c r="I997" s="17"/>
      <c r="J997" s="17"/>
      <c r="N997" s="17"/>
      <c r="O997" s="17"/>
      <c r="P997" s="17"/>
    </row>
    <row r="998" spans="4:16" ht="15.75" customHeight="1" x14ac:dyDescent="0.25">
      <c r="D998" s="17"/>
      <c r="E998" s="17"/>
      <c r="F998" s="17"/>
      <c r="G998" s="17"/>
      <c r="H998" s="17"/>
      <c r="I998" s="17"/>
      <c r="J998" s="17"/>
      <c r="N998" s="17"/>
      <c r="O998" s="17"/>
      <c r="P998" s="17"/>
    </row>
    <row r="999" spans="4:16" ht="15.75" customHeight="1" x14ac:dyDescent="0.25">
      <c r="D999" s="17"/>
      <c r="E999" s="17"/>
      <c r="F999" s="17"/>
      <c r="G999" s="17"/>
      <c r="H999" s="17"/>
      <c r="I999" s="17"/>
      <c r="J999" s="17"/>
      <c r="N999" s="17"/>
      <c r="O999" s="17"/>
      <c r="P999" s="17"/>
    </row>
    <row r="1000" spans="4:16" ht="15.75" customHeight="1" x14ac:dyDescent="0.25">
      <c r="D1000" s="17"/>
      <c r="E1000" s="17"/>
      <c r="F1000" s="17"/>
      <c r="G1000" s="17"/>
      <c r="H1000" s="17"/>
      <c r="I1000" s="17"/>
      <c r="J1000" s="17"/>
      <c r="N1000" s="17"/>
      <c r="O1000" s="17"/>
      <c r="P1000" s="17"/>
    </row>
  </sheetData>
  <mergeCells count="424">
    <mergeCell ref="D6:H6"/>
    <mergeCell ref="K6:M6"/>
    <mergeCell ref="N6:N7"/>
    <mergeCell ref="O6:O7"/>
    <mergeCell ref="P6:P7"/>
    <mergeCell ref="Q6:Q7"/>
    <mergeCell ref="A1:P5"/>
    <mergeCell ref="Q1:Q5"/>
    <mergeCell ref="B6:B7"/>
    <mergeCell ref="C6:C7"/>
    <mergeCell ref="I6:I7"/>
    <mergeCell ref="J6:J7"/>
    <mergeCell ref="A6:A7"/>
    <mergeCell ref="A8:C8"/>
    <mergeCell ref="N9:N10"/>
    <mergeCell ref="O9:O10"/>
    <mergeCell ref="P9:P10"/>
    <mergeCell ref="Q9:Q10"/>
    <mergeCell ref="G9:G10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Q13:Q14"/>
    <mergeCell ref="F13:F14"/>
    <mergeCell ref="G13:G14"/>
    <mergeCell ref="H13:H14"/>
    <mergeCell ref="I13:I14"/>
    <mergeCell ref="J13:J14"/>
    <mergeCell ref="K13:K14"/>
    <mergeCell ref="L13:L14"/>
    <mergeCell ref="N18:N19"/>
    <mergeCell ref="O18:O19"/>
    <mergeCell ref="G18:G19"/>
    <mergeCell ref="H18:H19"/>
    <mergeCell ref="I18:I19"/>
    <mergeCell ref="J18:J19"/>
    <mergeCell ref="K18:K19"/>
    <mergeCell ref="L18:L19"/>
    <mergeCell ref="M18:M19"/>
    <mergeCell ref="Q15:Q16"/>
    <mergeCell ref="P18:P19"/>
    <mergeCell ref="Q18:Q19"/>
    <mergeCell ref="M15:M16"/>
    <mergeCell ref="N15:N16"/>
    <mergeCell ref="A11:A12"/>
    <mergeCell ref="B11:B12"/>
    <mergeCell ref="A13:A14"/>
    <mergeCell ref="B13:B14"/>
    <mergeCell ref="C13:C14"/>
    <mergeCell ref="D13:D14"/>
    <mergeCell ref="E13:E14"/>
    <mergeCell ref="O15:O16"/>
    <mergeCell ref="P15:P16"/>
    <mergeCell ref="B15:B16"/>
    <mergeCell ref="C15:C16"/>
    <mergeCell ref="D15:D16"/>
    <mergeCell ref="E15:E16"/>
    <mergeCell ref="F15:F16"/>
    <mergeCell ref="G15:G16"/>
    <mergeCell ref="M13:M14"/>
    <mergeCell ref="N13:N14"/>
    <mergeCell ref="O13:O14"/>
    <mergeCell ref="P13:P14"/>
    <mergeCell ref="H15:H16"/>
    <mergeCell ref="I15:I16"/>
    <mergeCell ref="J15:J16"/>
    <mergeCell ref="K15:K16"/>
    <mergeCell ref="L15:L16"/>
    <mergeCell ref="A17:C17"/>
    <mergeCell ref="A15:A16"/>
    <mergeCell ref="A18:A19"/>
    <mergeCell ref="B18:B19"/>
    <mergeCell ref="C18:C19"/>
    <mergeCell ref="D18:D19"/>
    <mergeCell ref="E18:E19"/>
    <mergeCell ref="F18:F19"/>
    <mergeCell ref="O20:O21"/>
    <mergeCell ref="A20:A21"/>
    <mergeCell ref="B20:B21"/>
    <mergeCell ref="C20:C21"/>
    <mergeCell ref="D20:D21"/>
    <mergeCell ref="E20:E21"/>
    <mergeCell ref="F20:F21"/>
    <mergeCell ref="G20:G21"/>
    <mergeCell ref="M22:M23"/>
    <mergeCell ref="N22:N23"/>
    <mergeCell ref="P20:P21"/>
    <mergeCell ref="Q20:Q21"/>
    <mergeCell ref="H20:H21"/>
    <mergeCell ref="I20:I21"/>
    <mergeCell ref="J20:J21"/>
    <mergeCell ref="K20:K21"/>
    <mergeCell ref="L20:L21"/>
    <mergeCell ref="M20:M21"/>
    <mergeCell ref="N20:N21"/>
    <mergeCell ref="A22:A23"/>
    <mergeCell ref="B22:B23"/>
    <mergeCell ref="C22:C23"/>
    <mergeCell ref="D22:D23"/>
    <mergeCell ref="E22:E23"/>
    <mergeCell ref="F22:F23"/>
    <mergeCell ref="G22:G23"/>
    <mergeCell ref="A24:A25"/>
    <mergeCell ref="B24:B25"/>
    <mergeCell ref="C24:Q31"/>
    <mergeCell ref="A26:A27"/>
    <mergeCell ref="B26:B27"/>
    <mergeCell ref="A28:A29"/>
    <mergeCell ref="B28:B29"/>
    <mergeCell ref="A30:A31"/>
    <mergeCell ref="B30:B31"/>
    <mergeCell ref="O22:O23"/>
    <mergeCell ref="P22:P23"/>
    <mergeCell ref="Q22:Q23"/>
    <mergeCell ref="H22:H23"/>
    <mergeCell ref="I22:I23"/>
    <mergeCell ref="J22:J23"/>
    <mergeCell ref="K22:K23"/>
    <mergeCell ref="L22:L23"/>
    <mergeCell ref="O37:O38"/>
    <mergeCell ref="J35:J36"/>
    <mergeCell ref="K35:K36"/>
    <mergeCell ref="L35:L36"/>
    <mergeCell ref="M35:M36"/>
    <mergeCell ref="N35:N36"/>
    <mergeCell ref="O35:O36"/>
    <mergeCell ref="C35:C36"/>
    <mergeCell ref="D35:D36"/>
    <mergeCell ref="E35:E36"/>
    <mergeCell ref="F35:F36"/>
    <mergeCell ref="G35:G36"/>
    <mergeCell ref="H35:H36"/>
    <mergeCell ref="H39:H40"/>
    <mergeCell ref="I39:I40"/>
    <mergeCell ref="J39:J40"/>
    <mergeCell ref="K39:K40"/>
    <mergeCell ref="L39:L40"/>
    <mergeCell ref="M39:M40"/>
    <mergeCell ref="N39:N40"/>
    <mergeCell ref="I35:I36"/>
    <mergeCell ref="A37:A38"/>
    <mergeCell ref="B37:B38"/>
    <mergeCell ref="C37:C38"/>
    <mergeCell ref="D37:D38"/>
    <mergeCell ref="E37:E38"/>
    <mergeCell ref="F37:F38"/>
    <mergeCell ref="G37:G38"/>
    <mergeCell ref="A32:C32"/>
    <mergeCell ref="A33:A34"/>
    <mergeCell ref="B33:B34"/>
    <mergeCell ref="A35:A36"/>
    <mergeCell ref="B35:B36"/>
    <mergeCell ref="A39:A40"/>
    <mergeCell ref="B39:B40"/>
    <mergeCell ref="C39:C40"/>
    <mergeCell ref="D39:D40"/>
    <mergeCell ref="C33:Q34"/>
    <mergeCell ref="P35:P36"/>
    <mergeCell ref="Q35:Q36"/>
    <mergeCell ref="P37:P38"/>
    <mergeCell ref="Q37:Q38"/>
    <mergeCell ref="Q39:Q40"/>
    <mergeCell ref="H37:H38"/>
    <mergeCell ref="I37:I38"/>
    <mergeCell ref="J37:J38"/>
    <mergeCell ref="K37:K38"/>
    <mergeCell ref="L37:L38"/>
    <mergeCell ref="M37:M38"/>
    <mergeCell ref="N37:N38"/>
    <mergeCell ref="O39:O40"/>
    <mergeCell ref="P39:P40"/>
    <mergeCell ref="Q56:Q57"/>
    <mergeCell ref="H56:H57"/>
    <mergeCell ref="I56:I57"/>
    <mergeCell ref="J56:J57"/>
    <mergeCell ref="K56:K57"/>
    <mergeCell ref="L56:L57"/>
    <mergeCell ref="M56:M57"/>
    <mergeCell ref="N56:N57"/>
    <mergeCell ref="E39:E40"/>
    <mergeCell ref="F39:F40"/>
    <mergeCell ref="G39:G40"/>
    <mergeCell ref="O45:O46"/>
    <mergeCell ref="P45:P46"/>
    <mergeCell ref="H45:H46"/>
    <mergeCell ref="I45:I46"/>
    <mergeCell ref="J45:J46"/>
    <mergeCell ref="K45:K46"/>
    <mergeCell ref="L45:L46"/>
    <mergeCell ref="M45:M46"/>
    <mergeCell ref="N45:N46"/>
    <mergeCell ref="O41:O42"/>
    <mergeCell ref="P41:P42"/>
    <mergeCell ref="O43:O44"/>
    <mergeCell ref="P43:P44"/>
    <mergeCell ref="A56:A57"/>
    <mergeCell ref="B56:B57"/>
    <mergeCell ref="C56:C57"/>
    <mergeCell ref="D56:D57"/>
    <mergeCell ref="E56:E57"/>
    <mergeCell ref="F56:F57"/>
    <mergeCell ref="G56:G57"/>
    <mergeCell ref="O58:O59"/>
    <mergeCell ref="P58:P59"/>
    <mergeCell ref="A58:A59"/>
    <mergeCell ref="B58:B59"/>
    <mergeCell ref="C58:C59"/>
    <mergeCell ref="D58:D59"/>
    <mergeCell ref="E58:E59"/>
    <mergeCell ref="F58:F59"/>
    <mergeCell ref="G58:G59"/>
    <mergeCell ref="O56:O57"/>
    <mergeCell ref="P56:P57"/>
    <mergeCell ref="Q58:Q59"/>
    <mergeCell ref="Q60:Q61"/>
    <mergeCell ref="H58:H59"/>
    <mergeCell ref="I58:I59"/>
    <mergeCell ref="J58:J59"/>
    <mergeCell ref="K58:K59"/>
    <mergeCell ref="L58:L59"/>
    <mergeCell ref="M58:M59"/>
    <mergeCell ref="N58:N59"/>
    <mergeCell ref="O60:O61"/>
    <mergeCell ref="P60:P61"/>
    <mergeCell ref="H60:H61"/>
    <mergeCell ref="I60:I61"/>
    <mergeCell ref="J60:J61"/>
    <mergeCell ref="K60:K61"/>
    <mergeCell ref="L60:L61"/>
    <mergeCell ref="M60:M61"/>
    <mergeCell ref="N60:N61"/>
    <mergeCell ref="P63:P64"/>
    <mergeCell ref="Q63:Q64"/>
    <mergeCell ref="G63:G64"/>
    <mergeCell ref="H63:H64"/>
    <mergeCell ref="I63:I64"/>
    <mergeCell ref="J63:J64"/>
    <mergeCell ref="K63:K64"/>
    <mergeCell ref="L63:L64"/>
    <mergeCell ref="M63:M64"/>
    <mergeCell ref="Q65:Q66"/>
    <mergeCell ref="H65:H66"/>
    <mergeCell ref="I65:I66"/>
    <mergeCell ref="J65:J66"/>
    <mergeCell ref="K65:K66"/>
    <mergeCell ref="L65:L66"/>
    <mergeCell ref="M65:M66"/>
    <mergeCell ref="N65:N66"/>
    <mergeCell ref="B60:B61"/>
    <mergeCell ref="C60:C61"/>
    <mergeCell ref="D60:D61"/>
    <mergeCell ref="E60:E61"/>
    <mergeCell ref="F60:F61"/>
    <mergeCell ref="G60:G61"/>
    <mergeCell ref="A62:C62"/>
    <mergeCell ref="A60:A61"/>
    <mergeCell ref="A63:A64"/>
    <mergeCell ref="B63:B64"/>
    <mergeCell ref="C63:C64"/>
    <mergeCell ref="D63:D64"/>
    <mergeCell ref="E63:E64"/>
    <mergeCell ref="F63:F64"/>
    <mergeCell ref="N63:N64"/>
    <mergeCell ref="O63:O64"/>
    <mergeCell ref="A65:A66"/>
    <mergeCell ref="B65:B66"/>
    <mergeCell ref="C65:C66"/>
    <mergeCell ref="D65:D66"/>
    <mergeCell ref="E65:E66"/>
    <mergeCell ref="F65:F66"/>
    <mergeCell ref="G65:G66"/>
    <mergeCell ref="O67:O68"/>
    <mergeCell ref="P67:P68"/>
    <mergeCell ref="O65:O66"/>
    <mergeCell ref="P65:P66"/>
    <mergeCell ref="Q67:Q68"/>
    <mergeCell ref="Q69:Q70"/>
    <mergeCell ref="A69:A70"/>
    <mergeCell ref="B69:B70"/>
    <mergeCell ref="C69:C70"/>
    <mergeCell ref="D69:D70"/>
    <mergeCell ref="E69:E70"/>
    <mergeCell ref="F69:F70"/>
    <mergeCell ref="G69:G70"/>
    <mergeCell ref="H67:H68"/>
    <mergeCell ref="I67:I68"/>
    <mergeCell ref="J67:J68"/>
    <mergeCell ref="K67:K68"/>
    <mergeCell ref="L67:L68"/>
    <mergeCell ref="M67:M68"/>
    <mergeCell ref="N67:N68"/>
    <mergeCell ref="A67:A68"/>
    <mergeCell ref="B67:B68"/>
    <mergeCell ref="C67:C68"/>
    <mergeCell ref="D67:D68"/>
    <mergeCell ref="E67:E68"/>
    <mergeCell ref="F67:F68"/>
    <mergeCell ref="G67:G68"/>
    <mergeCell ref="O69:O70"/>
    <mergeCell ref="Q41:Q42"/>
    <mergeCell ref="H41:H42"/>
    <mergeCell ref="I41:I42"/>
    <mergeCell ref="J41:J42"/>
    <mergeCell ref="K41:K42"/>
    <mergeCell ref="L41:L42"/>
    <mergeCell ref="M41:M42"/>
    <mergeCell ref="N41:N42"/>
    <mergeCell ref="A41:A42"/>
    <mergeCell ref="B41:B42"/>
    <mergeCell ref="C41:C42"/>
    <mergeCell ref="D41:D42"/>
    <mergeCell ref="E41:E42"/>
    <mergeCell ref="F41:F42"/>
    <mergeCell ref="G41:G42"/>
    <mergeCell ref="Q43:Q44"/>
    <mergeCell ref="Q45:Q46"/>
    <mergeCell ref="H43:H44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G43:G44"/>
    <mergeCell ref="N48:N49"/>
    <mergeCell ref="O48:O49"/>
    <mergeCell ref="B45:B46"/>
    <mergeCell ref="C45:C46"/>
    <mergeCell ref="D45:D46"/>
    <mergeCell ref="E45:E46"/>
    <mergeCell ref="F45:F46"/>
    <mergeCell ref="G45:G46"/>
    <mergeCell ref="A47:C47"/>
    <mergeCell ref="A45:A46"/>
    <mergeCell ref="A48:A49"/>
    <mergeCell ref="B48:B49"/>
    <mergeCell ref="C48:C49"/>
    <mergeCell ref="D48:D49"/>
    <mergeCell ref="E48:E49"/>
    <mergeCell ref="F48:F49"/>
    <mergeCell ref="P48:P49"/>
    <mergeCell ref="Q48:Q49"/>
    <mergeCell ref="G48:G49"/>
    <mergeCell ref="H48:H49"/>
    <mergeCell ref="I48:I49"/>
    <mergeCell ref="J48:J49"/>
    <mergeCell ref="K48:K49"/>
    <mergeCell ref="L48:L49"/>
    <mergeCell ref="M48:M49"/>
    <mergeCell ref="Q50:Q51"/>
    <mergeCell ref="H50:H51"/>
    <mergeCell ref="I50:I51"/>
    <mergeCell ref="J50:J51"/>
    <mergeCell ref="K50:K51"/>
    <mergeCell ref="L50:L51"/>
    <mergeCell ref="M50:M51"/>
    <mergeCell ref="N50:N51"/>
    <mergeCell ref="O54:O55"/>
    <mergeCell ref="P54:P55"/>
    <mergeCell ref="H54:H55"/>
    <mergeCell ref="I54:I55"/>
    <mergeCell ref="J54:J55"/>
    <mergeCell ref="K54:K55"/>
    <mergeCell ref="L54:L55"/>
    <mergeCell ref="M54:M55"/>
    <mergeCell ref="N54:N55"/>
    <mergeCell ref="H52:H53"/>
    <mergeCell ref="I52:I53"/>
    <mergeCell ref="J52:J53"/>
    <mergeCell ref="K52:K53"/>
    <mergeCell ref="L52:L53"/>
    <mergeCell ref="M52:M53"/>
    <mergeCell ref="N52:N53"/>
    <mergeCell ref="A50:A51"/>
    <mergeCell ref="B50:B51"/>
    <mergeCell ref="C50:C51"/>
    <mergeCell ref="D50:D51"/>
    <mergeCell ref="E50:E51"/>
    <mergeCell ref="F50:F51"/>
    <mergeCell ref="G50:G51"/>
    <mergeCell ref="O52:O53"/>
    <mergeCell ref="P52:P53"/>
    <mergeCell ref="O50:O51"/>
    <mergeCell ref="P50:P51"/>
    <mergeCell ref="A52:A53"/>
    <mergeCell ref="B52:B53"/>
    <mergeCell ref="C52:C53"/>
    <mergeCell ref="D52:D53"/>
    <mergeCell ref="E52:E53"/>
    <mergeCell ref="F52:F53"/>
    <mergeCell ref="G52:G53"/>
    <mergeCell ref="Q52:Q53"/>
    <mergeCell ref="Q54:Q55"/>
    <mergeCell ref="A54:A55"/>
    <mergeCell ref="B54:B55"/>
    <mergeCell ref="C54:C55"/>
    <mergeCell ref="D54:D55"/>
    <mergeCell ref="E54:E55"/>
    <mergeCell ref="F54:F55"/>
    <mergeCell ref="G54:G55"/>
    <mergeCell ref="P69:P70"/>
    <mergeCell ref="H69:H70"/>
    <mergeCell ref="I69:I70"/>
    <mergeCell ref="J69:J70"/>
    <mergeCell ref="K69:K70"/>
    <mergeCell ref="L69:L70"/>
    <mergeCell ref="M69:M70"/>
    <mergeCell ref="N69:N70"/>
    <mergeCell ref="A71:C7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"/>
  <sheetViews>
    <sheetView workbookViewId="0">
      <selection sqref="A1:P5"/>
    </sheetView>
  </sheetViews>
  <sheetFormatPr defaultColWidth="14.42578125" defaultRowHeight="15" customHeight="1" x14ac:dyDescent="0.25"/>
  <cols>
    <col min="1" max="1" width="39.42578125" customWidth="1"/>
    <col min="2" max="2" width="33.7109375" customWidth="1"/>
    <col min="3" max="3" width="30.7109375" customWidth="1"/>
    <col min="4" max="4" width="45.28515625" customWidth="1"/>
    <col min="5" max="5" width="59.28515625" customWidth="1"/>
    <col min="6" max="7" width="49.42578125" customWidth="1"/>
    <col min="8" max="8" width="58" customWidth="1"/>
    <col min="9" max="10" width="47.7109375" customWidth="1"/>
    <col min="11" max="12" width="36.28515625" customWidth="1"/>
    <col min="13" max="13" width="32.28515625" customWidth="1"/>
    <col min="14" max="14" width="25.7109375" customWidth="1"/>
    <col min="15" max="15" width="43.42578125" customWidth="1"/>
    <col min="16" max="16" width="23.7109375" customWidth="1"/>
    <col min="17" max="17" width="101.28515625" customWidth="1"/>
    <col min="18" max="37" width="9" customWidth="1"/>
  </cols>
  <sheetData>
    <row r="1" spans="1:37" ht="46.5" customHeight="1" x14ac:dyDescent="0.7">
      <c r="A1" s="121" t="s">
        <v>41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5"/>
      <c r="Q1" s="122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ht="46.5" customHeight="1" x14ac:dyDescent="0.7">
      <c r="A2" s="9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97"/>
      <c r="Q2" s="82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</row>
    <row r="3" spans="1:37" ht="46.5" customHeight="1" x14ac:dyDescent="0.7">
      <c r="A3" s="96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97"/>
      <c r="Q3" s="82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37" ht="46.5" customHeight="1" x14ac:dyDescent="0.55000000000000004">
      <c r="A4" s="9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97"/>
      <c r="Q4" s="82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ht="81.75" customHeight="1" x14ac:dyDescent="0.55000000000000004">
      <c r="A5" s="98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99"/>
      <c r="Q5" s="85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</row>
    <row r="6" spans="1:37" ht="58.5" customHeight="1" x14ac:dyDescent="0.55000000000000004">
      <c r="A6" s="127" t="s">
        <v>1</v>
      </c>
      <c r="B6" s="123" t="s">
        <v>2</v>
      </c>
      <c r="C6" s="124" t="s">
        <v>3</v>
      </c>
      <c r="D6" s="116" t="s">
        <v>4</v>
      </c>
      <c r="E6" s="64"/>
      <c r="F6" s="64"/>
      <c r="G6" s="64"/>
      <c r="H6" s="65"/>
      <c r="I6" s="125" t="s">
        <v>5</v>
      </c>
      <c r="J6" s="126" t="s">
        <v>6</v>
      </c>
      <c r="K6" s="117" t="s">
        <v>7</v>
      </c>
      <c r="L6" s="64"/>
      <c r="M6" s="65"/>
      <c r="N6" s="118" t="s">
        <v>8</v>
      </c>
      <c r="O6" s="118" t="s">
        <v>9</v>
      </c>
      <c r="P6" s="119" t="s">
        <v>10</v>
      </c>
      <c r="Q6" s="120" t="s">
        <v>11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ht="117.75" customHeight="1" x14ac:dyDescent="0.55000000000000004">
      <c r="A7" s="62"/>
      <c r="B7" s="62"/>
      <c r="C7" s="103"/>
      <c r="D7" s="21" t="s">
        <v>12</v>
      </c>
      <c r="E7" s="21" t="s">
        <v>13</v>
      </c>
      <c r="F7" s="21" t="s">
        <v>14</v>
      </c>
      <c r="G7" s="21" t="s">
        <v>15</v>
      </c>
      <c r="H7" s="21" t="s">
        <v>16</v>
      </c>
      <c r="I7" s="62"/>
      <c r="J7" s="106"/>
      <c r="K7" s="22" t="s">
        <v>17</v>
      </c>
      <c r="L7" s="23" t="s">
        <v>18</v>
      </c>
      <c r="M7" s="22" t="s">
        <v>19</v>
      </c>
      <c r="N7" s="62"/>
      <c r="O7" s="62"/>
      <c r="P7" s="62"/>
      <c r="Q7" s="62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</row>
    <row r="8" spans="1:37" ht="55.5" customHeight="1" x14ac:dyDescent="0.55000000000000004">
      <c r="A8" s="114" t="s">
        <v>20</v>
      </c>
      <c r="B8" s="64"/>
      <c r="C8" s="87"/>
      <c r="D8" s="24">
        <f t="shared" ref="D8:P8" si="0">SUBTOTAL(9,D9:D22)</f>
        <v>13877892</v>
      </c>
      <c r="E8" s="24">
        <f t="shared" si="0"/>
        <v>50177702</v>
      </c>
      <c r="F8" s="24">
        <f t="shared" si="0"/>
        <v>81482091</v>
      </c>
      <c r="G8" s="24">
        <f t="shared" si="0"/>
        <v>48888881</v>
      </c>
      <c r="H8" s="24">
        <f t="shared" si="0"/>
        <v>20743842</v>
      </c>
      <c r="I8" s="24">
        <f t="shared" si="0"/>
        <v>189399350</v>
      </c>
      <c r="J8" s="24">
        <f t="shared" si="0"/>
        <v>215170408</v>
      </c>
      <c r="K8" s="24">
        <f t="shared" si="0"/>
        <v>0</v>
      </c>
      <c r="L8" s="24">
        <f t="shared" si="0"/>
        <v>0</v>
      </c>
      <c r="M8" s="24">
        <f t="shared" si="0"/>
        <v>0</v>
      </c>
      <c r="N8" s="24">
        <f t="shared" si="0"/>
        <v>129</v>
      </c>
      <c r="O8" s="24">
        <f t="shared" si="0"/>
        <v>13670060.399764614</v>
      </c>
      <c r="P8" s="24">
        <f t="shared" si="0"/>
        <v>52</v>
      </c>
      <c r="Q8" s="24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</row>
    <row r="9" spans="1:37" ht="46.5" customHeight="1" x14ac:dyDescent="0.55000000000000004">
      <c r="A9" s="111">
        <v>45383</v>
      </c>
      <c r="B9" s="112" t="s">
        <v>30</v>
      </c>
      <c r="C9" s="113" t="s">
        <v>22</v>
      </c>
      <c r="D9" s="109"/>
      <c r="E9" s="109"/>
      <c r="F9" s="109">
        <v>20056894</v>
      </c>
      <c r="G9" s="109"/>
      <c r="H9" s="109"/>
      <c r="I9" s="109">
        <v>17656300</v>
      </c>
      <c r="J9" s="109">
        <f>SUM(D9:H10)</f>
        <v>20056894</v>
      </c>
      <c r="K9" s="109"/>
      <c r="L9" s="109"/>
      <c r="M9" s="109"/>
      <c r="N9" s="109">
        <v>9</v>
      </c>
      <c r="O9" s="109">
        <f>J9/N9</f>
        <v>2228543.777777778</v>
      </c>
      <c r="P9" s="109">
        <v>4</v>
      </c>
      <c r="Q9" s="109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</row>
    <row r="10" spans="1:37" ht="46.5" customHeight="1" x14ac:dyDescent="0.55000000000000004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ht="17.25" customHeight="1" x14ac:dyDescent="0.55000000000000004">
      <c r="A11" s="111">
        <v>45384</v>
      </c>
      <c r="B11" s="113" t="s">
        <v>31</v>
      </c>
      <c r="C11" s="113" t="s">
        <v>22</v>
      </c>
      <c r="D11" s="109"/>
      <c r="E11" s="109"/>
      <c r="F11" s="109">
        <v>18075254</v>
      </c>
      <c r="G11" s="109">
        <v>13371221</v>
      </c>
      <c r="H11" s="109"/>
      <c r="I11" s="109">
        <v>27700300</v>
      </c>
      <c r="J11" s="109">
        <f>SUM(D11:H12)</f>
        <v>31446475</v>
      </c>
      <c r="K11" s="109"/>
      <c r="L11" s="109"/>
      <c r="M11" s="109"/>
      <c r="N11" s="109">
        <v>25</v>
      </c>
      <c r="O11" s="109">
        <f>J11/N11</f>
        <v>1257859</v>
      </c>
      <c r="P11" s="109">
        <v>7</v>
      </c>
      <c r="Q11" s="110" t="s">
        <v>42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1:37" ht="69" customHeight="1" x14ac:dyDescent="0.55000000000000004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ht="46.5" customHeight="1" x14ac:dyDescent="0.55000000000000004">
      <c r="A13" s="111">
        <v>45385</v>
      </c>
      <c r="B13" s="113" t="s">
        <v>32</v>
      </c>
      <c r="C13" s="113" t="s">
        <v>22</v>
      </c>
      <c r="D13" s="109">
        <v>2024190</v>
      </c>
      <c r="E13" s="109">
        <v>10649654</v>
      </c>
      <c r="F13" s="109">
        <v>1488732</v>
      </c>
      <c r="G13" s="109"/>
      <c r="H13" s="109"/>
      <c r="I13" s="109">
        <v>12444600</v>
      </c>
      <c r="J13" s="109">
        <f>SUM(D13:H14)</f>
        <v>14162576</v>
      </c>
      <c r="K13" s="109"/>
      <c r="L13" s="109"/>
      <c r="M13" s="109"/>
      <c r="N13" s="109">
        <v>11</v>
      </c>
      <c r="O13" s="109">
        <f>J13/N13</f>
        <v>1287506.9090909092</v>
      </c>
      <c r="P13" s="109">
        <v>7</v>
      </c>
      <c r="Q13" s="115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37" ht="46.5" customHeight="1" x14ac:dyDescent="0.5500000000000000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ht="46.5" customHeight="1" x14ac:dyDescent="0.55000000000000004">
      <c r="A15" s="111">
        <v>45386</v>
      </c>
      <c r="B15" s="113" t="s">
        <v>21</v>
      </c>
      <c r="C15" s="113" t="s">
        <v>22</v>
      </c>
      <c r="D15" s="109">
        <v>1006992</v>
      </c>
      <c r="E15" s="109">
        <v>487620</v>
      </c>
      <c r="F15" s="109">
        <v>28727769</v>
      </c>
      <c r="G15" s="109"/>
      <c r="H15" s="109"/>
      <c r="I15" s="109">
        <v>26591500</v>
      </c>
      <c r="J15" s="109">
        <f>SUM(D15:H16)</f>
        <v>30222381</v>
      </c>
      <c r="K15" s="109"/>
      <c r="L15" s="109"/>
      <c r="M15" s="109"/>
      <c r="N15" s="109">
        <v>20</v>
      </c>
      <c r="O15" s="109">
        <f>J15/N15</f>
        <v>1511119.05</v>
      </c>
      <c r="P15" s="109">
        <v>5</v>
      </c>
      <c r="Q15" s="115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spans="1:37" ht="46.5" customHeight="1" x14ac:dyDescent="0.55000000000000004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spans="1:37" ht="17.25" customHeight="1" x14ac:dyDescent="0.55000000000000004">
      <c r="A17" s="111">
        <v>45387</v>
      </c>
      <c r="B17" s="113" t="s">
        <v>23</v>
      </c>
      <c r="C17" s="113" t="s">
        <v>22</v>
      </c>
      <c r="D17" s="109"/>
      <c r="E17" s="109">
        <v>32742528</v>
      </c>
      <c r="F17" s="109">
        <v>5409180</v>
      </c>
      <c r="G17" s="109"/>
      <c r="H17" s="109">
        <v>4667918</v>
      </c>
      <c r="I17" s="109">
        <v>37678700</v>
      </c>
      <c r="J17" s="109">
        <f>SUM(D17:H18)</f>
        <v>42819626</v>
      </c>
      <c r="K17" s="109"/>
      <c r="L17" s="109"/>
      <c r="M17" s="109"/>
      <c r="N17" s="109">
        <v>26</v>
      </c>
      <c r="O17" s="109">
        <f>J17/N17</f>
        <v>1646908.6923076923</v>
      </c>
      <c r="P17" s="109">
        <v>12</v>
      </c>
      <c r="Q17" s="115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</row>
    <row r="18" spans="1:37" ht="46.5" customHeight="1" x14ac:dyDescent="0.55000000000000004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ht="46.5" customHeight="1" x14ac:dyDescent="0.55000000000000004">
      <c r="A19" s="111">
        <v>45388</v>
      </c>
      <c r="B19" s="113" t="s">
        <v>25</v>
      </c>
      <c r="C19" s="113" t="s">
        <v>22</v>
      </c>
      <c r="D19" s="109">
        <v>9519930</v>
      </c>
      <c r="E19" s="109">
        <v>6297900</v>
      </c>
      <c r="F19" s="109"/>
      <c r="G19" s="109"/>
      <c r="H19" s="109"/>
      <c r="I19" s="109">
        <v>13895000</v>
      </c>
      <c r="J19" s="109">
        <f>SUM(D19:H20)</f>
        <v>15817830</v>
      </c>
      <c r="K19" s="109"/>
      <c r="L19" s="109"/>
      <c r="M19" s="109"/>
      <c r="N19" s="109">
        <v>4</v>
      </c>
      <c r="O19" s="109">
        <f>J19/N19</f>
        <v>3954457.5</v>
      </c>
      <c r="P19" s="109">
        <v>3</v>
      </c>
      <c r="Q19" s="11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</row>
    <row r="20" spans="1:37" ht="46.5" customHeight="1" x14ac:dyDescent="0.55000000000000004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37" ht="46.5" customHeight="1" x14ac:dyDescent="0.55000000000000004">
      <c r="A21" s="111">
        <v>45389</v>
      </c>
      <c r="B21" s="113" t="s">
        <v>27</v>
      </c>
      <c r="C21" s="113" t="s">
        <v>22</v>
      </c>
      <c r="D21" s="109">
        <v>1326780</v>
      </c>
      <c r="E21" s="109"/>
      <c r="F21" s="109">
        <v>7724262</v>
      </c>
      <c r="G21" s="109">
        <v>35517660</v>
      </c>
      <c r="H21" s="109">
        <v>16075924</v>
      </c>
      <c r="I21" s="109">
        <v>53432950</v>
      </c>
      <c r="J21" s="109">
        <f>SUM(D21:H22)</f>
        <v>60644626</v>
      </c>
      <c r="K21" s="109"/>
      <c r="L21" s="109"/>
      <c r="M21" s="109"/>
      <c r="N21" s="109">
        <v>34</v>
      </c>
      <c r="O21" s="109">
        <f>J21/N21</f>
        <v>1783665.4705882352</v>
      </c>
      <c r="P21" s="109">
        <v>14</v>
      </c>
      <c r="Q21" s="110" t="s">
        <v>28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</row>
    <row r="22" spans="1:37" ht="46.5" customHeight="1" x14ac:dyDescent="0.55000000000000004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spans="1:37" ht="46.5" customHeight="1" x14ac:dyDescent="0.55000000000000004">
      <c r="A23" s="114" t="s">
        <v>29</v>
      </c>
      <c r="B23" s="64"/>
      <c r="C23" s="65"/>
      <c r="D23" s="24">
        <f t="shared" ref="D23:P23" si="1">SUBTOTAL(9,D24:D37)</f>
        <v>26624921</v>
      </c>
      <c r="E23" s="24">
        <f t="shared" si="1"/>
        <v>25368672</v>
      </c>
      <c r="F23" s="24">
        <f t="shared" si="1"/>
        <v>101383128</v>
      </c>
      <c r="G23" s="24">
        <f t="shared" si="1"/>
        <v>62476734</v>
      </c>
      <c r="H23" s="24">
        <f t="shared" si="1"/>
        <v>61411126</v>
      </c>
      <c r="I23" s="24">
        <f t="shared" si="1"/>
        <v>243919450</v>
      </c>
      <c r="J23" s="24">
        <f t="shared" si="1"/>
        <v>277264581</v>
      </c>
      <c r="K23" s="24">
        <f t="shared" si="1"/>
        <v>0</v>
      </c>
      <c r="L23" s="24">
        <f t="shared" si="1"/>
        <v>0</v>
      </c>
      <c r="M23" s="24">
        <f t="shared" si="1"/>
        <v>0</v>
      </c>
      <c r="N23" s="24">
        <f t="shared" si="1"/>
        <v>184</v>
      </c>
      <c r="O23" s="24">
        <f t="shared" si="1"/>
        <v>12156202.489743713</v>
      </c>
      <c r="P23" s="24">
        <f t="shared" si="1"/>
        <v>72</v>
      </c>
      <c r="Q23" s="24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spans="1:37" ht="46.5" customHeight="1" x14ac:dyDescent="0.55000000000000004">
      <c r="A24" s="111">
        <v>45390</v>
      </c>
      <c r="B24" s="112" t="s">
        <v>30</v>
      </c>
      <c r="C24" s="113" t="s">
        <v>22</v>
      </c>
      <c r="D24" s="109">
        <v>2109240</v>
      </c>
      <c r="E24" s="109"/>
      <c r="F24" s="109">
        <v>11319126</v>
      </c>
      <c r="G24" s="109">
        <v>29484227</v>
      </c>
      <c r="H24" s="109"/>
      <c r="I24" s="109">
        <v>37769200</v>
      </c>
      <c r="J24" s="109">
        <f>SUM(D24:H25)</f>
        <v>42912593</v>
      </c>
      <c r="K24" s="109"/>
      <c r="L24" s="109"/>
      <c r="M24" s="109"/>
      <c r="N24" s="109">
        <v>20</v>
      </c>
      <c r="O24" s="109">
        <f>J24/N24</f>
        <v>2145629.65</v>
      </c>
      <c r="P24" s="109">
        <v>9</v>
      </c>
      <c r="Q24" s="115" t="s">
        <v>43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spans="1:37" ht="46.5" customHeight="1" x14ac:dyDescent="0.55000000000000004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spans="1:37" ht="46.5" customHeight="1" x14ac:dyDescent="0.55000000000000004">
      <c r="A26" s="111">
        <v>45391</v>
      </c>
      <c r="B26" s="113" t="s">
        <v>31</v>
      </c>
      <c r="C26" s="113" t="s">
        <v>22</v>
      </c>
      <c r="D26" s="109">
        <v>7050120</v>
      </c>
      <c r="E26" s="109"/>
      <c r="F26" s="109">
        <v>12632894</v>
      </c>
      <c r="G26" s="109">
        <v>275583</v>
      </c>
      <c r="H26" s="109">
        <v>13693977</v>
      </c>
      <c r="I26" s="109">
        <v>29667750</v>
      </c>
      <c r="J26" s="109">
        <f>SUM(D26:H27)</f>
        <v>33652574</v>
      </c>
      <c r="K26" s="109"/>
      <c r="L26" s="109"/>
      <c r="M26" s="109"/>
      <c r="N26" s="109">
        <v>21</v>
      </c>
      <c r="O26" s="109">
        <f>J26/N26</f>
        <v>1602503.5238095238</v>
      </c>
      <c r="P26" s="109">
        <v>11</v>
      </c>
      <c r="Q26" s="115" t="s">
        <v>33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ht="33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ht="75.75" customHeight="1" x14ac:dyDescent="0.55000000000000004">
      <c r="A28" s="111">
        <v>45392</v>
      </c>
      <c r="B28" s="113" t="s">
        <v>32</v>
      </c>
      <c r="C28" s="25" t="s">
        <v>24</v>
      </c>
      <c r="D28" s="26"/>
      <c r="E28" s="26">
        <v>6985440</v>
      </c>
      <c r="F28" s="27"/>
      <c r="G28" s="26"/>
      <c r="H28" s="26"/>
      <c r="I28" s="27">
        <v>6160000</v>
      </c>
      <c r="J28" s="26">
        <f>SUM(D28:H28)</f>
        <v>6985440</v>
      </c>
      <c r="K28" s="26"/>
      <c r="L28" s="27"/>
      <c r="M28" s="26"/>
      <c r="N28" s="26">
        <v>20</v>
      </c>
      <c r="O28" s="27">
        <f>J28/N28</f>
        <v>349272</v>
      </c>
      <c r="P28" s="26">
        <v>1</v>
      </c>
      <c r="Q28" s="26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spans="1:37" ht="61.5" customHeight="1" x14ac:dyDescent="0.55000000000000004">
      <c r="A29" s="62"/>
      <c r="B29" s="62"/>
      <c r="C29" s="28" t="s">
        <v>22</v>
      </c>
      <c r="D29" s="26">
        <v>11468969</v>
      </c>
      <c r="E29" s="26"/>
      <c r="F29" s="27">
        <v>12652135</v>
      </c>
      <c r="G29" s="26"/>
      <c r="H29" s="26"/>
      <c r="I29" s="27">
        <v>21148500</v>
      </c>
      <c r="J29" s="26">
        <f>SUM(D29:H29)</f>
        <v>24121104</v>
      </c>
      <c r="K29" s="26"/>
      <c r="L29" s="27"/>
      <c r="M29" s="26"/>
      <c r="N29" s="26">
        <v>17</v>
      </c>
      <c r="O29" s="27">
        <f>J29/N29</f>
        <v>1418888.4705882352</v>
      </c>
      <c r="P29" s="26">
        <v>10</v>
      </c>
      <c r="Q29" s="26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</row>
    <row r="30" spans="1:37" ht="46.5" customHeight="1" x14ac:dyDescent="0.55000000000000004">
      <c r="A30" s="111">
        <v>45393</v>
      </c>
      <c r="B30" s="113" t="s">
        <v>21</v>
      </c>
      <c r="C30" s="113" t="s">
        <v>22</v>
      </c>
      <c r="D30" s="109">
        <v>1063692</v>
      </c>
      <c r="E30" s="109"/>
      <c r="F30" s="109">
        <v>8511237</v>
      </c>
      <c r="G30" s="109">
        <v>18576398</v>
      </c>
      <c r="H30" s="109">
        <v>9319269</v>
      </c>
      <c r="I30" s="109">
        <v>32989150</v>
      </c>
      <c r="J30" s="109">
        <f>SUM(D30:H31)</f>
        <v>37470596</v>
      </c>
      <c r="K30" s="109"/>
      <c r="L30" s="109"/>
      <c r="M30" s="109"/>
      <c r="N30" s="109">
        <v>17</v>
      </c>
      <c r="O30" s="109">
        <f>J30/N30</f>
        <v>2204152.7058823528</v>
      </c>
      <c r="P30" s="109">
        <v>5</v>
      </c>
      <c r="Q30" s="110" t="s">
        <v>44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ht="34.5" customHeight="1" x14ac:dyDescent="0.55000000000000004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</row>
    <row r="32" spans="1:37" ht="46.5" customHeight="1" x14ac:dyDescent="0.55000000000000004">
      <c r="A32" s="111">
        <v>45394</v>
      </c>
      <c r="B32" s="113" t="s">
        <v>23</v>
      </c>
      <c r="C32" s="113" t="s">
        <v>22</v>
      </c>
      <c r="D32" s="109"/>
      <c r="E32" s="109"/>
      <c r="F32" s="109">
        <v>36364062</v>
      </c>
      <c r="G32" s="109">
        <v>14140526</v>
      </c>
      <c r="H32" s="109">
        <v>8853381</v>
      </c>
      <c r="I32" s="109">
        <v>52267500</v>
      </c>
      <c r="J32" s="109">
        <f>SUM(D32:H33)</f>
        <v>59357969</v>
      </c>
      <c r="K32" s="109"/>
      <c r="L32" s="109"/>
      <c r="M32" s="109"/>
      <c r="N32" s="109">
        <v>29</v>
      </c>
      <c r="O32" s="109">
        <f>J32/N32</f>
        <v>2046826.5172413792</v>
      </c>
      <c r="P32" s="109">
        <v>16</v>
      </c>
      <c r="Q32" s="115" t="s">
        <v>45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spans="1:37" ht="33" customHeight="1" x14ac:dyDescent="0.55000000000000004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ht="46.5" customHeight="1" x14ac:dyDescent="0.55000000000000004">
      <c r="A34" s="111">
        <v>45395</v>
      </c>
      <c r="B34" s="113" t="s">
        <v>25</v>
      </c>
      <c r="C34" s="113" t="s">
        <v>22</v>
      </c>
      <c r="D34" s="109">
        <v>4932900</v>
      </c>
      <c r="E34" s="109">
        <v>439992</v>
      </c>
      <c r="F34" s="109">
        <v>11995872</v>
      </c>
      <c r="G34" s="109"/>
      <c r="H34" s="109"/>
      <c r="I34" s="109">
        <v>15251000</v>
      </c>
      <c r="J34" s="109">
        <f>SUM(D34:H35)</f>
        <v>17368764</v>
      </c>
      <c r="K34" s="109"/>
      <c r="L34" s="109"/>
      <c r="M34" s="109"/>
      <c r="N34" s="109">
        <v>15</v>
      </c>
      <c r="O34" s="109">
        <f>J34/N34</f>
        <v>1157917.6000000001</v>
      </c>
      <c r="P34" s="109">
        <v>7</v>
      </c>
      <c r="Q34" s="109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spans="1:37" ht="46.5" customHeight="1" x14ac:dyDescent="0.55000000000000004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spans="1:37" ht="46.5" customHeight="1" x14ac:dyDescent="0.55000000000000004">
      <c r="A36" s="111">
        <v>45396</v>
      </c>
      <c r="B36" s="113" t="s">
        <v>27</v>
      </c>
      <c r="C36" s="113" t="s">
        <v>22</v>
      </c>
      <c r="D36" s="109"/>
      <c r="E36" s="109">
        <v>17943240</v>
      </c>
      <c r="F36" s="109">
        <v>7907802</v>
      </c>
      <c r="G36" s="109"/>
      <c r="H36" s="109">
        <v>29544499</v>
      </c>
      <c r="I36" s="109">
        <v>48666350</v>
      </c>
      <c r="J36" s="109">
        <f>SUM(D36:H37)</f>
        <v>55395541</v>
      </c>
      <c r="K36" s="109"/>
      <c r="L36" s="109"/>
      <c r="M36" s="109"/>
      <c r="N36" s="109">
        <v>45</v>
      </c>
      <c r="O36" s="109">
        <f>J36/N36</f>
        <v>1231012.0222222223</v>
      </c>
      <c r="P36" s="109">
        <v>13</v>
      </c>
      <c r="Q36" s="109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spans="1:37" ht="46.5" customHeight="1" x14ac:dyDescent="0.55000000000000004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spans="1:37" ht="46.5" customHeight="1" x14ac:dyDescent="0.55000000000000004">
      <c r="A38" s="114" t="s">
        <v>34</v>
      </c>
      <c r="B38" s="64"/>
      <c r="C38" s="65"/>
      <c r="D38" s="24">
        <f t="shared" ref="D38:P38" si="2">SUBTOTAL(9,D39:D52)</f>
        <v>8703251</v>
      </c>
      <c r="E38" s="24">
        <f t="shared" si="2"/>
        <v>45924732</v>
      </c>
      <c r="F38" s="24">
        <f t="shared" si="2"/>
        <v>50227149</v>
      </c>
      <c r="G38" s="24">
        <f t="shared" si="2"/>
        <v>35569773</v>
      </c>
      <c r="H38" s="24">
        <f t="shared" si="2"/>
        <v>0</v>
      </c>
      <c r="I38" s="24">
        <f t="shared" si="2"/>
        <v>123361300</v>
      </c>
      <c r="J38" s="24">
        <f t="shared" si="2"/>
        <v>140424905</v>
      </c>
      <c r="K38" s="24">
        <f t="shared" si="2"/>
        <v>0</v>
      </c>
      <c r="L38" s="24">
        <f t="shared" si="2"/>
        <v>0</v>
      </c>
      <c r="M38" s="24">
        <f t="shared" si="2"/>
        <v>0</v>
      </c>
      <c r="N38" s="24">
        <f t="shared" si="2"/>
        <v>111</v>
      </c>
      <c r="O38" s="24">
        <f t="shared" si="2"/>
        <v>6072499.527777778</v>
      </c>
      <c r="P38" s="24">
        <f t="shared" si="2"/>
        <v>37</v>
      </c>
      <c r="Q38" s="29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spans="1:37" ht="33" customHeight="1" x14ac:dyDescent="0.55000000000000004">
      <c r="A39" s="111">
        <v>45397</v>
      </c>
      <c r="B39" s="112" t="s">
        <v>30</v>
      </c>
      <c r="C39" s="113" t="s">
        <v>22</v>
      </c>
      <c r="D39" s="109">
        <v>1115940</v>
      </c>
      <c r="E39" s="109"/>
      <c r="F39" s="109">
        <v>4686402</v>
      </c>
      <c r="G39" s="109">
        <v>7773570</v>
      </c>
      <c r="H39" s="109"/>
      <c r="I39" s="109">
        <v>11913000</v>
      </c>
      <c r="J39" s="109">
        <f>SUM(D39:H40)</f>
        <v>13575912</v>
      </c>
      <c r="K39" s="109"/>
      <c r="L39" s="109"/>
      <c r="M39" s="109"/>
      <c r="N39" s="109">
        <v>14</v>
      </c>
      <c r="O39" s="109">
        <f>J39/N39</f>
        <v>969708</v>
      </c>
      <c r="P39" s="109">
        <v>5</v>
      </c>
      <c r="Q39" s="11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spans="1:37" ht="33" customHeight="1" x14ac:dyDescent="0.55000000000000004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spans="1:37" ht="33" customHeight="1" x14ac:dyDescent="0.55000000000000004">
      <c r="A41" s="111">
        <v>45398</v>
      </c>
      <c r="B41" s="112" t="s">
        <v>31</v>
      </c>
      <c r="C41" s="113" t="s">
        <v>22</v>
      </c>
      <c r="D41" s="109"/>
      <c r="E41" s="109"/>
      <c r="F41" s="109">
        <v>8895600</v>
      </c>
      <c r="G41" s="109">
        <v>1262709</v>
      </c>
      <c r="H41" s="109"/>
      <c r="I41" s="109">
        <v>8853500</v>
      </c>
      <c r="J41" s="109">
        <f>SUM(D41:H42)</f>
        <v>10158309</v>
      </c>
      <c r="K41" s="109"/>
      <c r="L41" s="109"/>
      <c r="M41" s="109"/>
      <c r="N41" s="109">
        <v>8</v>
      </c>
      <c r="O41" s="109">
        <f>J41/N41</f>
        <v>1269788.625</v>
      </c>
      <c r="P41" s="109">
        <v>5</v>
      </c>
      <c r="Q41" s="110" t="s">
        <v>46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spans="1:37" ht="33" customHeight="1" x14ac:dyDescent="0.55000000000000004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ht="33" customHeight="1" x14ac:dyDescent="0.55000000000000004">
      <c r="A43" s="111">
        <v>45399</v>
      </c>
      <c r="B43" s="112" t="s">
        <v>32</v>
      </c>
      <c r="C43" s="113" t="s">
        <v>22</v>
      </c>
      <c r="D43" s="109"/>
      <c r="E43" s="109">
        <v>1916460</v>
      </c>
      <c r="F43" s="109"/>
      <c r="G43" s="109"/>
      <c r="H43" s="109"/>
      <c r="I43" s="109">
        <v>1690000</v>
      </c>
      <c r="J43" s="109">
        <f>SUM(D43:H44)</f>
        <v>1916460</v>
      </c>
      <c r="K43" s="109"/>
      <c r="L43" s="109"/>
      <c r="M43" s="109"/>
      <c r="N43" s="109">
        <v>7</v>
      </c>
      <c r="O43" s="109">
        <f>J43/N43</f>
        <v>273780</v>
      </c>
      <c r="P43" s="109">
        <v>2</v>
      </c>
      <c r="Q43" s="110" t="s">
        <v>46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spans="1:37" ht="33" customHeight="1" x14ac:dyDescent="0.5500000000000000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spans="1:37" ht="33" customHeight="1" x14ac:dyDescent="0.55000000000000004">
      <c r="A45" s="111">
        <v>45400</v>
      </c>
      <c r="B45" s="112" t="s">
        <v>21</v>
      </c>
      <c r="C45" s="113" t="s">
        <v>22</v>
      </c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1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spans="1:37" ht="33" customHeight="1" x14ac:dyDescent="0.55000000000000004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ht="48.75" customHeight="1" x14ac:dyDescent="0.55000000000000004">
      <c r="A47" s="111">
        <v>45401</v>
      </c>
      <c r="B47" s="112" t="s">
        <v>23</v>
      </c>
      <c r="C47" s="113" t="s">
        <v>22</v>
      </c>
      <c r="D47" s="109">
        <v>6453311</v>
      </c>
      <c r="E47" s="109">
        <v>39721752</v>
      </c>
      <c r="F47" s="109">
        <v>34045095</v>
      </c>
      <c r="G47" s="109">
        <v>20991531</v>
      </c>
      <c r="H47" s="109"/>
      <c r="I47" s="109">
        <v>88954800</v>
      </c>
      <c r="J47" s="109">
        <f>SUM(C47:G48)</f>
        <v>101211689</v>
      </c>
      <c r="K47" s="109"/>
      <c r="L47" s="109"/>
      <c r="M47" s="109"/>
      <c r="N47" s="109">
        <v>72</v>
      </c>
      <c r="O47" s="109">
        <f>J47/N47</f>
        <v>1405717.9027777778</v>
      </c>
      <c r="P47" s="109">
        <v>18</v>
      </c>
      <c r="Q47" s="110" t="s">
        <v>33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spans="1:37" ht="37.5" customHeight="1" x14ac:dyDescent="0.55000000000000004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spans="1:37" ht="33" customHeight="1" x14ac:dyDescent="0.55000000000000004">
      <c r="A49" s="111">
        <v>45402</v>
      </c>
      <c r="B49" s="113" t="s">
        <v>25</v>
      </c>
      <c r="C49" s="113" t="s">
        <v>22</v>
      </c>
      <c r="D49" s="109"/>
      <c r="E49" s="109">
        <v>4286520</v>
      </c>
      <c r="F49" s="109">
        <v>2600052</v>
      </c>
      <c r="G49" s="109">
        <v>5541963</v>
      </c>
      <c r="H49" s="109"/>
      <c r="I49" s="109">
        <v>10950000</v>
      </c>
      <c r="J49" s="109">
        <f>SUM(D49:H50)</f>
        <v>12428535</v>
      </c>
      <c r="K49" s="109"/>
      <c r="L49" s="109"/>
      <c r="M49" s="109"/>
      <c r="N49" s="109">
        <v>7</v>
      </c>
      <c r="O49" s="109">
        <f>J49/N49</f>
        <v>1775505</v>
      </c>
      <c r="P49" s="109">
        <v>6</v>
      </c>
      <c r="Q49" s="115" t="s">
        <v>46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spans="1:37" ht="33" customHeight="1" x14ac:dyDescent="0.55000000000000004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ht="33" customHeight="1" x14ac:dyDescent="0.55000000000000004">
      <c r="A51" s="111">
        <v>45403</v>
      </c>
      <c r="B51" s="113" t="s">
        <v>27</v>
      </c>
      <c r="C51" s="113" t="s">
        <v>22</v>
      </c>
      <c r="D51" s="109">
        <v>1134000</v>
      </c>
      <c r="E51" s="109"/>
      <c r="F51" s="109"/>
      <c r="G51" s="109"/>
      <c r="H51" s="109"/>
      <c r="I51" s="109">
        <v>1000000</v>
      </c>
      <c r="J51" s="109">
        <f>SUM(D51:H52)</f>
        <v>1134000</v>
      </c>
      <c r="K51" s="109"/>
      <c r="L51" s="109"/>
      <c r="M51" s="109"/>
      <c r="N51" s="109">
        <v>3</v>
      </c>
      <c r="O51" s="109">
        <f>J51/N51</f>
        <v>378000</v>
      </c>
      <c r="P51" s="109">
        <v>1</v>
      </c>
      <c r="Q51" s="109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spans="1:37" ht="33" customHeight="1" x14ac:dyDescent="0.55000000000000004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spans="1:37" ht="40.5" customHeight="1" x14ac:dyDescent="0.55000000000000004">
      <c r="A53" s="114" t="s">
        <v>36</v>
      </c>
      <c r="B53" s="64"/>
      <c r="C53" s="65"/>
      <c r="D53" s="24" t="str">
        <f ca="1">SUBTOTAL(9,D6:D54)</f>
        <v>#REF!</v>
      </c>
      <c r="E53" s="24">
        <f t="shared" ref="E53:P53" si="3">SUBTOTAL(9,E54:E67)</f>
        <v>10628562</v>
      </c>
      <c r="F53" s="24">
        <f t="shared" si="3"/>
        <v>57098147</v>
      </c>
      <c r="G53" s="24">
        <f t="shared" si="3"/>
        <v>106269119</v>
      </c>
      <c r="H53" s="24">
        <f t="shared" si="3"/>
        <v>19611396</v>
      </c>
      <c r="I53" s="24">
        <f t="shared" si="3"/>
        <v>174366700</v>
      </c>
      <c r="J53" s="24">
        <f t="shared" si="3"/>
        <v>198274898</v>
      </c>
      <c r="K53" s="24">
        <f t="shared" si="3"/>
        <v>0</v>
      </c>
      <c r="L53" s="24">
        <f t="shared" si="3"/>
        <v>0</v>
      </c>
      <c r="M53" s="24">
        <f t="shared" si="3"/>
        <v>0</v>
      </c>
      <c r="N53" s="24">
        <f t="shared" si="3"/>
        <v>98</v>
      </c>
      <c r="O53" s="24">
        <f t="shared" si="3"/>
        <v>10886795.453677461</v>
      </c>
      <c r="P53" s="24">
        <f t="shared" si="3"/>
        <v>39</v>
      </c>
      <c r="Q53" s="24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spans="1:37" ht="46.5" customHeight="1" x14ac:dyDescent="0.55000000000000004">
      <c r="A54" s="111">
        <v>45404</v>
      </c>
      <c r="B54" s="112" t="s">
        <v>30</v>
      </c>
      <c r="C54" s="113" t="s">
        <v>22</v>
      </c>
      <c r="D54" s="109">
        <v>4206930</v>
      </c>
      <c r="E54" s="109"/>
      <c r="F54" s="109">
        <v>17156878</v>
      </c>
      <c r="G54" s="109">
        <v>318087</v>
      </c>
      <c r="H54" s="109">
        <v>3701376</v>
      </c>
      <c r="I54" s="109">
        <v>22306800</v>
      </c>
      <c r="J54" s="109">
        <f>SUM(D54:H55)</f>
        <v>25383271</v>
      </c>
      <c r="K54" s="109"/>
      <c r="L54" s="109"/>
      <c r="M54" s="109"/>
      <c r="N54" s="109">
        <v>20</v>
      </c>
      <c r="O54" s="109">
        <f>J54/N54</f>
        <v>1269163.55</v>
      </c>
      <c r="P54" s="109">
        <v>9</v>
      </c>
      <c r="Q54" s="109" t="s">
        <v>33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spans="1:37" ht="46.5" customHeight="1" x14ac:dyDescent="0.55000000000000004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spans="1:37" ht="34.5" customHeight="1" x14ac:dyDescent="0.55000000000000004">
      <c r="A56" s="111">
        <v>45405</v>
      </c>
      <c r="B56" s="112" t="s">
        <v>31</v>
      </c>
      <c r="C56" s="113" t="s">
        <v>22</v>
      </c>
      <c r="D56" s="109"/>
      <c r="E56" s="109">
        <v>2642220</v>
      </c>
      <c r="F56" s="109">
        <v>8061379</v>
      </c>
      <c r="G56" s="109">
        <v>26336300</v>
      </c>
      <c r="H56" s="109"/>
      <c r="I56" s="109">
        <v>32663050</v>
      </c>
      <c r="J56" s="109">
        <f>SUM(D56:H57)</f>
        <v>37039899</v>
      </c>
      <c r="K56" s="109"/>
      <c r="L56" s="109"/>
      <c r="M56" s="109"/>
      <c r="N56" s="109">
        <v>19</v>
      </c>
      <c r="O56" s="109">
        <f>J56/N56</f>
        <v>1949468.3684210526</v>
      </c>
      <c r="P56" s="109">
        <v>8</v>
      </c>
      <c r="Q56" s="110" t="s">
        <v>47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spans="1:37" ht="111" customHeight="1" x14ac:dyDescent="0.55000000000000004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37" ht="66" customHeight="1" x14ac:dyDescent="0.55000000000000004">
      <c r="A58" s="111">
        <v>45406</v>
      </c>
      <c r="B58" s="112" t="s">
        <v>32</v>
      </c>
      <c r="C58" s="113" t="s">
        <v>22</v>
      </c>
      <c r="D58" s="109"/>
      <c r="E58" s="109"/>
      <c r="F58" s="109">
        <v>9253440</v>
      </c>
      <c r="G58" s="109">
        <v>78371301</v>
      </c>
      <c r="H58" s="109"/>
      <c r="I58" s="109">
        <v>76976050</v>
      </c>
      <c r="J58" s="109">
        <f>SUM(D58:H59)</f>
        <v>87624741</v>
      </c>
      <c r="K58" s="109"/>
      <c r="L58" s="109"/>
      <c r="M58" s="109"/>
      <c r="N58" s="109">
        <v>24</v>
      </c>
      <c r="O58" s="109">
        <f>J58/N58</f>
        <v>3651030.875</v>
      </c>
      <c r="P58" s="109">
        <v>4</v>
      </c>
      <c r="Q58" s="110" t="s">
        <v>48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37" ht="46.5" customHeight="1" x14ac:dyDescent="0.55000000000000004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37" ht="46.5" customHeight="1" x14ac:dyDescent="0.55000000000000004">
      <c r="A60" s="111">
        <v>45407</v>
      </c>
      <c r="B60" s="112" t="s">
        <v>21</v>
      </c>
      <c r="C60" s="113" t="s">
        <v>22</v>
      </c>
      <c r="D60" s="109">
        <v>460744</v>
      </c>
      <c r="E60" s="109">
        <v>7986342</v>
      </c>
      <c r="F60" s="109">
        <v>8363250</v>
      </c>
      <c r="G60" s="109">
        <v>106029</v>
      </c>
      <c r="H60" s="109"/>
      <c r="I60" s="109">
        <v>14887800</v>
      </c>
      <c r="J60" s="109">
        <f>SUM(D60:H61)</f>
        <v>16916365</v>
      </c>
      <c r="K60" s="109"/>
      <c r="L60" s="109"/>
      <c r="M60" s="109"/>
      <c r="N60" s="109">
        <v>12</v>
      </c>
      <c r="O60" s="109">
        <f>J60/N60</f>
        <v>1409697.0833333333</v>
      </c>
      <c r="P60" s="109">
        <v>6</v>
      </c>
      <c r="Q60" s="109" t="s">
        <v>33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37" ht="46.5" customHeight="1" x14ac:dyDescent="0.55000000000000004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1:37" ht="40.5" customHeight="1" x14ac:dyDescent="0.55000000000000004">
      <c r="A62" s="111">
        <v>45408</v>
      </c>
      <c r="B62" s="112" t="s">
        <v>23</v>
      </c>
      <c r="C62" s="113" t="s">
        <v>22</v>
      </c>
      <c r="D62" s="109"/>
      <c r="E62" s="109"/>
      <c r="F62" s="109">
        <v>5329380</v>
      </c>
      <c r="G62" s="109">
        <v>1137402</v>
      </c>
      <c r="H62" s="109">
        <v>2153353</v>
      </c>
      <c r="I62" s="109">
        <v>7571900</v>
      </c>
      <c r="J62" s="109">
        <f>SUM(D62:H63)</f>
        <v>8620135</v>
      </c>
      <c r="K62" s="109"/>
      <c r="L62" s="109"/>
      <c r="M62" s="109"/>
      <c r="N62" s="109">
        <v>10</v>
      </c>
      <c r="O62" s="109">
        <f>J62/N62</f>
        <v>862013.5</v>
      </c>
      <c r="P62" s="109">
        <v>5</v>
      </c>
      <c r="Q62" s="110" t="s">
        <v>43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spans="1:37" ht="40.5" customHeight="1" x14ac:dyDescent="0.55000000000000004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spans="1:37" ht="46.5" customHeight="1" x14ac:dyDescent="0.55000000000000004">
      <c r="A64" s="111">
        <v>45409</v>
      </c>
      <c r="B64" s="113" t="s">
        <v>25</v>
      </c>
      <c r="C64" s="113" t="s">
        <v>22</v>
      </c>
      <c r="D64" s="109"/>
      <c r="E64" s="109"/>
      <c r="F64" s="109">
        <v>8933820</v>
      </c>
      <c r="G64" s="109"/>
      <c r="H64" s="109">
        <v>13756667</v>
      </c>
      <c r="I64" s="109">
        <v>19961100</v>
      </c>
      <c r="J64" s="109">
        <f>SUM(D64:H65)</f>
        <v>22690487</v>
      </c>
      <c r="K64" s="109"/>
      <c r="L64" s="109"/>
      <c r="M64" s="109"/>
      <c r="N64" s="109">
        <v>13</v>
      </c>
      <c r="O64" s="109">
        <f>J64/N64</f>
        <v>1745422.076923077</v>
      </c>
      <c r="P64" s="109">
        <v>7</v>
      </c>
      <c r="Q64" s="109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spans="1:37" ht="46.5" customHeight="1" x14ac:dyDescent="0.55000000000000004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spans="1:37" ht="46.5" customHeight="1" x14ac:dyDescent="0.55000000000000004">
      <c r="A66" s="111">
        <v>45410</v>
      </c>
      <c r="B66" s="113" t="s">
        <v>27</v>
      </c>
      <c r="C66" s="113" t="s">
        <v>22</v>
      </c>
      <c r="D66" s="109"/>
      <c r="E66" s="109"/>
      <c r="F66" s="109"/>
      <c r="G66" s="109"/>
      <c r="H66" s="109"/>
      <c r="I66" s="109"/>
      <c r="J66" s="109">
        <f>SUM(D66:H67)</f>
        <v>0</v>
      </c>
      <c r="K66" s="109"/>
      <c r="L66" s="109"/>
      <c r="M66" s="109"/>
      <c r="N66" s="109"/>
      <c r="O66" s="109"/>
      <c r="P66" s="109"/>
      <c r="Q66" s="109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spans="1:37" ht="46.5" customHeight="1" x14ac:dyDescent="0.55000000000000004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spans="1:37" ht="43.5" customHeight="1" x14ac:dyDescent="0.55000000000000004">
      <c r="A68" s="108" t="s">
        <v>40</v>
      </c>
      <c r="B68" s="64"/>
      <c r="C68" s="65"/>
      <c r="D68" s="30">
        <f t="shared" ref="D68:N68" ca="1" si="4">SUBTOTAL(9,D7:D67)</f>
        <v>53873738</v>
      </c>
      <c r="E68" s="30">
        <f t="shared" si="4"/>
        <v>132099668</v>
      </c>
      <c r="F68" s="30">
        <f t="shared" si="4"/>
        <v>290190515</v>
      </c>
      <c r="G68" s="30">
        <f t="shared" si="4"/>
        <v>253204507</v>
      </c>
      <c r="H68" s="30">
        <f t="shared" si="4"/>
        <v>101766364</v>
      </c>
      <c r="I68" s="30">
        <f t="shared" si="4"/>
        <v>731046800</v>
      </c>
      <c r="J68" s="30">
        <f t="shared" si="4"/>
        <v>831134792</v>
      </c>
      <c r="K68" s="30">
        <f t="shared" si="4"/>
        <v>0</v>
      </c>
      <c r="L68" s="30">
        <f t="shared" si="4"/>
        <v>0</v>
      </c>
      <c r="M68" s="30">
        <f t="shared" si="4"/>
        <v>0</v>
      </c>
      <c r="N68" s="30">
        <f t="shared" si="4"/>
        <v>522</v>
      </c>
      <c r="O68" s="30">
        <f>SUBTOTAL(9,O8:O51)</f>
        <v>31898762.417286098</v>
      </c>
      <c r="P68" s="30">
        <f>SUBTOTAL(9,P7:P67)</f>
        <v>200</v>
      </c>
      <c r="Q68" s="3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spans="1:37" ht="46.5" customHeight="1" x14ac:dyDescent="0.7">
      <c r="A69" s="19"/>
      <c r="B69" s="19"/>
      <c r="C69" s="19"/>
      <c r="D69" s="31"/>
      <c r="E69" s="31"/>
      <c r="F69" s="31"/>
      <c r="G69" s="31"/>
      <c r="H69" s="31"/>
      <c r="I69" s="31"/>
      <c r="J69" s="31"/>
      <c r="K69" s="19"/>
      <c r="L69" s="19"/>
      <c r="M69" s="19"/>
      <c r="N69" s="31"/>
      <c r="O69" s="31"/>
      <c r="P69" s="31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</row>
    <row r="70" spans="1:37" ht="46.5" customHeight="1" x14ac:dyDescent="0.7">
      <c r="A70" s="19"/>
      <c r="B70" s="19"/>
      <c r="C70" s="19"/>
      <c r="D70" s="31"/>
      <c r="E70" s="31"/>
      <c r="F70" s="31"/>
      <c r="G70" s="31"/>
      <c r="H70" s="31"/>
      <c r="I70" s="31"/>
      <c r="J70" s="31"/>
      <c r="K70" s="19"/>
      <c r="L70" s="19"/>
      <c r="M70" s="19"/>
      <c r="N70" s="31"/>
      <c r="O70" s="31"/>
      <c r="P70" s="31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</row>
    <row r="71" spans="1:37" ht="46.5" customHeight="1" x14ac:dyDescent="0.7">
      <c r="A71" s="19"/>
      <c r="B71" s="19"/>
      <c r="C71" s="19"/>
      <c r="D71" s="31"/>
      <c r="E71" s="31"/>
      <c r="F71" s="31"/>
      <c r="G71" s="31"/>
      <c r="H71" s="31"/>
      <c r="I71" s="31"/>
      <c r="J71" s="31"/>
      <c r="K71" s="19"/>
      <c r="L71" s="19"/>
      <c r="M71" s="19"/>
      <c r="N71" s="31"/>
      <c r="O71" s="31"/>
      <c r="P71" s="31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</row>
    <row r="72" spans="1:37" ht="46.5" customHeight="1" x14ac:dyDescent="0.7">
      <c r="A72" s="19"/>
      <c r="B72" s="19"/>
      <c r="C72" s="19"/>
      <c r="D72" s="31"/>
      <c r="E72" s="31"/>
      <c r="F72" s="31"/>
      <c r="G72" s="31"/>
      <c r="H72" s="31"/>
      <c r="I72" s="31"/>
      <c r="J72" s="31"/>
      <c r="K72" s="19"/>
      <c r="L72" s="19"/>
      <c r="M72" s="19"/>
      <c r="N72" s="31"/>
      <c r="O72" s="31"/>
      <c r="P72" s="31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</row>
    <row r="73" spans="1:37" ht="46.5" customHeight="1" x14ac:dyDescent="0.7">
      <c r="A73" s="19"/>
      <c r="B73" s="19"/>
      <c r="C73" s="19"/>
      <c r="D73" s="31"/>
      <c r="E73" s="31"/>
      <c r="F73" s="31"/>
      <c r="G73" s="31"/>
      <c r="H73" s="31"/>
      <c r="I73" s="31"/>
      <c r="J73" s="31"/>
      <c r="K73" s="19"/>
      <c r="L73" s="19"/>
      <c r="M73" s="19"/>
      <c r="N73" s="31"/>
      <c r="O73" s="31"/>
      <c r="P73" s="31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</row>
    <row r="74" spans="1:37" ht="46.5" customHeight="1" x14ac:dyDescent="0.7">
      <c r="A74" s="19"/>
      <c r="B74" s="19"/>
      <c r="C74" s="19"/>
      <c r="D74" s="31"/>
      <c r="E74" s="31"/>
      <c r="F74" s="31"/>
      <c r="G74" s="31"/>
      <c r="H74" s="31"/>
      <c r="I74" s="31"/>
      <c r="J74" s="31"/>
      <c r="K74" s="19"/>
      <c r="L74" s="19"/>
      <c r="M74" s="19"/>
      <c r="N74" s="31"/>
      <c r="O74" s="31"/>
      <c r="P74" s="31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</row>
    <row r="75" spans="1:37" ht="46.5" customHeight="1" x14ac:dyDescent="0.7">
      <c r="A75" s="19"/>
      <c r="B75" s="19"/>
      <c r="C75" s="19"/>
      <c r="D75" s="31"/>
      <c r="E75" s="31"/>
      <c r="F75" s="31"/>
      <c r="G75" s="31"/>
      <c r="H75" s="31"/>
      <c r="I75" s="31"/>
      <c r="J75" s="31"/>
      <c r="K75" s="19"/>
      <c r="L75" s="19"/>
      <c r="M75" s="19"/>
      <c r="N75" s="31"/>
      <c r="O75" s="31"/>
      <c r="P75" s="31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</row>
    <row r="76" spans="1:37" ht="46.5" customHeight="1" x14ac:dyDescent="0.7">
      <c r="A76" s="19"/>
      <c r="B76" s="19"/>
      <c r="C76" s="19"/>
      <c r="D76" s="31"/>
      <c r="E76" s="31"/>
      <c r="F76" s="31"/>
      <c r="G76" s="31"/>
      <c r="H76" s="31"/>
      <c r="I76" s="31"/>
      <c r="J76" s="31"/>
      <c r="K76" s="19"/>
      <c r="L76" s="19"/>
      <c r="M76" s="19"/>
      <c r="N76" s="31"/>
      <c r="O76" s="31"/>
      <c r="P76" s="31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</row>
    <row r="77" spans="1:37" ht="46.5" customHeight="1" x14ac:dyDescent="0.7">
      <c r="A77" s="19"/>
      <c r="B77" s="19"/>
      <c r="C77" s="19"/>
      <c r="D77" s="31"/>
      <c r="E77" s="31"/>
      <c r="F77" s="31"/>
      <c r="G77" s="31"/>
      <c r="H77" s="31"/>
      <c r="I77" s="31"/>
      <c r="J77" s="31"/>
      <c r="K77" s="19"/>
      <c r="L77" s="19"/>
      <c r="M77" s="19"/>
      <c r="N77" s="31"/>
      <c r="O77" s="31"/>
      <c r="P77" s="31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</row>
    <row r="78" spans="1:37" ht="46.5" customHeight="1" x14ac:dyDescent="0.7">
      <c r="A78" s="19"/>
      <c r="B78" s="19"/>
      <c r="C78" s="19"/>
      <c r="D78" s="31"/>
      <c r="E78" s="31"/>
      <c r="F78" s="31"/>
      <c r="G78" s="31"/>
      <c r="H78" s="31"/>
      <c r="I78" s="31"/>
      <c r="J78" s="31"/>
      <c r="K78" s="19"/>
      <c r="L78" s="19"/>
      <c r="M78" s="19"/>
      <c r="N78" s="31"/>
      <c r="O78" s="31"/>
      <c r="P78" s="31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</row>
    <row r="79" spans="1:37" ht="46.5" customHeight="1" x14ac:dyDescent="0.7">
      <c r="A79" s="19"/>
      <c r="B79" s="19"/>
      <c r="C79" s="19"/>
      <c r="D79" s="31"/>
      <c r="E79" s="31"/>
      <c r="F79" s="31"/>
      <c r="G79" s="31"/>
      <c r="H79" s="31"/>
      <c r="I79" s="31"/>
      <c r="J79" s="31"/>
      <c r="K79" s="19"/>
      <c r="L79" s="19"/>
      <c r="M79" s="19"/>
      <c r="N79" s="31"/>
      <c r="O79" s="31"/>
      <c r="P79" s="31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</row>
    <row r="80" spans="1:37" ht="46.5" customHeight="1" x14ac:dyDescent="0.7">
      <c r="A80" s="19"/>
      <c r="B80" s="19"/>
      <c r="C80" s="19"/>
      <c r="D80" s="31"/>
      <c r="E80" s="31"/>
      <c r="F80" s="31"/>
      <c r="G80" s="31"/>
      <c r="H80" s="31"/>
      <c r="I80" s="31"/>
      <c r="J80" s="31"/>
      <c r="K80" s="19"/>
      <c r="L80" s="19"/>
      <c r="M80" s="19"/>
      <c r="N80" s="31"/>
      <c r="O80" s="31"/>
      <c r="P80" s="31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</row>
    <row r="81" spans="1:37" ht="46.5" customHeight="1" x14ac:dyDescent="0.7">
      <c r="A81" s="19"/>
      <c r="B81" s="19"/>
      <c r="C81" s="19"/>
      <c r="D81" s="31"/>
      <c r="E81" s="31"/>
      <c r="F81" s="31"/>
      <c r="G81" s="31"/>
      <c r="H81" s="31"/>
      <c r="I81" s="31"/>
      <c r="J81" s="31"/>
      <c r="K81" s="19"/>
      <c r="L81" s="19"/>
      <c r="M81" s="19"/>
      <c r="N81" s="31"/>
      <c r="O81" s="31"/>
      <c r="P81" s="31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</row>
    <row r="82" spans="1:37" ht="46.5" customHeight="1" x14ac:dyDescent="0.7">
      <c r="A82" s="19"/>
      <c r="B82" s="19"/>
      <c r="C82" s="19"/>
      <c r="D82" s="31"/>
      <c r="E82" s="31"/>
      <c r="F82" s="31"/>
      <c r="G82" s="31"/>
      <c r="H82" s="31"/>
      <c r="I82" s="31"/>
      <c r="J82" s="31"/>
      <c r="K82" s="19"/>
      <c r="L82" s="19"/>
      <c r="M82" s="19"/>
      <c r="N82" s="31"/>
      <c r="O82" s="31"/>
      <c r="P82" s="31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</row>
    <row r="83" spans="1:37" ht="46.5" customHeight="1" x14ac:dyDescent="0.7">
      <c r="A83" s="19"/>
      <c r="B83" s="19"/>
      <c r="C83" s="19"/>
      <c r="D83" s="31"/>
      <c r="E83" s="31"/>
      <c r="F83" s="31"/>
      <c r="G83" s="31"/>
      <c r="H83" s="31"/>
      <c r="I83" s="31"/>
      <c r="J83" s="31"/>
      <c r="K83" s="19"/>
      <c r="L83" s="19"/>
      <c r="M83" s="19"/>
      <c r="N83" s="31"/>
      <c r="O83" s="31"/>
      <c r="P83" s="31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</row>
    <row r="84" spans="1:37" ht="46.5" customHeight="1" x14ac:dyDescent="0.7">
      <c r="A84" s="19"/>
      <c r="B84" s="19"/>
      <c r="C84" s="19"/>
      <c r="D84" s="31"/>
      <c r="E84" s="31"/>
      <c r="F84" s="31"/>
      <c r="G84" s="31"/>
      <c r="H84" s="31"/>
      <c r="I84" s="31"/>
      <c r="J84" s="31"/>
      <c r="K84" s="19"/>
      <c r="L84" s="19"/>
      <c r="M84" s="19"/>
      <c r="N84" s="31"/>
      <c r="O84" s="31"/>
      <c r="P84" s="31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</row>
    <row r="85" spans="1:37" ht="46.5" customHeight="1" x14ac:dyDescent="0.7">
      <c r="A85" s="19"/>
      <c r="B85" s="19"/>
      <c r="C85" s="19"/>
      <c r="D85" s="31"/>
      <c r="E85" s="31"/>
      <c r="F85" s="31"/>
      <c r="G85" s="31"/>
      <c r="H85" s="31"/>
      <c r="I85" s="31"/>
      <c r="J85" s="31"/>
      <c r="K85" s="19"/>
      <c r="L85" s="19"/>
      <c r="M85" s="19"/>
      <c r="N85" s="31"/>
      <c r="O85" s="31"/>
      <c r="P85" s="31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</row>
    <row r="86" spans="1:37" ht="46.5" customHeight="1" x14ac:dyDescent="0.7">
      <c r="A86" s="19"/>
      <c r="B86" s="19"/>
      <c r="C86" s="19"/>
      <c r="D86" s="31"/>
      <c r="E86" s="31"/>
      <c r="F86" s="31"/>
      <c r="G86" s="31"/>
      <c r="H86" s="31"/>
      <c r="I86" s="31"/>
      <c r="J86" s="31"/>
      <c r="K86" s="19"/>
      <c r="L86" s="19"/>
      <c r="M86" s="19"/>
      <c r="N86" s="31"/>
      <c r="O86" s="31"/>
      <c r="P86" s="31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</row>
    <row r="87" spans="1:37" ht="46.5" customHeight="1" x14ac:dyDescent="0.7">
      <c r="A87" s="19"/>
      <c r="B87" s="19"/>
      <c r="C87" s="19"/>
      <c r="D87" s="31"/>
      <c r="E87" s="31"/>
      <c r="F87" s="31"/>
      <c r="G87" s="31"/>
      <c r="H87" s="31"/>
      <c r="I87" s="31"/>
      <c r="J87" s="31"/>
      <c r="K87" s="19"/>
      <c r="L87" s="19"/>
      <c r="M87" s="19"/>
      <c r="N87" s="31"/>
      <c r="O87" s="31"/>
      <c r="P87" s="31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</row>
    <row r="88" spans="1:37" ht="46.5" customHeight="1" x14ac:dyDescent="0.7">
      <c r="A88" s="19"/>
      <c r="B88" s="19"/>
      <c r="C88" s="19"/>
      <c r="D88" s="31"/>
      <c r="E88" s="31"/>
      <c r="F88" s="31"/>
      <c r="G88" s="31"/>
      <c r="H88" s="31"/>
      <c r="I88" s="31"/>
      <c r="J88" s="31"/>
      <c r="K88" s="19"/>
      <c r="L88" s="19"/>
      <c r="M88" s="19"/>
      <c r="N88" s="31"/>
      <c r="O88" s="31"/>
      <c r="P88" s="31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</row>
    <row r="89" spans="1:37" ht="46.5" customHeight="1" x14ac:dyDescent="0.7">
      <c r="A89" s="19"/>
      <c r="B89" s="19"/>
      <c r="C89" s="19"/>
      <c r="D89" s="31"/>
      <c r="E89" s="31"/>
      <c r="F89" s="31"/>
      <c r="G89" s="31"/>
      <c r="H89" s="31"/>
      <c r="I89" s="31"/>
      <c r="J89" s="31"/>
      <c r="K89" s="19"/>
      <c r="L89" s="19"/>
      <c r="M89" s="19"/>
      <c r="N89" s="31"/>
      <c r="O89" s="31"/>
      <c r="P89" s="31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</row>
    <row r="90" spans="1:37" ht="46.5" customHeight="1" x14ac:dyDescent="0.7">
      <c r="A90" s="19"/>
      <c r="B90" s="19"/>
      <c r="C90" s="19"/>
      <c r="D90" s="31"/>
      <c r="E90" s="31"/>
      <c r="F90" s="31"/>
      <c r="G90" s="31"/>
      <c r="H90" s="31"/>
      <c r="I90" s="31"/>
      <c r="J90" s="31"/>
      <c r="K90" s="19"/>
      <c r="L90" s="19"/>
      <c r="M90" s="19"/>
      <c r="N90" s="31"/>
      <c r="O90" s="31"/>
      <c r="P90" s="31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</row>
    <row r="91" spans="1:37" ht="46.5" customHeight="1" x14ac:dyDescent="0.7">
      <c r="A91" s="19"/>
      <c r="B91" s="19"/>
      <c r="C91" s="19"/>
      <c r="D91" s="31"/>
      <c r="E91" s="31"/>
      <c r="F91" s="31"/>
      <c r="G91" s="31"/>
      <c r="H91" s="31"/>
      <c r="I91" s="31"/>
      <c r="J91" s="31"/>
      <c r="K91" s="19"/>
      <c r="L91" s="19"/>
      <c r="M91" s="19"/>
      <c r="N91" s="31"/>
      <c r="O91" s="31"/>
      <c r="P91" s="31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</row>
    <row r="92" spans="1:37" ht="46.5" customHeight="1" x14ac:dyDescent="0.7">
      <c r="A92" s="19"/>
      <c r="B92" s="19"/>
      <c r="C92" s="19"/>
      <c r="D92" s="31"/>
      <c r="E92" s="31"/>
      <c r="F92" s="31"/>
      <c r="G92" s="31"/>
      <c r="H92" s="31"/>
      <c r="I92" s="31"/>
      <c r="J92" s="31"/>
      <c r="K92" s="19"/>
      <c r="L92" s="19"/>
      <c r="M92" s="19"/>
      <c r="N92" s="31"/>
      <c r="O92" s="31"/>
      <c r="P92" s="31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</row>
    <row r="93" spans="1:37" ht="46.5" customHeight="1" x14ac:dyDescent="0.7">
      <c r="A93" s="19"/>
      <c r="B93" s="19"/>
      <c r="C93" s="19"/>
      <c r="D93" s="31"/>
      <c r="E93" s="31"/>
      <c r="F93" s="31"/>
      <c r="G93" s="31"/>
      <c r="H93" s="31"/>
      <c r="I93" s="31"/>
      <c r="J93" s="31"/>
      <c r="K93" s="19"/>
      <c r="L93" s="19"/>
      <c r="M93" s="19"/>
      <c r="N93" s="31"/>
      <c r="O93" s="31"/>
      <c r="P93" s="31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</row>
    <row r="94" spans="1:37" ht="46.5" customHeight="1" x14ac:dyDescent="0.7">
      <c r="A94" s="19"/>
      <c r="B94" s="19"/>
      <c r="C94" s="19"/>
      <c r="D94" s="31"/>
      <c r="E94" s="31"/>
      <c r="F94" s="31"/>
      <c r="G94" s="31"/>
      <c r="H94" s="31"/>
      <c r="I94" s="31"/>
      <c r="J94" s="31"/>
      <c r="K94" s="19"/>
      <c r="L94" s="19"/>
      <c r="M94" s="19"/>
      <c r="N94" s="31"/>
      <c r="O94" s="31"/>
      <c r="P94" s="31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</row>
    <row r="95" spans="1:37" ht="46.5" customHeight="1" x14ac:dyDescent="0.7">
      <c r="A95" s="19"/>
      <c r="B95" s="19"/>
      <c r="C95" s="19"/>
      <c r="D95" s="31"/>
      <c r="E95" s="31"/>
      <c r="F95" s="31"/>
      <c r="G95" s="31"/>
      <c r="H95" s="31"/>
      <c r="I95" s="31"/>
      <c r="J95" s="31"/>
      <c r="K95" s="19"/>
      <c r="L95" s="19"/>
      <c r="M95" s="19"/>
      <c r="N95" s="31"/>
      <c r="O95" s="31"/>
      <c r="P95" s="31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</row>
    <row r="96" spans="1:37" ht="46.5" customHeight="1" x14ac:dyDescent="0.7">
      <c r="A96" s="19"/>
      <c r="B96" s="19"/>
      <c r="C96" s="19"/>
      <c r="D96" s="31"/>
      <c r="E96" s="31"/>
      <c r="F96" s="31"/>
      <c r="G96" s="31"/>
      <c r="H96" s="31"/>
      <c r="I96" s="31"/>
      <c r="J96" s="31"/>
      <c r="K96" s="19"/>
      <c r="L96" s="19"/>
      <c r="M96" s="19"/>
      <c r="N96" s="31"/>
      <c r="O96" s="31"/>
      <c r="P96" s="31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</row>
    <row r="97" spans="1:37" ht="46.5" customHeight="1" x14ac:dyDescent="0.7">
      <c r="A97" s="19"/>
      <c r="B97" s="19"/>
      <c r="C97" s="19"/>
      <c r="D97" s="31"/>
      <c r="E97" s="31"/>
      <c r="F97" s="31"/>
      <c r="G97" s="31"/>
      <c r="H97" s="31"/>
      <c r="I97" s="31"/>
      <c r="J97" s="31"/>
      <c r="K97" s="19"/>
      <c r="L97" s="19"/>
      <c r="M97" s="19"/>
      <c r="N97" s="31"/>
      <c r="O97" s="31"/>
      <c r="P97" s="31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</row>
    <row r="98" spans="1:37" ht="46.5" customHeight="1" x14ac:dyDescent="0.7">
      <c r="A98" s="19"/>
      <c r="B98" s="19"/>
      <c r="C98" s="19"/>
      <c r="D98" s="31"/>
      <c r="E98" s="31"/>
      <c r="F98" s="31"/>
      <c r="G98" s="31"/>
      <c r="H98" s="31"/>
      <c r="I98" s="31"/>
      <c r="J98" s="31"/>
      <c r="K98" s="19"/>
      <c r="L98" s="19"/>
      <c r="M98" s="19"/>
      <c r="N98" s="31"/>
      <c r="O98" s="31"/>
      <c r="P98" s="31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</row>
    <row r="99" spans="1:37" ht="46.5" customHeight="1" x14ac:dyDescent="0.7">
      <c r="A99" s="19"/>
      <c r="B99" s="19"/>
      <c r="C99" s="19"/>
      <c r="D99" s="31"/>
      <c r="E99" s="31"/>
      <c r="F99" s="31"/>
      <c r="G99" s="31"/>
      <c r="H99" s="31"/>
      <c r="I99" s="31"/>
      <c r="J99" s="31"/>
      <c r="K99" s="19"/>
      <c r="L99" s="19"/>
      <c r="M99" s="19"/>
      <c r="N99" s="31"/>
      <c r="O99" s="31"/>
      <c r="P99" s="31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</row>
    <row r="100" spans="1:37" ht="46.5" customHeight="1" x14ac:dyDescent="0.7">
      <c r="A100" s="19"/>
      <c r="B100" s="19"/>
      <c r="C100" s="19"/>
      <c r="D100" s="31"/>
      <c r="E100" s="31"/>
      <c r="F100" s="31"/>
      <c r="G100" s="31"/>
      <c r="H100" s="31"/>
      <c r="I100" s="31"/>
      <c r="J100" s="31"/>
      <c r="K100" s="19"/>
      <c r="L100" s="19"/>
      <c r="M100" s="19"/>
      <c r="N100" s="31"/>
      <c r="O100" s="31"/>
      <c r="P100" s="31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</row>
    <row r="101" spans="1:37" ht="46.5" customHeight="1" x14ac:dyDescent="0.7">
      <c r="A101" s="19"/>
      <c r="B101" s="19"/>
      <c r="C101" s="19"/>
      <c r="D101" s="31"/>
      <c r="E101" s="31"/>
      <c r="F101" s="31"/>
      <c r="G101" s="31"/>
      <c r="H101" s="31"/>
      <c r="I101" s="31"/>
      <c r="J101" s="31"/>
      <c r="K101" s="19"/>
      <c r="L101" s="19"/>
      <c r="M101" s="19"/>
      <c r="N101" s="31"/>
      <c r="O101" s="31"/>
      <c r="P101" s="31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</row>
    <row r="102" spans="1:37" ht="46.5" customHeight="1" x14ac:dyDescent="0.7">
      <c r="A102" s="19"/>
      <c r="B102" s="19"/>
      <c r="C102" s="19"/>
      <c r="D102" s="31"/>
      <c r="E102" s="31"/>
      <c r="F102" s="31"/>
      <c r="G102" s="31"/>
      <c r="H102" s="31"/>
      <c r="I102" s="31"/>
      <c r="J102" s="31"/>
      <c r="K102" s="19"/>
      <c r="L102" s="19"/>
      <c r="M102" s="19"/>
      <c r="N102" s="31"/>
      <c r="O102" s="31"/>
      <c r="P102" s="31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</row>
    <row r="103" spans="1:37" ht="46.5" customHeight="1" x14ac:dyDescent="0.7">
      <c r="A103" s="19"/>
      <c r="B103" s="19"/>
      <c r="C103" s="19"/>
      <c r="D103" s="31"/>
      <c r="E103" s="31"/>
      <c r="F103" s="31"/>
      <c r="G103" s="31"/>
      <c r="H103" s="31"/>
      <c r="I103" s="31"/>
      <c r="J103" s="31"/>
      <c r="K103" s="19"/>
      <c r="L103" s="19"/>
      <c r="M103" s="19"/>
      <c r="N103" s="31"/>
      <c r="O103" s="31"/>
      <c r="P103" s="31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</row>
    <row r="104" spans="1:37" ht="46.5" customHeight="1" x14ac:dyDescent="0.7">
      <c r="A104" s="19"/>
      <c r="B104" s="19"/>
      <c r="C104" s="19"/>
      <c r="D104" s="31"/>
      <c r="E104" s="31"/>
      <c r="F104" s="31"/>
      <c r="G104" s="31"/>
      <c r="H104" s="31"/>
      <c r="I104" s="31"/>
      <c r="J104" s="31"/>
      <c r="K104" s="19"/>
      <c r="L104" s="19"/>
      <c r="M104" s="19"/>
      <c r="N104" s="31"/>
      <c r="O104" s="31"/>
      <c r="P104" s="31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</row>
    <row r="105" spans="1:37" ht="46.5" customHeight="1" x14ac:dyDescent="0.7">
      <c r="A105" s="19"/>
      <c r="B105" s="19"/>
      <c r="C105" s="19"/>
      <c r="D105" s="31"/>
      <c r="E105" s="31"/>
      <c r="F105" s="31"/>
      <c r="G105" s="31"/>
      <c r="H105" s="31"/>
      <c r="I105" s="31"/>
      <c r="J105" s="31"/>
      <c r="K105" s="19"/>
      <c r="L105" s="19"/>
      <c r="M105" s="19"/>
      <c r="N105" s="31"/>
      <c r="O105" s="31"/>
      <c r="P105" s="31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</row>
    <row r="106" spans="1:37" ht="46.5" customHeight="1" x14ac:dyDescent="0.7">
      <c r="A106" s="19"/>
      <c r="B106" s="19"/>
      <c r="C106" s="19"/>
      <c r="D106" s="31"/>
      <c r="E106" s="31"/>
      <c r="F106" s="31"/>
      <c r="G106" s="31"/>
      <c r="H106" s="31"/>
      <c r="I106" s="31"/>
      <c r="J106" s="31"/>
      <c r="K106" s="19"/>
      <c r="L106" s="19"/>
      <c r="M106" s="19"/>
      <c r="N106" s="31"/>
      <c r="O106" s="31"/>
      <c r="P106" s="31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</row>
    <row r="107" spans="1:37" ht="46.5" customHeight="1" x14ac:dyDescent="0.7">
      <c r="A107" s="19"/>
      <c r="B107" s="19"/>
      <c r="C107" s="19"/>
      <c r="D107" s="31"/>
      <c r="E107" s="31"/>
      <c r="F107" s="31"/>
      <c r="G107" s="31"/>
      <c r="H107" s="31"/>
      <c r="I107" s="31"/>
      <c r="J107" s="31"/>
      <c r="K107" s="19"/>
      <c r="L107" s="19"/>
      <c r="M107" s="19"/>
      <c r="N107" s="31"/>
      <c r="O107" s="31"/>
      <c r="P107" s="31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</row>
    <row r="108" spans="1:37" ht="46.5" customHeight="1" x14ac:dyDescent="0.7">
      <c r="A108" s="19"/>
      <c r="B108" s="19"/>
      <c r="C108" s="19"/>
      <c r="D108" s="31"/>
      <c r="E108" s="31"/>
      <c r="F108" s="31"/>
      <c r="G108" s="31"/>
      <c r="H108" s="31"/>
      <c r="I108" s="31"/>
      <c r="J108" s="31"/>
      <c r="K108" s="19"/>
      <c r="L108" s="19"/>
      <c r="M108" s="19"/>
      <c r="N108" s="31"/>
      <c r="O108" s="31"/>
      <c r="P108" s="31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</row>
    <row r="109" spans="1:37" ht="46.5" customHeight="1" x14ac:dyDescent="0.7">
      <c r="A109" s="19"/>
      <c r="B109" s="19"/>
      <c r="C109" s="19"/>
      <c r="D109" s="31"/>
      <c r="E109" s="31"/>
      <c r="F109" s="31"/>
      <c r="G109" s="31"/>
      <c r="H109" s="31"/>
      <c r="I109" s="31"/>
      <c r="J109" s="31"/>
      <c r="K109" s="19"/>
      <c r="L109" s="19"/>
      <c r="M109" s="19"/>
      <c r="N109" s="31"/>
      <c r="O109" s="31"/>
      <c r="P109" s="31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 spans="1:37" ht="46.5" customHeight="1" x14ac:dyDescent="0.7">
      <c r="A110" s="19"/>
      <c r="B110" s="19"/>
      <c r="C110" s="19"/>
      <c r="D110" s="31"/>
      <c r="E110" s="31"/>
      <c r="F110" s="31"/>
      <c r="G110" s="31"/>
      <c r="H110" s="31"/>
      <c r="I110" s="31"/>
      <c r="J110" s="31"/>
      <c r="K110" s="19"/>
      <c r="L110" s="19"/>
      <c r="M110" s="19"/>
      <c r="N110" s="31"/>
      <c r="O110" s="31"/>
      <c r="P110" s="31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</row>
    <row r="111" spans="1:37" ht="46.5" customHeight="1" x14ac:dyDescent="0.7">
      <c r="A111" s="19"/>
      <c r="B111" s="19"/>
      <c r="C111" s="19"/>
      <c r="D111" s="31"/>
      <c r="E111" s="31"/>
      <c r="F111" s="31"/>
      <c r="G111" s="31"/>
      <c r="H111" s="31"/>
      <c r="I111" s="31"/>
      <c r="J111" s="31"/>
      <c r="K111" s="19"/>
      <c r="L111" s="19"/>
      <c r="M111" s="19"/>
      <c r="N111" s="31"/>
      <c r="O111" s="31"/>
      <c r="P111" s="31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</row>
    <row r="112" spans="1:37" ht="46.5" customHeight="1" x14ac:dyDescent="0.7">
      <c r="A112" s="19"/>
      <c r="B112" s="19"/>
      <c r="C112" s="19"/>
      <c r="D112" s="31"/>
      <c r="E112" s="31"/>
      <c r="F112" s="31"/>
      <c r="G112" s="31"/>
      <c r="H112" s="31"/>
      <c r="I112" s="31"/>
      <c r="J112" s="31"/>
      <c r="K112" s="19"/>
      <c r="L112" s="19"/>
      <c r="M112" s="19"/>
      <c r="N112" s="31"/>
      <c r="O112" s="31"/>
      <c r="P112" s="31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</row>
    <row r="113" spans="1:37" ht="46.5" customHeight="1" x14ac:dyDescent="0.7">
      <c r="A113" s="19"/>
      <c r="B113" s="19"/>
      <c r="C113" s="19"/>
      <c r="D113" s="31"/>
      <c r="E113" s="31"/>
      <c r="F113" s="31"/>
      <c r="G113" s="31"/>
      <c r="H113" s="31"/>
      <c r="I113" s="31"/>
      <c r="J113" s="31"/>
      <c r="K113" s="19"/>
      <c r="L113" s="19"/>
      <c r="M113" s="19"/>
      <c r="N113" s="31"/>
      <c r="O113" s="31"/>
      <c r="P113" s="31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</row>
    <row r="114" spans="1:37" ht="46.5" customHeight="1" x14ac:dyDescent="0.7">
      <c r="A114" s="19"/>
      <c r="B114" s="19"/>
      <c r="C114" s="19"/>
      <c r="D114" s="31"/>
      <c r="E114" s="31"/>
      <c r="F114" s="31"/>
      <c r="G114" s="31"/>
      <c r="H114" s="31"/>
      <c r="I114" s="31"/>
      <c r="J114" s="31"/>
      <c r="K114" s="19"/>
      <c r="L114" s="19"/>
      <c r="M114" s="19"/>
      <c r="N114" s="31"/>
      <c r="O114" s="31"/>
      <c r="P114" s="31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</row>
    <row r="115" spans="1:37" ht="46.5" customHeight="1" x14ac:dyDescent="0.7">
      <c r="A115" s="19"/>
      <c r="B115" s="19"/>
      <c r="C115" s="19"/>
      <c r="D115" s="31"/>
      <c r="E115" s="31"/>
      <c r="F115" s="31"/>
      <c r="G115" s="31"/>
      <c r="H115" s="31"/>
      <c r="I115" s="31"/>
      <c r="J115" s="31"/>
      <c r="K115" s="19"/>
      <c r="L115" s="19"/>
      <c r="M115" s="19"/>
      <c r="N115" s="31"/>
      <c r="O115" s="31"/>
      <c r="P115" s="31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</row>
    <row r="116" spans="1:37" ht="46.5" customHeight="1" x14ac:dyDescent="0.7">
      <c r="A116" s="19"/>
      <c r="B116" s="19"/>
      <c r="C116" s="19"/>
      <c r="D116" s="31"/>
      <c r="E116" s="31"/>
      <c r="F116" s="31"/>
      <c r="G116" s="31"/>
      <c r="H116" s="31"/>
      <c r="I116" s="31"/>
      <c r="J116" s="31"/>
      <c r="K116" s="19"/>
      <c r="L116" s="19"/>
      <c r="M116" s="19"/>
      <c r="N116" s="31"/>
      <c r="O116" s="31"/>
      <c r="P116" s="31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</row>
    <row r="117" spans="1:37" ht="46.5" customHeight="1" x14ac:dyDescent="0.7">
      <c r="A117" s="19"/>
      <c r="B117" s="19"/>
      <c r="C117" s="19"/>
      <c r="D117" s="31"/>
      <c r="E117" s="31"/>
      <c r="F117" s="31"/>
      <c r="G117" s="31"/>
      <c r="H117" s="31"/>
      <c r="I117" s="31"/>
      <c r="J117" s="31"/>
      <c r="K117" s="19"/>
      <c r="L117" s="19"/>
      <c r="M117" s="19"/>
      <c r="N117" s="31"/>
      <c r="O117" s="31"/>
      <c r="P117" s="31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</row>
    <row r="118" spans="1:37" ht="46.5" customHeight="1" x14ac:dyDescent="0.7">
      <c r="A118" s="19"/>
      <c r="B118" s="19"/>
      <c r="C118" s="19"/>
      <c r="D118" s="31"/>
      <c r="E118" s="31"/>
      <c r="F118" s="31"/>
      <c r="G118" s="31"/>
      <c r="H118" s="31"/>
      <c r="I118" s="31"/>
      <c r="J118" s="31"/>
      <c r="K118" s="19"/>
      <c r="L118" s="19"/>
      <c r="M118" s="19"/>
      <c r="N118" s="31"/>
      <c r="O118" s="31"/>
      <c r="P118" s="31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</row>
    <row r="119" spans="1:37" ht="46.5" customHeight="1" x14ac:dyDescent="0.7">
      <c r="A119" s="19"/>
      <c r="B119" s="19"/>
      <c r="C119" s="19"/>
      <c r="D119" s="31"/>
      <c r="E119" s="31"/>
      <c r="F119" s="31"/>
      <c r="G119" s="31"/>
      <c r="H119" s="31"/>
      <c r="I119" s="31"/>
      <c r="J119" s="31"/>
      <c r="K119" s="19"/>
      <c r="L119" s="19"/>
      <c r="M119" s="19"/>
      <c r="N119" s="31"/>
      <c r="O119" s="31"/>
      <c r="P119" s="31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</row>
    <row r="120" spans="1:37" ht="46.5" customHeight="1" x14ac:dyDescent="0.7">
      <c r="A120" s="19"/>
      <c r="B120" s="19"/>
      <c r="C120" s="19"/>
      <c r="D120" s="31"/>
      <c r="E120" s="31"/>
      <c r="F120" s="31"/>
      <c r="G120" s="31"/>
      <c r="H120" s="31"/>
      <c r="I120" s="31"/>
      <c r="J120" s="31"/>
      <c r="K120" s="19"/>
      <c r="L120" s="19"/>
      <c r="M120" s="19"/>
      <c r="N120" s="31"/>
      <c r="O120" s="31"/>
      <c r="P120" s="31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</row>
    <row r="121" spans="1:37" ht="46.5" customHeight="1" x14ac:dyDescent="0.7">
      <c r="A121" s="19"/>
      <c r="B121" s="19"/>
      <c r="C121" s="19"/>
      <c r="D121" s="31"/>
      <c r="E121" s="31"/>
      <c r="F121" s="31"/>
      <c r="G121" s="31"/>
      <c r="H121" s="31"/>
      <c r="I121" s="31"/>
      <c r="J121" s="31"/>
      <c r="K121" s="19"/>
      <c r="L121" s="19"/>
      <c r="M121" s="19"/>
      <c r="N121" s="31"/>
      <c r="O121" s="31"/>
      <c r="P121" s="31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</row>
    <row r="122" spans="1:37" ht="46.5" customHeight="1" x14ac:dyDescent="0.7">
      <c r="A122" s="19"/>
      <c r="B122" s="19"/>
      <c r="C122" s="19"/>
      <c r="D122" s="31"/>
      <c r="E122" s="31"/>
      <c r="F122" s="31"/>
      <c r="G122" s="31"/>
      <c r="H122" s="31"/>
      <c r="I122" s="31"/>
      <c r="J122" s="31"/>
      <c r="K122" s="19"/>
      <c r="L122" s="19"/>
      <c r="M122" s="19"/>
      <c r="N122" s="31"/>
      <c r="O122" s="31"/>
      <c r="P122" s="31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</row>
    <row r="123" spans="1:37" ht="46.5" customHeight="1" x14ac:dyDescent="0.7">
      <c r="A123" s="19"/>
      <c r="B123" s="19"/>
      <c r="C123" s="19"/>
      <c r="D123" s="31"/>
      <c r="E123" s="31"/>
      <c r="F123" s="31"/>
      <c r="G123" s="31"/>
      <c r="H123" s="31"/>
      <c r="I123" s="31"/>
      <c r="J123" s="31"/>
      <c r="K123" s="19"/>
      <c r="L123" s="19"/>
      <c r="M123" s="19"/>
      <c r="N123" s="31"/>
      <c r="O123" s="31"/>
      <c r="P123" s="31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</row>
    <row r="124" spans="1:37" ht="46.5" customHeight="1" x14ac:dyDescent="0.7">
      <c r="A124" s="19"/>
      <c r="B124" s="19"/>
      <c r="C124" s="19"/>
      <c r="D124" s="31"/>
      <c r="E124" s="31"/>
      <c r="F124" s="31"/>
      <c r="G124" s="31"/>
      <c r="H124" s="31"/>
      <c r="I124" s="31"/>
      <c r="J124" s="31"/>
      <c r="K124" s="19"/>
      <c r="L124" s="19"/>
      <c r="M124" s="19"/>
      <c r="N124" s="31"/>
      <c r="O124" s="31"/>
      <c r="P124" s="31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</row>
    <row r="125" spans="1:37" ht="46.5" customHeight="1" x14ac:dyDescent="0.7">
      <c r="A125" s="19"/>
      <c r="B125" s="19"/>
      <c r="C125" s="19"/>
      <c r="D125" s="31"/>
      <c r="E125" s="31"/>
      <c r="F125" s="31"/>
      <c r="G125" s="31"/>
      <c r="H125" s="31"/>
      <c r="I125" s="31"/>
      <c r="J125" s="31"/>
      <c r="K125" s="19"/>
      <c r="L125" s="19"/>
      <c r="M125" s="19"/>
      <c r="N125" s="31"/>
      <c r="O125" s="31"/>
      <c r="P125" s="31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</row>
    <row r="126" spans="1:37" ht="46.5" customHeight="1" x14ac:dyDescent="0.7">
      <c r="A126" s="19"/>
      <c r="B126" s="19"/>
      <c r="C126" s="19"/>
      <c r="D126" s="31"/>
      <c r="E126" s="31"/>
      <c r="F126" s="31"/>
      <c r="G126" s="31"/>
      <c r="H126" s="31"/>
      <c r="I126" s="31"/>
      <c r="J126" s="31"/>
      <c r="K126" s="19"/>
      <c r="L126" s="19"/>
      <c r="M126" s="19"/>
      <c r="N126" s="31"/>
      <c r="O126" s="31"/>
      <c r="P126" s="31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</row>
    <row r="127" spans="1:37" ht="46.5" customHeight="1" x14ac:dyDescent="0.7">
      <c r="A127" s="19"/>
      <c r="B127" s="19"/>
      <c r="C127" s="19"/>
      <c r="D127" s="31"/>
      <c r="E127" s="31"/>
      <c r="F127" s="31"/>
      <c r="G127" s="31"/>
      <c r="H127" s="31"/>
      <c r="I127" s="31"/>
      <c r="J127" s="31"/>
      <c r="K127" s="19"/>
      <c r="L127" s="19"/>
      <c r="M127" s="19"/>
      <c r="N127" s="31"/>
      <c r="O127" s="31"/>
      <c r="P127" s="31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</row>
    <row r="128" spans="1:37" ht="46.5" customHeight="1" x14ac:dyDescent="0.7">
      <c r="A128" s="19"/>
      <c r="B128" s="19"/>
      <c r="C128" s="19"/>
      <c r="D128" s="31"/>
      <c r="E128" s="31"/>
      <c r="F128" s="31"/>
      <c r="G128" s="31"/>
      <c r="H128" s="31"/>
      <c r="I128" s="31"/>
      <c r="J128" s="31"/>
      <c r="K128" s="19"/>
      <c r="L128" s="19"/>
      <c r="M128" s="19"/>
      <c r="N128" s="31"/>
      <c r="O128" s="31"/>
      <c r="P128" s="31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</row>
    <row r="129" spans="1:37" ht="46.5" customHeight="1" x14ac:dyDescent="0.7">
      <c r="A129" s="19"/>
      <c r="B129" s="19"/>
      <c r="C129" s="19"/>
      <c r="D129" s="31"/>
      <c r="E129" s="31"/>
      <c r="F129" s="31"/>
      <c r="G129" s="31"/>
      <c r="H129" s="31"/>
      <c r="I129" s="31"/>
      <c r="J129" s="31"/>
      <c r="K129" s="19"/>
      <c r="L129" s="19"/>
      <c r="M129" s="19"/>
      <c r="N129" s="31"/>
      <c r="O129" s="31"/>
      <c r="P129" s="31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</row>
    <row r="130" spans="1:37" ht="46.5" customHeight="1" x14ac:dyDescent="0.7">
      <c r="A130" s="19"/>
      <c r="B130" s="19"/>
      <c r="C130" s="19"/>
      <c r="D130" s="31"/>
      <c r="E130" s="31"/>
      <c r="F130" s="31"/>
      <c r="G130" s="31"/>
      <c r="H130" s="31"/>
      <c r="I130" s="31"/>
      <c r="J130" s="31"/>
      <c r="K130" s="19"/>
      <c r="L130" s="19"/>
      <c r="M130" s="19"/>
      <c r="N130" s="31"/>
      <c r="O130" s="31"/>
      <c r="P130" s="31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</row>
    <row r="131" spans="1:37" ht="46.5" customHeight="1" x14ac:dyDescent="0.7">
      <c r="A131" s="19"/>
      <c r="B131" s="19"/>
      <c r="C131" s="19"/>
      <c r="D131" s="31"/>
      <c r="E131" s="31"/>
      <c r="F131" s="31"/>
      <c r="G131" s="31"/>
      <c r="H131" s="31"/>
      <c r="I131" s="31"/>
      <c r="J131" s="31"/>
      <c r="K131" s="19"/>
      <c r="L131" s="19"/>
      <c r="M131" s="19"/>
      <c r="N131" s="31"/>
      <c r="O131" s="31"/>
      <c r="P131" s="31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</row>
    <row r="132" spans="1:37" ht="46.5" customHeight="1" x14ac:dyDescent="0.7">
      <c r="A132" s="19"/>
      <c r="B132" s="19"/>
      <c r="C132" s="19"/>
      <c r="D132" s="31"/>
      <c r="E132" s="31"/>
      <c r="F132" s="31"/>
      <c r="G132" s="31"/>
      <c r="H132" s="31"/>
      <c r="I132" s="31"/>
      <c r="J132" s="31"/>
      <c r="K132" s="19"/>
      <c r="L132" s="19"/>
      <c r="M132" s="19"/>
      <c r="N132" s="31"/>
      <c r="O132" s="31"/>
      <c r="P132" s="31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</row>
    <row r="133" spans="1:37" ht="46.5" customHeight="1" x14ac:dyDescent="0.7">
      <c r="A133" s="19"/>
      <c r="B133" s="19"/>
      <c r="C133" s="19"/>
      <c r="D133" s="31"/>
      <c r="E133" s="31"/>
      <c r="F133" s="31"/>
      <c r="G133" s="31"/>
      <c r="H133" s="31"/>
      <c r="I133" s="31"/>
      <c r="J133" s="31"/>
      <c r="K133" s="19"/>
      <c r="L133" s="19"/>
      <c r="M133" s="19"/>
      <c r="N133" s="31"/>
      <c r="O133" s="31"/>
      <c r="P133" s="31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</row>
    <row r="134" spans="1:37" ht="46.5" customHeight="1" x14ac:dyDescent="0.7">
      <c r="A134" s="19"/>
      <c r="B134" s="19"/>
      <c r="C134" s="19"/>
      <c r="D134" s="31"/>
      <c r="E134" s="31"/>
      <c r="F134" s="31"/>
      <c r="G134" s="31"/>
      <c r="H134" s="31"/>
      <c r="I134" s="31"/>
      <c r="J134" s="31"/>
      <c r="K134" s="19"/>
      <c r="L134" s="19"/>
      <c r="M134" s="19"/>
      <c r="N134" s="31"/>
      <c r="O134" s="31"/>
      <c r="P134" s="31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</row>
    <row r="135" spans="1:37" ht="46.5" customHeight="1" x14ac:dyDescent="0.7">
      <c r="A135" s="19"/>
      <c r="B135" s="19"/>
      <c r="C135" s="19"/>
      <c r="D135" s="31"/>
      <c r="E135" s="31"/>
      <c r="F135" s="31"/>
      <c r="G135" s="31"/>
      <c r="H135" s="31"/>
      <c r="I135" s="31"/>
      <c r="J135" s="31"/>
      <c r="K135" s="19"/>
      <c r="L135" s="19"/>
      <c r="M135" s="19"/>
      <c r="N135" s="31"/>
      <c r="O135" s="31"/>
      <c r="P135" s="31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</row>
    <row r="136" spans="1:37" ht="46.5" customHeight="1" x14ac:dyDescent="0.7">
      <c r="A136" s="19"/>
      <c r="B136" s="19"/>
      <c r="C136" s="19"/>
      <c r="D136" s="31"/>
      <c r="E136" s="31"/>
      <c r="F136" s="31"/>
      <c r="G136" s="31"/>
      <c r="H136" s="31"/>
      <c r="I136" s="31"/>
      <c r="J136" s="31"/>
      <c r="K136" s="19"/>
      <c r="L136" s="19"/>
      <c r="M136" s="19"/>
      <c r="N136" s="31"/>
      <c r="O136" s="31"/>
      <c r="P136" s="31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</row>
    <row r="137" spans="1:37" ht="46.5" customHeight="1" x14ac:dyDescent="0.7">
      <c r="A137" s="19"/>
      <c r="B137" s="19"/>
      <c r="C137" s="19"/>
      <c r="D137" s="31"/>
      <c r="E137" s="31"/>
      <c r="F137" s="31"/>
      <c r="G137" s="31"/>
      <c r="H137" s="31"/>
      <c r="I137" s="31"/>
      <c r="J137" s="31"/>
      <c r="K137" s="19"/>
      <c r="L137" s="19"/>
      <c r="M137" s="19"/>
      <c r="N137" s="31"/>
      <c r="O137" s="31"/>
      <c r="P137" s="31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</row>
    <row r="138" spans="1:37" ht="46.5" customHeight="1" x14ac:dyDescent="0.7">
      <c r="A138" s="19"/>
      <c r="B138" s="19"/>
      <c r="C138" s="19"/>
      <c r="D138" s="31"/>
      <c r="E138" s="31"/>
      <c r="F138" s="31"/>
      <c r="G138" s="31"/>
      <c r="H138" s="31"/>
      <c r="I138" s="31"/>
      <c r="J138" s="31"/>
      <c r="K138" s="19"/>
      <c r="L138" s="19"/>
      <c r="M138" s="19"/>
      <c r="N138" s="31"/>
      <c r="O138" s="31"/>
      <c r="P138" s="31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</row>
    <row r="139" spans="1:37" ht="46.5" customHeight="1" x14ac:dyDescent="0.7">
      <c r="A139" s="19"/>
      <c r="B139" s="19"/>
      <c r="C139" s="19"/>
      <c r="D139" s="31"/>
      <c r="E139" s="31"/>
      <c r="F139" s="31"/>
      <c r="G139" s="31"/>
      <c r="H139" s="31"/>
      <c r="I139" s="31"/>
      <c r="J139" s="31"/>
      <c r="K139" s="19"/>
      <c r="L139" s="19"/>
      <c r="M139" s="19"/>
      <c r="N139" s="31"/>
      <c r="O139" s="31"/>
      <c r="P139" s="31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</row>
    <row r="140" spans="1:37" ht="46.5" customHeight="1" x14ac:dyDescent="0.7">
      <c r="A140" s="19"/>
      <c r="B140" s="19"/>
      <c r="C140" s="19"/>
      <c r="D140" s="31"/>
      <c r="E140" s="31"/>
      <c r="F140" s="31"/>
      <c r="G140" s="31"/>
      <c r="H140" s="31"/>
      <c r="I140" s="31"/>
      <c r="J140" s="31"/>
      <c r="K140" s="19"/>
      <c r="L140" s="19"/>
      <c r="M140" s="19"/>
      <c r="N140" s="31"/>
      <c r="O140" s="31"/>
      <c r="P140" s="31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</row>
    <row r="141" spans="1:37" ht="46.5" customHeight="1" x14ac:dyDescent="0.7">
      <c r="A141" s="19"/>
      <c r="B141" s="19"/>
      <c r="C141" s="19"/>
      <c r="D141" s="31"/>
      <c r="E141" s="31"/>
      <c r="F141" s="31"/>
      <c r="G141" s="31"/>
      <c r="H141" s="31"/>
      <c r="I141" s="31"/>
      <c r="J141" s="31"/>
      <c r="K141" s="19"/>
      <c r="L141" s="19"/>
      <c r="M141" s="19"/>
      <c r="N141" s="31"/>
      <c r="O141" s="31"/>
      <c r="P141" s="31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</row>
    <row r="142" spans="1:37" ht="46.5" customHeight="1" x14ac:dyDescent="0.7">
      <c r="A142" s="19"/>
      <c r="B142" s="19"/>
      <c r="C142" s="19"/>
      <c r="D142" s="31"/>
      <c r="E142" s="31"/>
      <c r="F142" s="31"/>
      <c r="G142" s="31"/>
      <c r="H142" s="31"/>
      <c r="I142" s="31"/>
      <c r="J142" s="31"/>
      <c r="K142" s="19"/>
      <c r="L142" s="19"/>
      <c r="M142" s="19"/>
      <c r="N142" s="31"/>
      <c r="O142" s="31"/>
      <c r="P142" s="31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</row>
    <row r="143" spans="1:37" ht="46.5" customHeight="1" x14ac:dyDescent="0.7">
      <c r="A143" s="19"/>
      <c r="B143" s="19"/>
      <c r="C143" s="19"/>
      <c r="D143" s="31"/>
      <c r="E143" s="31"/>
      <c r="F143" s="31"/>
      <c r="G143" s="31"/>
      <c r="H143" s="31"/>
      <c r="I143" s="31"/>
      <c r="J143" s="31"/>
      <c r="K143" s="19"/>
      <c r="L143" s="19"/>
      <c r="M143" s="19"/>
      <c r="N143" s="31"/>
      <c r="O143" s="31"/>
      <c r="P143" s="31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</row>
    <row r="144" spans="1:37" ht="46.5" customHeight="1" x14ac:dyDescent="0.7">
      <c r="A144" s="19"/>
      <c r="B144" s="19"/>
      <c r="C144" s="19"/>
      <c r="D144" s="31"/>
      <c r="E144" s="31"/>
      <c r="F144" s="31"/>
      <c r="G144" s="31"/>
      <c r="H144" s="31"/>
      <c r="I144" s="31"/>
      <c r="J144" s="31"/>
      <c r="K144" s="19"/>
      <c r="L144" s="19"/>
      <c r="M144" s="19"/>
      <c r="N144" s="31"/>
      <c r="O144" s="31"/>
      <c r="P144" s="31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</row>
    <row r="145" spans="1:37" ht="46.5" customHeight="1" x14ac:dyDescent="0.7">
      <c r="A145" s="19"/>
      <c r="B145" s="19"/>
      <c r="C145" s="19"/>
      <c r="D145" s="31"/>
      <c r="E145" s="31"/>
      <c r="F145" s="31"/>
      <c r="G145" s="31"/>
      <c r="H145" s="31"/>
      <c r="I145" s="31"/>
      <c r="J145" s="31"/>
      <c r="K145" s="19"/>
      <c r="L145" s="19"/>
      <c r="M145" s="19"/>
      <c r="N145" s="31"/>
      <c r="O145" s="31"/>
      <c r="P145" s="31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</row>
    <row r="146" spans="1:37" ht="46.5" customHeight="1" x14ac:dyDescent="0.7">
      <c r="A146" s="19"/>
      <c r="B146" s="19"/>
      <c r="C146" s="19"/>
      <c r="D146" s="31"/>
      <c r="E146" s="31"/>
      <c r="F146" s="31"/>
      <c r="G146" s="31"/>
      <c r="H146" s="31"/>
      <c r="I146" s="31"/>
      <c r="J146" s="31"/>
      <c r="K146" s="19"/>
      <c r="L146" s="19"/>
      <c r="M146" s="19"/>
      <c r="N146" s="31"/>
      <c r="O146" s="31"/>
      <c r="P146" s="31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</row>
    <row r="147" spans="1:37" ht="46.5" customHeight="1" x14ac:dyDescent="0.7">
      <c r="A147" s="19"/>
      <c r="B147" s="19"/>
      <c r="C147" s="19"/>
      <c r="D147" s="31"/>
      <c r="E147" s="31"/>
      <c r="F147" s="31"/>
      <c r="G147" s="31"/>
      <c r="H147" s="31"/>
      <c r="I147" s="31"/>
      <c r="J147" s="31"/>
      <c r="K147" s="19"/>
      <c r="L147" s="19"/>
      <c r="M147" s="19"/>
      <c r="N147" s="31"/>
      <c r="O147" s="31"/>
      <c r="P147" s="31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</row>
    <row r="148" spans="1:37" ht="46.5" customHeight="1" x14ac:dyDescent="0.7">
      <c r="A148" s="19"/>
      <c r="B148" s="19"/>
      <c r="C148" s="19"/>
      <c r="D148" s="31"/>
      <c r="E148" s="31"/>
      <c r="F148" s="31"/>
      <c r="G148" s="31"/>
      <c r="H148" s="31"/>
      <c r="I148" s="31"/>
      <c r="J148" s="31"/>
      <c r="K148" s="19"/>
      <c r="L148" s="19"/>
      <c r="M148" s="19"/>
      <c r="N148" s="31"/>
      <c r="O148" s="31"/>
      <c r="P148" s="31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</row>
    <row r="149" spans="1:37" ht="46.5" customHeight="1" x14ac:dyDescent="0.7">
      <c r="A149" s="19"/>
      <c r="B149" s="19"/>
      <c r="C149" s="19"/>
      <c r="D149" s="31"/>
      <c r="E149" s="31"/>
      <c r="F149" s="31"/>
      <c r="G149" s="31"/>
      <c r="H149" s="31"/>
      <c r="I149" s="31"/>
      <c r="J149" s="31"/>
      <c r="K149" s="19"/>
      <c r="L149" s="19"/>
      <c r="M149" s="19"/>
      <c r="N149" s="31"/>
      <c r="O149" s="31"/>
      <c r="P149" s="31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</row>
    <row r="150" spans="1:37" ht="46.5" customHeight="1" x14ac:dyDescent="0.7">
      <c r="A150" s="19"/>
      <c r="B150" s="19"/>
      <c r="C150" s="19"/>
      <c r="D150" s="31"/>
      <c r="E150" s="31"/>
      <c r="F150" s="31"/>
      <c r="G150" s="31"/>
      <c r="H150" s="31"/>
      <c r="I150" s="31"/>
      <c r="J150" s="31"/>
      <c r="K150" s="19"/>
      <c r="L150" s="19"/>
      <c r="M150" s="19"/>
      <c r="N150" s="31"/>
      <c r="O150" s="31"/>
      <c r="P150" s="31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</row>
    <row r="151" spans="1:37" ht="46.5" customHeight="1" x14ac:dyDescent="0.7">
      <c r="A151" s="19"/>
      <c r="B151" s="19"/>
      <c r="C151" s="19"/>
      <c r="D151" s="31"/>
      <c r="E151" s="31"/>
      <c r="F151" s="31"/>
      <c r="G151" s="31"/>
      <c r="H151" s="31"/>
      <c r="I151" s="31"/>
      <c r="J151" s="31"/>
      <c r="K151" s="19"/>
      <c r="L151" s="19"/>
      <c r="M151" s="19"/>
      <c r="N151" s="31"/>
      <c r="O151" s="31"/>
      <c r="P151" s="31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</row>
    <row r="152" spans="1:37" ht="46.5" customHeight="1" x14ac:dyDescent="0.7">
      <c r="A152" s="19"/>
      <c r="B152" s="19"/>
      <c r="C152" s="19"/>
      <c r="D152" s="31"/>
      <c r="E152" s="31"/>
      <c r="F152" s="31"/>
      <c r="G152" s="31"/>
      <c r="H152" s="31"/>
      <c r="I152" s="31"/>
      <c r="J152" s="31"/>
      <c r="K152" s="19"/>
      <c r="L152" s="19"/>
      <c r="M152" s="19"/>
      <c r="N152" s="31"/>
      <c r="O152" s="31"/>
      <c r="P152" s="31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</row>
    <row r="153" spans="1:37" ht="46.5" customHeight="1" x14ac:dyDescent="0.7">
      <c r="A153" s="19"/>
      <c r="B153" s="19"/>
      <c r="C153" s="19"/>
      <c r="D153" s="31"/>
      <c r="E153" s="31"/>
      <c r="F153" s="31"/>
      <c r="G153" s="31"/>
      <c r="H153" s="31"/>
      <c r="I153" s="31"/>
      <c r="J153" s="31"/>
      <c r="K153" s="19"/>
      <c r="L153" s="19"/>
      <c r="M153" s="19"/>
      <c r="N153" s="31"/>
      <c r="O153" s="31"/>
      <c r="P153" s="31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</row>
    <row r="154" spans="1:37" ht="46.5" customHeight="1" x14ac:dyDescent="0.7">
      <c r="A154" s="19"/>
      <c r="B154" s="19"/>
      <c r="C154" s="19"/>
      <c r="D154" s="31"/>
      <c r="E154" s="31"/>
      <c r="F154" s="31"/>
      <c r="G154" s="31"/>
      <c r="H154" s="31"/>
      <c r="I154" s="31"/>
      <c r="J154" s="31"/>
      <c r="K154" s="19"/>
      <c r="L154" s="19"/>
      <c r="M154" s="19"/>
      <c r="N154" s="31"/>
      <c r="O154" s="31"/>
      <c r="P154" s="31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</row>
    <row r="155" spans="1:37" ht="46.5" customHeight="1" x14ac:dyDescent="0.7">
      <c r="A155" s="19"/>
      <c r="B155" s="19"/>
      <c r="C155" s="19"/>
      <c r="D155" s="31"/>
      <c r="E155" s="31"/>
      <c r="F155" s="31"/>
      <c r="G155" s="31"/>
      <c r="H155" s="31"/>
      <c r="I155" s="31"/>
      <c r="J155" s="31"/>
      <c r="K155" s="19"/>
      <c r="L155" s="19"/>
      <c r="M155" s="19"/>
      <c r="N155" s="31"/>
      <c r="O155" s="31"/>
      <c r="P155" s="31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</row>
    <row r="156" spans="1:37" ht="46.5" customHeight="1" x14ac:dyDescent="0.7">
      <c r="A156" s="19"/>
      <c r="B156" s="19"/>
      <c r="C156" s="19"/>
      <c r="D156" s="31"/>
      <c r="E156" s="31"/>
      <c r="F156" s="31"/>
      <c r="G156" s="31"/>
      <c r="H156" s="31"/>
      <c r="I156" s="31"/>
      <c r="J156" s="31"/>
      <c r="K156" s="19"/>
      <c r="L156" s="19"/>
      <c r="M156" s="19"/>
      <c r="N156" s="31"/>
      <c r="O156" s="31"/>
      <c r="P156" s="31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</row>
    <row r="157" spans="1:37" ht="46.5" customHeight="1" x14ac:dyDescent="0.7">
      <c r="A157" s="19"/>
      <c r="B157" s="19"/>
      <c r="C157" s="19"/>
      <c r="D157" s="31"/>
      <c r="E157" s="31"/>
      <c r="F157" s="31"/>
      <c r="G157" s="31"/>
      <c r="H157" s="31"/>
      <c r="I157" s="31"/>
      <c r="J157" s="31"/>
      <c r="K157" s="19"/>
      <c r="L157" s="19"/>
      <c r="M157" s="19"/>
      <c r="N157" s="31"/>
      <c r="O157" s="31"/>
      <c r="P157" s="31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</row>
    <row r="158" spans="1:37" ht="46.5" customHeight="1" x14ac:dyDescent="0.7">
      <c r="A158" s="19"/>
      <c r="B158" s="19"/>
      <c r="C158" s="19"/>
      <c r="D158" s="31"/>
      <c r="E158" s="31"/>
      <c r="F158" s="31"/>
      <c r="G158" s="31"/>
      <c r="H158" s="31"/>
      <c r="I158" s="31"/>
      <c r="J158" s="31"/>
      <c r="K158" s="19"/>
      <c r="L158" s="19"/>
      <c r="M158" s="19"/>
      <c r="N158" s="31"/>
      <c r="O158" s="31"/>
      <c r="P158" s="31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</row>
    <row r="159" spans="1:37" ht="46.5" customHeight="1" x14ac:dyDescent="0.7">
      <c r="A159" s="19"/>
      <c r="B159" s="19"/>
      <c r="C159" s="19"/>
      <c r="D159" s="31"/>
      <c r="E159" s="31"/>
      <c r="F159" s="31"/>
      <c r="G159" s="31"/>
      <c r="H159" s="31"/>
      <c r="I159" s="31"/>
      <c r="J159" s="31"/>
      <c r="K159" s="19"/>
      <c r="L159" s="19"/>
      <c r="M159" s="19"/>
      <c r="N159" s="31"/>
      <c r="O159" s="31"/>
      <c r="P159" s="31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</row>
    <row r="160" spans="1:37" ht="46.5" customHeight="1" x14ac:dyDescent="0.7">
      <c r="A160" s="19"/>
      <c r="B160" s="19"/>
      <c r="C160" s="19"/>
      <c r="D160" s="31"/>
      <c r="E160" s="31"/>
      <c r="F160" s="31"/>
      <c r="G160" s="31"/>
      <c r="H160" s="31"/>
      <c r="I160" s="31"/>
      <c r="J160" s="31"/>
      <c r="K160" s="19"/>
      <c r="L160" s="19"/>
      <c r="M160" s="19"/>
      <c r="N160" s="31"/>
      <c r="O160" s="31"/>
      <c r="P160" s="31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</row>
    <row r="161" spans="1:37" ht="46.5" customHeight="1" x14ac:dyDescent="0.7">
      <c r="A161" s="19"/>
      <c r="B161" s="19"/>
      <c r="C161" s="19"/>
      <c r="D161" s="31"/>
      <c r="E161" s="31"/>
      <c r="F161" s="31"/>
      <c r="G161" s="31"/>
      <c r="H161" s="31"/>
      <c r="I161" s="31"/>
      <c r="J161" s="31"/>
      <c r="K161" s="19"/>
      <c r="L161" s="19"/>
      <c r="M161" s="19"/>
      <c r="N161" s="31"/>
      <c r="O161" s="31"/>
      <c r="P161" s="31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</row>
    <row r="162" spans="1:37" ht="46.5" customHeight="1" x14ac:dyDescent="0.7">
      <c r="A162" s="19"/>
      <c r="B162" s="19"/>
      <c r="C162" s="19"/>
      <c r="D162" s="31"/>
      <c r="E162" s="31"/>
      <c r="F162" s="31"/>
      <c r="G162" s="31"/>
      <c r="H162" s="31"/>
      <c r="I162" s="31"/>
      <c r="J162" s="31"/>
      <c r="K162" s="19"/>
      <c r="L162" s="19"/>
      <c r="M162" s="19"/>
      <c r="N162" s="31"/>
      <c r="O162" s="31"/>
      <c r="P162" s="31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</row>
    <row r="163" spans="1:37" ht="46.5" customHeight="1" x14ac:dyDescent="0.7">
      <c r="A163" s="19"/>
      <c r="B163" s="19"/>
      <c r="C163" s="19"/>
      <c r="D163" s="31"/>
      <c r="E163" s="31"/>
      <c r="F163" s="31"/>
      <c r="G163" s="31"/>
      <c r="H163" s="31"/>
      <c r="I163" s="31"/>
      <c r="J163" s="31"/>
      <c r="K163" s="19"/>
      <c r="L163" s="19"/>
      <c r="M163" s="19"/>
      <c r="N163" s="31"/>
      <c r="O163" s="31"/>
      <c r="P163" s="31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</row>
    <row r="164" spans="1:37" ht="46.5" customHeight="1" x14ac:dyDescent="0.7">
      <c r="A164" s="19"/>
      <c r="B164" s="19"/>
      <c r="C164" s="19"/>
      <c r="D164" s="31"/>
      <c r="E164" s="31"/>
      <c r="F164" s="31"/>
      <c r="G164" s="31"/>
      <c r="H164" s="31"/>
      <c r="I164" s="31"/>
      <c r="J164" s="31"/>
      <c r="K164" s="19"/>
      <c r="L164" s="19"/>
      <c r="M164" s="19"/>
      <c r="N164" s="31"/>
      <c r="O164" s="31"/>
      <c r="P164" s="31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</row>
    <row r="165" spans="1:37" ht="46.5" customHeight="1" x14ac:dyDescent="0.7">
      <c r="A165" s="19"/>
      <c r="B165" s="19"/>
      <c r="C165" s="19"/>
      <c r="D165" s="31"/>
      <c r="E165" s="31"/>
      <c r="F165" s="31"/>
      <c r="G165" s="31"/>
      <c r="H165" s="31"/>
      <c r="I165" s="31"/>
      <c r="J165" s="31"/>
      <c r="K165" s="19"/>
      <c r="L165" s="19"/>
      <c r="M165" s="19"/>
      <c r="N165" s="31"/>
      <c r="O165" s="31"/>
      <c r="P165" s="31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</row>
    <row r="166" spans="1:37" ht="46.5" customHeight="1" x14ac:dyDescent="0.7">
      <c r="A166" s="19"/>
      <c r="B166" s="19"/>
      <c r="C166" s="19"/>
      <c r="D166" s="31"/>
      <c r="E166" s="31"/>
      <c r="F166" s="31"/>
      <c r="G166" s="31"/>
      <c r="H166" s="31"/>
      <c r="I166" s="31"/>
      <c r="J166" s="31"/>
      <c r="K166" s="19"/>
      <c r="L166" s="19"/>
      <c r="M166" s="19"/>
      <c r="N166" s="31"/>
      <c r="O166" s="31"/>
      <c r="P166" s="31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</row>
    <row r="167" spans="1:37" ht="46.5" customHeight="1" x14ac:dyDescent="0.7">
      <c r="A167" s="19"/>
      <c r="B167" s="19"/>
      <c r="C167" s="19"/>
      <c r="D167" s="31"/>
      <c r="E167" s="31"/>
      <c r="F167" s="31"/>
      <c r="G167" s="31"/>
      <c r="H167" s="31"/>
      <c r="I167" s="31"/>
      <c r="J167" s="31"/>
      <c r="K167" s="19"/>
      <c r="L167" s="19"/>
      <c r="M167" s="19"/>
      <c r="N167" s="31"/>
      <c r="O167" s="31"/>
      <c r="P167" s="31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</row>
    <row r="168" spans="1:37" ht="46.5" customHeight="1" x14ac:dyDescent="0.7">
      <c r="A168" s="19"/>
      <c r="B168" s="19"/>
      <c r="C168" s="19"/>
      <c r="D168" s="31"/>
      <c r="E168" s="31"/>
      <c r="F168" s="31"/>
      <c r="G168" s="31"/>
      <c r="H168" s="31"/>
      <c r="I168" s="31"/>
      <c r="J168" s="31"/>
      <c r="K168" s="19"/>
      <c r="L168" s="19"/>
      <c r="M168" s="19"/>
      <c r="N168" s="31"/>
      <c r="O168" s="31"/>
      <c r="P168" s="31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</row>
    <row r="169" spans="1:37" ht="46.5" customHeight="1" x14ac:dyDescent="0.7">
      <c r="A169" s="19"/>
      <c r="B169" s="19"/>
      <c r="C169" s="19"/>
      <c r="D169" s="31"/>
      <c r="E169" s="31"/>
      <c r="F169" s="31"/>
      <c r="G169" s="31"/>
      <c r="H169" s="31"/>
      <c r="I169" s="31"/>
      <c r="J169" s="31"/>
      <c r="K169" s="19"/>
      <c r="L169" s="19"/>
      <c r="M169" s="19"/>
      <c r="N169" s="31"/>
      <c r="O169" s="31"/>
      <c r="P169" s="31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</row>
    <row r="170" spans="1:37" ht="46.5" customHeight="1" x14ac:dyDescent="0.7">
      <c r="A170" s="19"/>
      <c r="B170" s="19"/>
      <c r="C170" s="19"/>
      <c r="D170" s="31"/>
      <c r="E170" s="31"/>
      <c r="F170" s="31"/>
      <c r="G170" s="31"/>
      <c r="H170" s="31"/>
      <c r="I170" s="31"/>
      <c r="J170" s="31"/>
      <c r="K170" s="19"/>
      <c r="L170" s="19"/>
      <c r="M170" s="19"/>
      <c r="N170" s="31"/>
      <c r="O170" s="31"/>
      <c r="P170" s="31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</row>
    <row r="171" spans="1:37" ht="46.5" customHeight="1" x14ac:dyDescent="0.7">
      <c r="A171" s="19"/>
      <c r="B171" s="19"/>
      <c r="C171" s="19"/>
      <c r="D171" s="31"/>
      <c r="E171" s="31"/>
      <c r="F171" s="31"/>
      <c r="G171" s="31"/>
      <c r="H171" s="31"/>
      <c r="I171" s="31"/>
      <c r="J171" s="31"/>
      <c r="K171" s="19"/>
      <c r="L171" s="19"/>
      <c r="M171" s="19"/>
      <c r="N171" s="31"/>
      <c r="O171" s="31"/>
      <c r="P171" s="31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</row>
    <row r="172" spans="1:37" ht="46.5" customHeight="1" x14ac:dyDescent="0.7">
      <c r="A172" s="19"/>
      <c r="B172" s="19"/>
      <c r="C172" s="19"/>
      <c r="D172" s="31"/>
      <c r="E172" s="31"/>
      <c r="F172" s="31"/>
      <c r="G172" s="31"/>
      <c r="H172" s="31"/>
      <c r="I172" s="31"/>
      <c r="J172" s="31"/>
      <c r="K172" s="19"/>
      <c r="L172" s="19"/>
      <c r="M172" s="19"/>
      <c r="N172" s="31"/>
      <c r="O172" s="31"/>
      <c r="P172" s="31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</row>
    <row r="173" spans="1:37" ht="46.5" customHeight="1" x14ac:dyDescent="0.7">
      <c r="A173" s="19"/>
      <c r="B173" s="19"/>
      <c r="C173" s="19"/>
      <c r="D173" s="31"/>
      <c r="E173" s="31"/>
      <c r="F173" s="31"/>
      <c r="G173" s="31"/>
      <c r="H173" s="31"/>
      <c r="I173" s="31"/>
      <c r="J173" s="31"/>
      <c r="K173" s="19"/>
      <c r="L173" s="19"/>
      <c r="M173" s="19"/>
      <c r="N173" s="31"/>
      <c r="O173" s="31"/>
      <c r="P173" s="31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</row>
    <row r="174" spans="1:37" ht="46.5" customHeight="1" x14ac:dyDescent="0.7">
      <c r="A174" s="19"/>
      <c r="B174" s="19"/>
      <c r="C174" s="19"/>
      <c r="D174" s="31"/>
      <c r="E174" s="31"/>
      <c r="F174" s="31"/>
      <c r="G174" s="31"/>
      <c r="H174" s="31"/>
      <c r="I174" s="31"/>
      <c r="J174" s="31"/>
      <c r="K174" s="19"/>
      <c r="L174" s="19"/>
      <c r="M174" s="19"/>
      <c r="N174" s="31"/>
      <c r="O174" s="31"/>
      <c r="P174" s="31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</row>
    <row r="175" spans="1:37" ht="46.5" customHeight="1" x14ac:dyDescent="0.7">
      <c r="A175" s="19"/>
      <c r="B175" s="19"/>
      <c r="C175" s="19"/>
      <c r="D175" s="31"/>
      <c r="E175" s="31"/>
      <c r="F175" s="31"/>
      <c r="G175" s="31"/>
      <c r="H175" s="31"/>
      <c r="I175" s="31"/>
      <c r="J175" s="31"/>
      <c r="K175" s="19"/>
      <c r="L175" s="19"/>
      <c r="M175" s="19"/>
      <c r="N175" s="31"/>
      <c r="O175" s="31"/>
      <c r="P175" s="31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</row>
    <row r="176" spans="1:37" ht="46.5" customHeight="1" x14ac:dyDescent="0.7">
      <c r="A176" s="19"/>
      <c r="B176" s="19"/>
      <c r="C176" s="19"/>
      <c r="D176" s="31"/>
      <c r="E176" s="31"/>
      <c r="F176" s="31"/>
      <c r="G176" s="31"/>
      <c r="H176" s="31"/>
      <c r="I176" s="31"/>
      <c r="J176" s="31"/>
      <c r="K176" s="19"/>
      <c r="L176" s="19"/>
      <c r="M176" s="19"/>
      <c r="N176" s="31"/>
      <c r="O176" s="31"/>
      <c r="P176" s="31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</row>
    <row r="177" spans="1:37" ht="46.5" customHeight="1" x14ac:dyDescent="0.7">
      <c r="A177" s="19"/>
      <c r="B177" s="19"/>
      <c r="C177" s="19"/>
      <c r="D177" s="31"/>
      <c r="E177" s="31"/>
      <c r="F177" s="31"/>
      <c r="G177" s="31"/>
      <c r="H177" s="31"/>
      <c r="I177" s="31"/>
      <c r="J177" s="31"/>
      <c r="K177" s="19"/>
      <c r="L177" s="19"/>
      <c r="M177" s="19"/>
      <c r="N177" s="31"/>
      <c r="O177" s="31"/>
      <c r="P177" s="31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</row>
    <row r="178" spans="1:37" ht="46.5" customHeight="1" x14ac:dyDescent="0.7">
      <c r="A178" s="19"/>
      <c r="B178" s="19"/>
      <c r="C178" s="19"/>
      <c r="D178" s="31"/>
      <c r="E178" s="31"/>
      <c r="F178" s="31"/>
      <c r="G178" s="31"/>
      <c r="H178" s="31"/>
      <c r="I178" s="31"/>
      <c r="J178" s="31"/>
      <c r="K178" s="19"/>
      <c r="L178" s="19"/>
      <c r="M178" s="19"/>
      <c r="N178" s="31"/>
      <c r="O178" s="31"/>
      <c r="P178" s="31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</row>
    <row r="179" spans="1:37" ht="46.5" customHeight="1" x14ac:dyDescent="0.7">
      <c r="A179" s="19"/>
      <c r="B179" s="19"/>
      <c r="C179" s="19"/>
      <c r="D179" s="31"/>
      <c r="E179" s="31"/>
      <c r="F179" s="31"/>
      <c r="G179" s="31"/>
      <c r="H179" s="31"/>
      <c r="I179" s="31"/>
      <c r="J179" s="31"/>
      <c r="K179" s="19"/>
      <c r="L179" s="19"/>
      <c r="M179" s="19"/>
      <c r="N179" s="31"/>
      <c r="O179" s="31"/>
      <c r="P179" s="31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</row>
    <row r="180" spans="1:37" ht="46.5" customHeight="1" x14ac:dyDescent="0.7">
      <c r="A180" s="19"/>
      <c r="B180" s="19"/>
      <c r="C180" s="19"/>
      <c r="D180" s="31"/>
      <c r="E180" s="31"/>
      <c r="F180" s="31"/>
      <c r="G180" s="31"/>
      <c r="H180" s="31"/>
      <c r="I180" s="31"/>
      <c r="J180" s="31"/>
      <c r="K180" s="19"/>
      <c r="L180" s="19"/>
      <c r="M180" s="19"/>
      <c r="N180" s="31"/>
      <c r="O180" s="31"/>
      <c r="P180" s="31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</row>
    <row r="181" spans="1:37" ht="46.5" customHeight="1" x14ac:dyDescent="0.7">
      <c r="A181" s="19"/>
      <c r="B181" s="19"/>
      <c r="C181" s="19"/>
      <c r="D181" s="31"/>
      <c r="E181" s="31"/>
      <c r="F181" s="31"/>
      <c r="G181" s="31"/>
      <c r="H181" s="31"/>
      <c r="I181" s="31"/>
      <c r="J181" s="31"/>
      <c r="K181" s="19"/>
      <c r="L181" s="19"/>
      <c r="M181" s="19"/>
      <c r="N181" s="31"/>
      <c r="O181" s="31"/>
      <c r="P181" s="31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</row>
    <row r="182" spans="1:37" ht="46.5" customHeight="1" x14ac:dyDescent="0.7">
      <c r="A182" s="19"/>
      <c r="B182" s="19"/>
      <c r="C182" s="19"/>
      <c r="D182" s="31"/>
      <c r="E182" s="31"/>
      <c r="F182" s="31"/>
      <c r="G182" s="31"/>
      <c r="H182" s="31"/>
      <c r="I182" s="31"/>
      <c r="J182" s="31"/>
      <c r="K182" s="19"/>
      <c r="L182" s="19"/>
      <c r="M182" s="19"/>
      <c r="N182" s="31"/>
      <c r="O182" s="31"/>
      <c r="P182" s="31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</row>
    <row r="183" spans="1:37" ht="46.5" customHeight="1" x14ac:dyDescent="0.7">
      <c r="A183" s="19"/>
      <c r="B183" s="19"/>
      <c r="C183" s="19"/>
      <c r="D183" s="31"/>
      <c r="E183" s="31"/>
      <c r="F183" s="31"/>
      <c r="G183" s="31"/>
      <c r="H183" s="31"/>
      <c r="I183" s="31"/>
      <c r="J183" s="31"/>
      <c r="K183" s="19"/>
      <c r="L183" s="19"/>
      <c r="M183" s="19"/>
      <c r="N183" s="31"/>
      <c r="O183" s="31"/>
      <c r="P183" s="31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</row>
    <row r="184" spans="1:37" ht="46.5" customHeight="1" x14ac:dyDescent="0.7">
      <c r="A184" s="19"/>
      <c r="B184" s="19"/>
      <c r="C184" s="19"/>
      <c r="D184" s="31"/>
      <c r="E184" s="31"/>
      <c r="F184" s="31"/>
      <c r="G184" s="31"/>
      <c r="H184" s="31"/>
      <c r="I184" s="31"/>
      <c r="J184" s="31"/>
      <c r="K184" s="19"/>
      <c r="L184" s="19"/>
      <c r="M184" s="19"/>
      <c r="N184" s="31"/>
      <c r="O184" s="31"/>
      <c r="P184" s="31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</row>
    <row r="185" spans="1:37" ht="46.5" customHeight="1" x14ac:dyDescent="0.7">
      <c r="A185" s="19"/>
      <c r="B185" s="19"/>
      <c r="C185" s="19"/>
      <c r="D185" s="31"/>
      <c r="E185" s="31"/>
      <c r="F185" s="31"/>
      <c r="G185" s="31"/>
      <c r="H185" s="31"/>
      <c r="I185" s="31"/>
      <c r="J185" s="31"/>
      <c r="K185" s="19"/>
      <c r="L185" s="19"/>
      <c r="M185" s="19"/>
      <c r="N185" s="31"/>
      <c r="O185" s="31"/>
      <c r="P185" s="31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</row>
    <row r="186" spans="1:37" ht="46.5" customHeight="1" x14ac:dyDescent="0.7">
      <c r="A186" s="19"/>
      <c r="B186" s="19"/>
      <c r="C186" s="19"/>
      <c r="D186" s="31"/>
      <c r="E186" s="31"/>
      <c r="F186" s="31"/>
      <c r="G186" s="31"/>
      <c r="H186" s="31"/>
      <c r="I186" s="31"/>
      <c r="J186" s="31"/>
      <c r="K186" s="19"/>
      <c r="L186" s="19"/>
      <c r="M186" s="19"/>
      <c r="N186" s="31"/>
      <c r="O186" s="31"/>
      <c r="P186" s="31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</row>
    <row r="187" spans="1:37" ht="46.5" customHeight="1" x14ac:dyDescent="0.7">
      <c r="A187" s="19"/>
      <c r="B187" s="19"/>
      <c r="C187" s="19"/>
      <c r="D187" s="31"/>
      <c r="E187" s="31"/>
      <c r="F187" s="31"/>
      <c r="G187" s="31"/>
      <c r="H187" s="31"/>
      <c r="I187" s="31"/>
      <c r="J187" s="31"/>
      <c r="K187" s="19"/>
      <c r="L187" s="19"/>
      <c r="M187" s="19"/>
      <c r="N187" s="31"/>
      <c r="O187" s="31"/>
      <c r="P187" s="31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</row>
    <row r="188" spans="1:37" ht="46.5" customHeight="1" x14ac:dyDescent="0.7">
      <c r="A188" s="19"/>
      <c r="B188" s="19"/>
      <c r="C188" s="19"/>
      <c r="D188" s="31"/>
      <c r="E188" s="31"/>
      <c r="F188" s="31"/>
      <c r="G188" s="31"/>
      <c r="H188" s="31"/>
      <c r="I188" s="31"/>
      <c r="J188" s="31"/>
      <c r="K188" s="19"/>
      <c r="L188" s="19"/>
      <c r="M188" s="19"/>
      <c r="N188" s="31"/>
      <c r="O188" s="31"/>
      <c r="P188" s="31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</row>
    <row r="189" spans="1:37" ht="46.5" customHeight="1" x14ac:dyDescent="0.7">
      <c r="A189" s="19"/>
      <c r="B189" s="19"/>
      <c r="C189" s="19"/>
      <c r="D189" s="31"/>
      <c r="E189" s="31"/>
      <c r="F189" s="31"/>
      <c r="G189" s="31"/>
      <c r="H189" s="31"/>
      <c r="I189" s="31"/>
      <c r="J189" s="31"/>
      <c r="K189" s="19"/>
      <c r="L189" s="19"/>
      <c r="M189" s="19"/>
      <c r="N189" s="31"/>
      <c r="O189" s="31"/>
      <c r="P189" s="31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</row>
    <row r="190" spans="1:37" ht="46.5" customHeight="1" x14ac:dyDescent="0.7">
      <c r="A190" s="19"/>
      <c r="B190" s="19"/>
      <c r="C190" s="19"/>
      <c r="D190" s="31"/>
      <c r="E190" s="31"/>
      <c r="F190" s="31"/>
      <c r="G190" s="31"/>
      <c r="H190" s="31"/>
      <c r="I190" s="31"/>
      <c r="J190" s="31"/>
      <c r="K190" s="19"/>
      <c r="L190" s="19"/>
      <c r="M190" s="19"/>
      <c r="N190" s="31"/>
      <c r="O190" s="31"/>
      <c r="P190" s="31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</row>
    <row r="191" spans="1:37" ht="46.5" customHeight="1" x14ac:dyDescent="0.7">
      <c r="A191" s="19"/>
      <c r="B191" s="19"/>
      <c r="C191" s="19"/>
      <c r="D191" s="31"/>
      <c r="E191" s="31"/>
      <c r="F191" s="31"/>
      <c r="G191" s="31"/>
      <c r="H191" s="31"/>
      <c r="I191" s="31"/>
      <c r="J191" s="31"/>
      <c r="K191" s="19"/>
      <c r="L191" s="19"/>
      <c r="M191" s="19"/>
      <c r="N191" s="31"/>
      <c r="O191" s="31"/>
      <c r="P191" s="31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</row>
    <row r="192" spans="1:37" ht="46.5" customHeight="1" x14ac:dyDescent="0.7">
      <c r="A192" s="19"/>
      <c r="B192" s="19"/>
      <c r="C192" s="19"/>
      <c r="D192" s="31"/>
      <c r="E192" s="31"/>
      <c r="F192" s="31"/>
      <c r="G192" s="31"/>
      <c r="H192" s="31"/>
      <c r="I192" s="31"/>
      <c r="J192" s="31"/>
      <c r="K192" s="19"/>
      <c r="L192" s="19"/>
      <c r="M192" s="19"/>
      <c r="N192" s="31"/>
      <c r="O192" s="31"/>
      <c r="P192" s="31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</row>
    <row r="193" spans="1:37" ht="46.5" customHeight="1" x14ac:dyDescent="0.7">
      <c r="A193" s="19"/>
      <c r="B193" s="19"/>
      <c r="C193" s="19"/>
      <c r="D193" s="31"/>
      <c r="E193" s="31"/>
      <c r="F193" s="31"/>
      <c r="G193" s="31"/>
      <c r="H193" s="31"/>
      <c r="I193" s="31"/>
      <c r="J193" s="31"/>
      <c r="K193" s="19"/>
      <c r="L193" s="19"/>
      <c r="M193" s="19"/>
      <c r="N193" s="31"/>
      <c r="O193" s="31"/>
      <c r="P193" s="31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</row>
    <row r="194" spans="1:37" ht="46.5" customHeight="1" x14ac:dyDescent="0.7">
      <c r="A194" s="19"/>
      <c r="B194" s="19"/>
      <c r="C194" s="19"/>
      <c r="D194" s="31"/>
      <c r="E194" s="31"/>
      <c r="F194" s="31"/>
      <c r="G194" s="31"/>
      <c r="H194" s="31"/>
      <c r="I194" s="31"/>
      <c r="J194" s="31"/>
      <c r="K194" s="19"/>
      <c r="L194" s="19"/>
      <c r="M194" s="19"/>
      <c r="N194" s="31"/>
      <c r="O194" s="31"/>
      <c r="P194" s="31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</row>
    <row r="195" spans="1:37" ht="46.5" customHeight="1" x14ac:dyDescent="0.7">
      <c r="A195" s="19"/>
      <c r="B195" s="19"/>
      <c r="C195" s="19"/>
      <c r="D195" s="31"/>
      <c r="E195" s="31"/>
      <c r="F195" s="31"/>
      <c r="G195" s="31"/>
      <c r="H195" s="31"/>
      <c r="I195" s="31"/>
      <c r="J195" s="31"/>
      <c r="K195" s="19"/>
      <c r="L195" s="19"/>
      <c r="M195" s="19"/>
      <c r="N195" s="31"/>
      <c r="O195" s="31"/>
      <c r="P195" s="31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</row>
    <row r="196" spans="1:37" ht="46.5" customHeight="1" x14ac:dyDescent="0.7">
      <c r="A196" s="19"/>
      <c r="B196" s="19"/>
      <c r="C196" s="19"/>
      <c r="D196" s="31"/>
      <c r="E196" s="31"/>
      <c r="F196" s="31"/>
      <c r="G196" s="31"/>
      <c r="H196" s="31"/>
      <c r="I196" s="31"/>
      <c r="J196" s="31"/>
      <c r="K196" s="19"/>
      <c r="L196" s="19"/>
      <c r="M196" s="19"/>
      <c r="N196" s="31"/>
      <c r="O196" s="31"/>
      <c r="P196" s="31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</row>
    <row r="197" spans="1:37" ht="46.5" customHeight="1" x14ac:dyDescent="0.7">
      <c r="A197" s="19"/>
      <c r="B197" s="19"/>
      <c r="C197" s="19"/>
      <c r="D197" s="31"/>
      <c r="E197" s="31"/>
      <c r="F197" s="31"/>
      <c r="G197" s="31"/>
      <c r="H197" s="31"/>
      <c r="I197" s="31"/>
      <c r="J197" s="31"/>
      <c r="K197" s="19"/>
      <c r="L197" s="19"/>
      <c r="M197" s="19"/>
      <c r="N197" s="31"/>
      <c r="O197" s="31"/>
      <c r="P197" s="31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</row>
    <row r="198" spans="1:37" ht="46.5" customHeight="1" x14ac:dyDescent="0.7">
      <c r="A198" s="19"/>
      <c r="B198" s="19"/>
      <c r="C198" s="19"/>
      <c r="D198" s="31"/>
      <c r="E198" s="31"/>
      <c r="F198" s="31"/>
      <c r="G198" s="31"/>
      <c r="H198" s="31"/>
      <c r="I198" s="31"/>
      <c r="J198" s="31"/>
      <c r="K198" s="19"/>
      <c r="L198" s="19"/>
      <c r="M198" s="19"/>
      <c r="N198" s="31"/>
      <c r="O198" s="31"/>
      <c r="P198" s="31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</row>
    <row r="199" spans="1:37" ht="46.5" customHeight="1" x14ac:dyDescent="0.7">
      <c r="A199" s="19"/>
      <c r="B199" s="19"/>
      <c r="C199" s="19"/>
      <c r="D199" s="31"/>
      <c r="E199" s="31"/>
      <c r="F199" s="31"/>
      <c r="G199" s="31"/>
      <c r="H199" s="31"/>
      <c r="I199" s="31"/>
      <c r="J199" s="31"/>
      <c r="K199" s="19"/>
      <c r="L199" s="19"/>
      <c r="M199" s="19"/>
      <c r="N199" s="31"/>
      <c r="O199" s="31"/>
      <c r="P199" s="31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</row>
    <row r="200" spans="1:37" ht="46.5" customHeight="1" x14ac:dyDescent="0.7">
      <c r="A200" s="19"/>
      <c r="B200" s="19"/>
      <c r="C200" s="19"/>
      <c r="D200" s="31"/>
      <c r="E200" s="31"/>
      <c r="F200" s="31"/>
      <c r="G200" s="31"/>
      <c r="H200" s="31"/>
      <c r="I200" s="31"/>
      <c r="J200" s="31"/>
      <c r="K200" s="19"/>
      <c r="L200" s="19"/>
      <c r="M200" s="19"/>
      <c r="N200" s="31"/>
      <c r="O200" s="31"/>
      <c r="P200" s="31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</row>
    <row r="201" spans="1:37" ht="46.5" customHeight="1" x14ac:dyDescent="0.7">
      <c r="A201" s="19"/>
      <c r="B201" s="19"/>
      <c r="C201" s="19"/>
      <c r="D201" s="31"/>
      <c r="E201" s="31"/>
      <c r="F201" s="31"/>
      <c r="G201" s="31"/>
      <c r="H201" s="31"/>
      <c r="I201" s="31"/>
      <c r="J201" s="31"/>
      <c r="K201" s="19"/>
      <c r="L201" s="19"/>
      <c r="M201" s="19"/>
      <c r="N201" s="31"/>
      <c r="O201" s="31"/>
      <c r="P201" s="31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</row>
    <row r="202" spans="1:37" ht="46.5" customHeight="1" x14ac:dyDescent="0.7">
      <c r="A202" s="19"/>
      <c r="B202" s="19"/>
      <c r="C202" s="19"/>
      <c r="D202" s="31"/>
      <c r="E202" s="31"/>
      <c r="F202" s="31"/>
      <c r="G202" s="31"/>
      <c r="H202" s="31"/>
      <c r="I202" s="31"/>
      <c r="J202" s="31"/>
      <c r="K202" s="19"/>
      <c r="L202" s="19"/>
      <c r="M202" s="19"/>
      <c r="N202" s="31"/>
      <c r="O202" s="31"/>
      <c r="P202" s="31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</row>
    <row r="203" spans="1:37" ht="46.5" customHeight="1" x14ac:dyDescent="0.7">
      <c r="A203" s="19"/>
      <c r="B203" s="19"/>
      <c r="C203" s="19"/>
      <c r="D203" s="31"/>
      <c r="E203" s="31"/>
      <c r="F203" s="31"/>
      <c r="G203" s="31"/>
      <c r="H203" s="31"/>
      <c r="I203" s="31"/>
      <c r="J203" s="31"/>
      <c r="K203" s="19"/>
      <c r="L203" s="19"/>
      <c r="M203" s="19"/>
      <c r="N203" s="31"/>
      <c r="O203" s="31"/>
      <c r="P203" s="31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</row>
    <row r="204" spans="1:37" ht="46.5" customHeight="1" x14ac:dyDescent="0.7">
      <c r="A204" s="19"/>
      <c r="B204" s="19"/>
      <c r="C204" s="19"/>
      <c r="D204" s="31"/>
      <c r="E204" s="31"/>
      <c r="F204" s="31"/>
      <c r="G204" s="31"/>
      <c r="H204" s="31"/>
      <c r="I204" s="31"/>
      <c r="J204" s="31"/>
      <c r="K204" s="19"/>
      <c r="L204" s="19"/>
      <c r="M204" s="19"/>
      <c r="N204" s="31"/>
      <c r="O204" s="31"/>
      <c r="P204" s="31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</row>
    <row r="205" spans="1:37" ht="46.5" customHeight="1" x14ac:dyDescent="0.7">
      <c r="A205" s="19"/>
      <c r="B205" s="19"/>
      <c r="C205" s="19"/>
      <c r="D205" s="31"/>
      <c r="E205" s="31"/>
      <c r="F205" s="31"/>
      <c r="G205" s="31"/>
      <c r="H205" s="31"/>
      <c r="I205" s="31"/>
      <c r="J205" s="31"/>
      <c r="K205" s="19"/>
      <c r="L205" s="19"/>
      <c r="M205" s="19"/>
      <c r="N205" s="31"/>
      <c r="O205" s="31"/>
      <c r="P205" s="31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</row>
    <row r="206" spans="1:37" ht="46.5" customHeight="1" x14ac:dyDescent="0.7">
      <c r="A206" s="19"/>
      <c r="B206" s="19"/>
      <c r="C206" s="19"/>
      <c r="D206" s="31"/>
      <c r="E206" s="31"/>
      <c r="F206" s="31"/>
      <c r="G206" s="31"/>
      <c r="H206" s="31"/>
      <c r="I206" s="31"/>
      <c r="J206" s="31"/>
      <c r="K206" s="19"/>
      <c r="L206" s="19"/>
      <c r="M206" s="19"/>
      <c r="N206" s="31"/>
      <c r="O206" s="31"/>
      <c r="P206" s="31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</row>
    <row r="207" spans="1:37" ht="46.5" customHeight="1" x14ac:dyDescent="0.7">
      <c r="A207" s="19"/>
      <c r="B207" s="19"/>
      <c r="C207" s="19"/>
      <c r="D207" s="31"/>
      <c r="E207" s="31"/>
      <c r="F207" s="31"/>
      <c r="G207" s="31"/>
      <c r="H207" s="31"/>
      <c r="I207" s="31"/>
      <c r="J207" s="31"/>
      <c r="K207" s="19"/>
      <c r="L207" s="19"/>
      <c r="M207" s="19"/>
      <c r="N207" s="31"/>
      <c r="O207" s="31"/>
      <c r="P207" s="31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</row>
    <row r="208" spans="1:37" ht="46.5" customHeight="1" x14ac:dyDescent="0.7">
      <c r="A208" s="19"/>
      <c r="B208" s="19"/>
      <c r="C208" s="19"/>
      <c r="D208" s="31"/>
      <c r="E208" s="31"/>
      <c r="F208" s="31"/>
      <c r="G208" s="31"/>
      <c r="H208" s="31"/>
      <c r="I208" s="31"/>
      <c r="J208" s="31"/>
      <c r="K208" s="19"/>
      <c r="L208" s="19"/>
      <c r="M208" s="19"/>
      <c r="N208" s="31"/>
      <c r="O208" s="31"/>
      <c r="P208" s="31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</row>
    <row r="209" spans="1:37" ht="46.5" customHeight="1" x14ac:dyDescent="0.7">
      <c r="A209" s="19"/>
      <c r="B209" s="19"/>
      <c r="C209" s="19"/>
      <c r="D209" s="31"/>
      <c r="E209" s="31"/>
      <c r="F209" s="31"/>
      <c r="G209" s="31"/>
      <c r="H209" s="31"/>
      <c r="I209" s="31"/>
      <c r="J209" s="31"/>
      <c r="K209" s="19"/>
      <c r="L209" s="19"/>
      <c r="M209" s="19"/>
      <c r="N209" s="31"/>
      <c r="O209" s="31"/>
      <c r="P209" s="31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</row>
    <row r="210" spans="1:37" ht="46.5" customHeight="1" x14ac:dyDescent="0.7">
      <c r="A210" s="19"/>
      <c r="B210" s="19"/>
      <c r="C210" s="19"/>
      <c r="D210" s="31"/>
      <c r="E210" s="31"/>
      <c r="F210" s="31"/>
      <c r="G210" s="31"/>
      <c r="H210" s="31"/>
      <c r="I210" s="31"/>
      <c r="J210" s="31"/>
      <c r="K210" s="19"/>
      <c r="L210" s="19"/>
      <c r="M210" s="19"/>
      <c r="N210" s="31"/>
      <c r="O210" s="31"/>
      <c r="P210" s="31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</row>
    <row r="211" spans="1:37" ht="46.5" customHeight="1" x14ac:dyDescent="0.7">
      <c r="A211" s="19"/>
      <c r="B211" s="19"/>
      <c r="C211" s="19"/>
      <c r="D211" s="31"/>
      <c r="E211" s="31"/>
      <c r="F211" s="31"/>
      <c r="G211" s="31"/>
      <c r="H211" s="31"/>
      <c r="I211" s="31"/>
      <c r="J211" s="31"/>
      <c r="K211" s="19"/>
      <c r="L211" s="19"/>
      <c r="M211" s="19"/>
      <c r="N211" s="31"/>
      <c r="O211" s="31"/>
      <c r="P211" s="31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</row>
    <row r="212" spans="1:37" ht="46.5" customHeight="1" x14ac:dyDescent="0.7">
      <c r="A212" s="19"/>
      <c r="B212" s="19"/>
      <c r="C212" s="19"/>
      <c r="D212" s="31"/>
      <c r="E212" s="31"/>
      <c r="F212" s="31"/>
      <c r="G212" s="31"/>
      <c r="H212" s="31"/>
      <c r="I212" s="31"/>
      <c r="J212" s="31"/>
      <c r="K212" s="19"/>
      <c r="L212" s="19"/>
      <c r="M212" s="19"/>
      <c r="N212" s="31"/>
      <c r="O212" s="31"/>
      <c r="P212" s="31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</row>
    <row r="213" spans="1:37" ht="46.5" customHeight="1" x14ac:dyDescent="0.7">
      <c r="A213" s="19"/>
      <c r="B213" s="19"/>
      <c r="C213" s="19"/>
      <c r="D213" s="31"/>
      <c r="E213" s="31"/>
      <c r="F213" s="31"/>
      <c r="G213" s="31"/>
      <c r="H213" s="31"/>
      <c r="I213" s="31"/>
      <c r="J213" s="31"/>
      <c r="K213" s="19"/>
      <c r="L213" s="19"/>
      <c r="M213" s="19"/>
      <c r="N213" s="31"/>
      <c r="O213" s="31"/>
      <c r="P213" s="31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</row>
    <row r="214" spans="1:37" ht="46.5" customHeight="1" x14ac:dyDescent="0.7">
      <c r="A214" s="19"/>
      <c r="B214" s="19"/>
      <c r="C214" s="19"/>
      <c r="D214" s="31"/>
      <c r="E214" s="31"/>
      <c r="F214" s="31"/>
      <c r="G214" s="31"/>
      <c r="H214" s="31"/>
      <c r="I214" s="31"/>
      <c r="J214" s="31"/>
      <c r="K214" s="19"/>
      <c r="L214" s="19"/>
      <c r="M214" s="19"/>
      <c r="N214" s="31"/>
      <c r="O214" s="31"/>
      <c r="P214" s="31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</row>
    <row r="215" spans="1:37" ht="46.5" customHeight="1" x14ac:dyDescent="0.7">
      <c r="A215" s="19"/>
      <c r="B215" s="19"/>
      <c r="C215" s="19"/>
      <c r="D215" s="31"/>
      <c r="E215" s="31"/>
      <c r="F215" s="31"/>
      <c r="G215" s="31"/>
      <c r="H215" s="31"/>
      <c r="I215" s="31"/>
      <c r="J215" s="31"/>
      <c r="K215" s="19"/>
      <c r="L215" s="19"/>
      <c r="M215" s="19"/>
      <c r="N215" s="31"/>
      <c r="O215" s="31"/>
      <c r="P215" s="31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</row>
    <row r="216" spans="1:37" ht="46.5" customHeight="1" x14ac:dyDescent="0.7">
      <c r="A216" s="19"/>
      <c r="B216" s="19"/>
      <c r="C216" s="19"/>
      <c r="D216" s="31"/>
      <c r="E216" s="31"/>
      <c r="F216" s="31"/>
      <c r="G216" s="31"/>
      <c r="H216" s="31"/>
      <c r="I216" s="31"/>
      <c r="J216" s="31"/>
      <c r="K216" s="19"/>
      <c r="L216" s="19"/>
      <c r="M216" s="19"/>
      <c r="N216" s="31"/>
      <c r="O216" s="31"/>
      <c r="P216" s="31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</row>
    <row r="217" spans="1:37" ht="46.5" customHeight="1" x14ac:dyDescent="0.7">
      <c r="A217" s="19"/>
      <c r="B217" s="19"/>
      <c r="C217" s="19"/>
      <c r="D217" s="31"/>
      <c r="E217" s="31"/>
      <c r="F217" s="31"/>
      <c r="G217" s="31"/>
      <c r="H217" s="31"/>
      <c r="I217" s="31"/>
      <c r="J217" s="31"/>
      <c r="K217" s="19"/>
      <c r="L217" s="19"/>
      <c r="M217" s="19"/>
      <c r="N217" s="31"/>
      <c r="O217" s="31"/>
      <c r="P217" s="31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</row>
    <row r="218" spans="1:37" ht="46.5" customHeight="1" x14ac:dyDescent="0.7">
      <c r="A218" s="19"/>
      <c r="B218" s="19"/>
      <c r="C218" s="19"/>
      <c r="D218" s="31"/>
      <c r="E218" s="31"/>
      <c r="F218" s="31"/>
      <c r="G218" s="31"/>
      <c r="H218" s="31"/>
      <c r="I218" s="31"/>
      <c r="J218" s="31"/>
      <c r="K218" s="19"/>
      <c r="L218" s="19"/>
      <c r="M218" s="19"/>
      <c r="N218" s="31"/>
      <c r="O218" s="31"/>
      <c r="P218" s="31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</row>
    <row r="219" spans="1:37" ht="46.5" customHeight="1" x14ac:dyDescent="0.7">
      <c r="A219" s="19"/>
      <c r="B219" s="19"/>
      <c r="C219" s="19"/>
      <c r="D219" s="31"/>
      <c r="E219" s="31"/>
      <c r="F219" s="31"/>
      <c r="G219" s="31"/>
      <c r="H219" s="31"/>
      <c r="I219" s="31"/>
      <c r="J219" s="31"/>
      <c r="K219" s="19"/>
      <c r="L219" s="19"/>
      <c r="M219" s="19"/>
      <c r="N219" s="31"/>
      <c r="O219" s="31"/>
      <c r="P219" s="31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</row>
    <row r="220" spans="1:37" ht="46.5" customHeight="1" x14ac:dyDescent="0.7">
      <c r="A220" s="19"/>
      <c r="B220" s="19"/>
      <c r="C220" s="19"/>
      <c r="D220" s="31"/>
      <c r="E220" s="31"/>
      <c r="F220" s="31"/>
      <c r="G220" s="31"/>
      <c r="H220" s="31"/>
      <c r="I220" s="31"/>
      <c r="J220" s="31"/>
      <c r="K220" s="19"/>
      <c r="L220" s="19"/>
      <c r="M220" s="19"/>
      <c r="N220" s="31"/>
      <c r="O220" s="31"/>
      <c r="P220" s="31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</row>
    <row r="221" spans="1:37" ht="46.5" customHeight="1" x14ac:dyDescent="0.7">
      <c r="A221" s="19"/>
      <c r="B221" s="19"/>
      <c r="C221" s="19"/>
      <c r="D221" s="31"/>
      <c r="E221" s="31"/>
      <c r="F221" s="31"/>
      <c r="G221" s="31"/>
      <c r="H221" s="31"/>
      <c r="I221" s="31"/>
      <c r="J221" s="31"/>
      <c r="K221" s="19"/>
      <c r="L221" s="19"/>
      <c r="M221" s="19"/>
      <c r="N221" s="31"/>
      <c r="O221" s="31"/>
      <c r="P221" s="31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</row>
    <row r="222" spans="1:37" ht="46.5" customHeight="1" x14ac:dyDescent="0.7">
      <c r="A222" s="19"/>
      <c r="B222" s="19"/>
      <c r="C222" s="19"/>
      <c r="D222" s="31"/>
      <c r="E222" s="31"/>
      <c r="F222" s="31"/>
      <c r="G222" s="31"/>
      <c r="H222" s="31"/>
      <c r="I222" s="31"/>
      <c r="J222" s="31"/>
      <c r="K222" s="19"/>
      <c r="L222" s="19"/>
      <c r="M222" s="19"/>
      <c r="N222" s="31"/>
      <c r="O222" s="31"/>
      <c r="P222" s="31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</row>
    <row r="223" spans="1:37" ht="46.5" customHeight="1" x14ac:dyDescent="0.7">
      <c r="A223" s="19"/>
      <c r="B223" s="19"/>
      <c r="C223" s="19"/>
      <c r="D223" s="31"/>
      <c r="E223" s="31"/>
      <c r="F223" s="31"/>
      <c r="G223" s="31"/>
      <c r="H223" s="31"/>
      <c r="I223" s="31"/>
      <c r="J223" s="31"/>
      <c r="K223" s="19"/>
      <c r="L223" s="19"/>
      <c r="M223" s="19"/>
      <c r="N223" s="31"/>
      <c r="O223" s="31"/>
      <c r="P223" s="31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</row>
    <row r="224" spans="1:37" ht="46.5" customHeight="1" x14ac:dyDescent="0.7">
      <c r="A224" s="19"/>
      <c r="B224" s="19"/>
      <c r="C224" s="19"/>
      <c r="D224" s="31"/>
      <c r="E224" s="31"/>
      <c r="F224" s="31"/>
      <c r="G224" s="31"/>
      <c r="H224" s="31"/>
      <c r="I224" s="31"/>
      <c r="J224" s="31"/>
      <c r="K224" s="19"/>
      <c r="L224" s="19"/>
      <c r="M224" s="19"/>
      <c r="N224" s="31"/>
      <c r="O224" s="31"/>
      <c r="P224" s="31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</row>
    <row r="225" spans="1:37" ht="46.5" customHeight="1" x14ac:dyDescent="0.7">
      <c r="A225" s="19"/>
      <c r="B225" s="19"/>
      <c r="C225" s="19"/>
      <c r="D225" s="31"/>
      <c r="E225" s="31"/>
      <c r="F225" s="31"/>
      <c r="G225" s="31"/>
      <c r="H225" s="31"/>
      <c r="I225" s="31"/>
      <c r="J225" s="31"/>
      <c r="K225" s="19"/>
      <c r="L225" s="19"/>
      <c r="M225" s="19"/>
      <c r="N225" s="31"/>
      <c r="O225" s="31"/>
      <c r="P225" s="31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</row>
    <row r="226" spans="1:37" ht="46.5" customHeight="1" x14ac:dyDescent="0.7">
      <c r="A226" s="19"/>
      <c r="B226" s="19"/>
      <c r="C226" s="19"/>
      <c r="D226" s="31"/>
      <c r="E226" s="31"/>
      <c r="F226" s="31"/>
      <c r="G226" s="31"/>
      <c r="H226" s="31"/>
      <c r="I226" s="31"/>
      <c r="J226" s="31"/>
      <c r="K226" s="19"/>
      <c r="L226" s="19"/>
      <c r="M226" s="19"/>
      <c r="N226" s="31"/>
      <c r="O226" s="31"/>
      <c r="P226" s="31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</row>
    <row r="227" spans="1:37" ht="46.5" customHeight="1" x14ac:dyDescent="0.7">
      <c r="A227" s="19"/>
      <c r="B227" s="19"/>
      <c r="C227" s="19"/>
      <c r="D227" s="31"/>
      <c r="E227" s="31"/>
      <c r="F227" s="31"/>
      <c r="G227" s="31"/>
      <c r="H227" s="31"/>
      <c r="I227" s="31"/>
      <c r="J227" s="31"/>
      <c r="K227" s="19"/>
      <c r="L227" s="19"/>
      <c r="M227" s="19"/>
      <c r="N227" s="31"/>
      <c r="O227" s="31"/>
      <c r="P227" s="31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</row>
    <row r="228" spans="1:37" ht="46.5" customHeight="1" x14ac:dyDescent="0.7">
      <c r="A228" s="19"/>
      <c r="B228" s="19"/>
      <c r="C228" s="19"/>
      <c r="D228" s="31"/>
      <c r="E228" s="31"/>
      <c r="F228" s="31"/>
      <c r="G228" s="31"/>
      <c r="H228" s="31"/>
      <c r="I228" s="31"/>
      <c r="J228" s="31"/>
      <c r="K228" s="19"/>
      <c r="L228" s="19"/>
      <c r="M228" s="19"/>
      <c r="N228" s="31"/>
      <c r="O228" s="31"/>
      <c r="P228" s="31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</row>
    <row r="229" spans="1:37" ht="46.5" customHeight="1" x14ac:dyDescent="0.7">
      <c r="A229" s="19"/>
      <c r="B229" s="19"/>
      <c r="C229" s="19"/>
      <c r="D229" s="31"/>
      <c r="E229" s="31"/>
      <c r="F229" s="31"/>
      <c r="G229" s="31"/>
      <c r="H229" s="31"/>
      <c r="I229" s="31"/>
      <c r="J229" s="31"/>
      <c r="K229" s="19"/>
      <c r="L229" s="19"/>
      <c r="M229" s="19"/>
      <c r="N229" s="31"/>
      <c r="O229" s="31"/>
      <c r="P229" s="31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</row>
    <row r="230" spans="1:37" ht="46.5" customHeight="1" x14ac:dyDescent="0.7">
      <c r="A230" s="19"/>
      <c r="B230" s="19"/>
      <c r="C230" s="19"/>
      <c r="D230" s="31"/>
      <c r="E230" s="31"/>
      <c r="F230" s="31"/>
      <c r="G230" s="31"/>
      <c r="H230" s="31"/>
      <c r="I230" s="31"/>
      <c r="J230" s="31"/>
      <c r="K230" s="19"/>
      <c r="L230" s="19"/>
      <c r="M230" s="19"/>
      <c r="N230" s="31"/>
      <c r="O230" s="31"/>
      <c r="P230" s="31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</row>
    <row r="231" spans="1:37" ht="46.5" customHeight="1" x14ac:dyDescent="0.7">
      <c r="A231" s="19"/>
      <c r="B231" s="19"/>
      <c r="C231" s="19"/>
      <c r="D231" s="31"/>
      <c r="E231" s="31"/>
      <c r="F231" s="31"/>
      <c r="G231" s="31"/>
      <c r="H231" s="31"/>
      <c r="I231" s="31"/>
      <c r="J231" s="31"/>
      <c r="K231" s="19"/>
      <c r="L231" s="19"/>
      <c r="M231" s="19"/>
      <c r="N231" s="31"/>
      <c r="O231" s="31"/>
      <c r="P231" s="31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</row>
    <row r="232" spans="1:37" ht="46.5" customHeight="1" x14ac:dyDescent="0.7">
      <c r="A232" s="19"/>
      <c r="B232" s="19"/>
      <c r="C232" s="19"/>
      <c r="D232" s="31"/>
      <c r="E232" s="31"/>
      <c r="F232" s="31"/>
      <c r="G232" s="31"/>
      <c r="H232" s="31"/>
      <c r="I232" s="31"/>
      <c r="J232" s="31"/>
      <c r="K232" s="19"/>
      <c r="L232" s="19"/>
      <c r="M232" s="19"/>
      <c r="N232" s="31"/>
      <c r="O232" s="31"/>
      <c r="P232" s="31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</row>
    <row r="233" spans="1:37" ht="46.5" customHeight="1" x14ac:dyDescent="0.7">
      <c r="A233" s="19"/>
      <c r="B233" s="19"/>
      <c r="C233" s="19"/>
      <c r="D233" s="31"/>
      <c r="E233" s="31"/>
      <c r="F233" s="31"/>
      <c r="G233" s="31"/>
      <c r="H233" s="31"/>
      <c r="I233" s="31"/>
      <c r="J233" s="31"/>
      <c r="K233" s="19"/>
      <c r="L233" s="19"/>
      <c r="M233" s="19"/>
      <c r="N233" s="31"/>
      <c r="O233" s="31"/>
      <c r="P233" s="31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</row>
    <row r="234" spans="1:37" ht="46.5" customHeight="1" x14ac:dyDescent="0.7">
      <c r="A234" s="19"/>
      <c r="B234" s="19"/>
      <c r="C234" s="19"/>
      <c r="D234" s="31"/>
      <c r="E234" s="31"/>
      <c r="F234" s="31"/>
      <c r="G234" s="31"/>
      <c r="H234" s="31"/>
      <c r="I234" s="31"/>
      <c r="J234" s="31"/>
      <c r="K234" s="19"/>
      <c r="L234" s="19"/>
      <c r="M234" s="19"/>
      <c r="N234" s="31"/>
      <c r="O234" s="31"/>
      <c r="P234" s="31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</row>
    <row r="235" spans="1:37" ht="46.5" customHeight="1" x14ac:dyDescent="0.7">
      <c r="A235" s="19"/>
      <c r="B235" s="19"/>
      <c r="C235" s="19"/>
      <c r="D235" s="31"/>
      <c r="E235" s="31"/>
      <c r="F235" s="31"/>
      <c r="G235" s="31"/>
      <c r="H235" s="31"/>
      <c r="I235" s="31"/>
      <c r="J235" s="31"/>
      <c r="K235" s="19"/>
      <c r="L235" s="19"/>
      <c r="M235" s="19"/>
      <c r="N235" s="31"/>
      <c r="O235" s="31"/>
      <c r="P235" s="31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</row>
    <row r="236" spans="1:37" ht="46.5" customHeight="1" x14ac:dyDescent="0.7">
      <c r="A236" s="19"/>
      <c r="B236" s="19"/>
      <c r="C236" s="19"/>
      <c r="D236" s="31"/>
      <c r="E236" s="31"/>
      <c r="F236" s="31"/>
      <c r="G236" s="31"/>
      <c r="H236" s="31"/>
      <c r="I236" s="31"/>
      <c r="J236" s="31"/>
      <c r="K236" s="19"/>
      <c r="L236" s="19"/>
      <c r="M236" s="19"/>
      <c r="N236" s="31"/>
      <c r="O236" s="31"/>
      <c r="P236" s="31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</row>
    <row r="237" spans="1:37" ht="46.5" customHeight="1" x14ac:dyDescent="0.7">
      <c r="A237" s="19"/>
      <c r="B237" s="19"/>
      <c r="C237" s="19"/>
      <c r="D237" s="31"/>
      <c r="E237" s="31"/>
      <c r="F237" s="31"/>
      <c r="G237" s="31"/>
      <c r="H237" s="31"/>
      <c r="I237" s="31"/>
      <c r="J237" s="31"/>
      <c r="K237" s="19"/>
      <c r="L237" s="19"/>
      <c r="M237" s="19"/>
      <c r="N237" s="31"/>
      <c r="O237" s="31"/>
      <c r="P237" s="31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</row>
    <row r="238" spans="1:37" ht="46.5" customHeight="1" x14ac:dyDescent="0.7">
      <c r="A238" s="19"/>
      <c r="B238" s="19"/>
      <c r="C238" s="19"/>
      <c r="D238" s="31"/>
      <c r="E238" s="31"/>
      <c r="F238" s="31"/>
      <c r="G238" s="31"/>
      <c r="H238" s="31"/>
      <c r="I238" s="31"/>
      <c r="J238" s="31"/>
      <c r="K238" s="19"/>
      <c r="L238" s="19"/>
      <c r="M238" s="19"/>
      <c r="N238" s="31"/>
      <c r="O238" s="31"/>
      <c r="P238" s="31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</row>
    <row r="239" spans="1:37" ht="46.5" customHeight="1" x14ac:dyDescent="0.7">
      <c r="A239" s="19"/>
      <c r="B239" s="19"/>
      <c r="C239" s="19"/>
      <c r="D239" s="31"/>
      <c r="E239" s="31"/>
      <c r="F239" s="31"/>
      <c r="G239" s="31"/>
      <c r="H239" s="31"/>
      <c r="I239" s="31"/>
      <c r="J239" s="31"/>
      <c r="K239" s="19"/>
      <c r="L239" s="19"/>
      <c r="M239" s="19"/>
      <c r="N239" s="31"/>
      <c r="O239" s="31"/>
      <c r="P239" s="31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</row>
    <row r="240" spans="1:37" ht="46.5" customHeight="1" x14ac:dyDescent="0.7">
      <c r="A240" s="19"/>
      <c r="B240" s="19"/>
      <c r="C240" s="19"/>
      <c r="D240" s="31"/>
      <c r="E240" s="31"/>
      <c r="F240" s="31"/>
      <c r="G240" s="31"/>
      <c r="H240" s="31"/>
      <c r="I240" s="31"/>
      <c r="J240" s="31"/>
      <c r="K240" s="19"/>
      <c r="L240" s="19"/>
      <c r="M240" s="19"/>
      <c r="N240" s="31"/>
      <c r="O240" s="31"/>
      <c r="P240" s="31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</row>
    <row r="241" spans="1:37" ht="46.5" customHeight="1" x14ac:dyDescent="0.7">
      <c r="A241" s="19"/>
      <c r="B241" s="19"/>
      <c r="C241" s="19"/>
      <c r="D241" s="31"/>
      <c r="E241" s="31"/>
      <c r="F241" s="31"/>
      <c r="G241" s="31"/>
      <c r="H241" s="31"/>
      <c r="I241" s="31"/>
      <c r="J241" s="31"/>
      <c r="K241" s="19"/>
      <c r="L241" s="19"/>
      <c r="M241" s="19"/>
      <c r="N241" s="31"/>
      <c r="O241" s="31"/>
      <c r="P241" s="31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</row>
    <row r="242" spans="1:37" ht="46.5" customHeight="1" x14ac:dyDescent="0.7">
      <c r="A242" s="19"/>
      <c r="B242" s="19"/>
      <c r="C242" s="19"/>
      <c r="D242" s="31"/>
      <c r="E242" s="31"/>
      <c r="F242" s="31"/>
      <c r="G242" s="31"/>
      <c r="H242" s="31"/>
      <c r="I242" s="31"/>
      <c r="J242" s="31"/>
      <c r="K242" s="19"/>
      <c r="L242" s="19"/>
      <c r="M242" s="19"/>
      <c r="N242" s="31"/>
      <c r="O242" s="31"/>
      <c r="P242" s="31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</row>
    <row r="243" spans="1:37" ht="46.5" customHeight="1" x14ac:dyDescent="0.7">
      <c r="A243" s="19"/>
      <c r="B243" s="19"/>
      <c r="C243" s="19"/>
      <c r="D243" s="31"/>
      <c r="E243" s="31"/>
      <c r="F243" s="31"/>
      <c r="G243" s="31"/>
      <c r="H243" s="31"/>
      <c r="I243" s="31"/>
      <c r="J243" s="31"/>
      <c r="K243" s="19"/>
      <c r="L243" s="19"/>
      <c r="M243" s="19"/>
      <c r="N243" s="31"/>
      <c r="O243" s="31"/>
      <c r="P243" s="31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</row>
    <row r="244" spans="1:37" ht="46.5" customHeight="1" x14ac:dyDescent="0.7">
      <c r="A244" s="19"/>
      <c r="B244" s="19"/>
      <c r="C244" s="19"/>
      <c r="D244" s="31"/>
      <c r="E244" s="31"/>
      <c r="F244" s="31"/>
      <c r="G244" s="31"/>
      <c r="H244" s="31"/>
      <c r="I244" s="31"/>
      <c r="J244" s="31"/>
      <c r="K244" s="19"/>
      <c r="L244" s="19"/>
      <c r="M244" s="19"/>
      <c r="N244" s="31"/>
      <c r="O244" s="31"/>
      <c r="P244" s="31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</row>
    <row r="245" spans="1:37" ht="46.5" customHeight="1" x14ac:dyDescent="0.7">
      <c r="A245" s="19"/>
      <c r="B245" s="19"/>
      <c r="C245" s="19"/>
      <c r="D245" s="31"/>
      <c r="E245" s="31"/>
      <c r="F245" s="31"/>
      <c r="G245" s="31"/>
      <c r="H245" s="31"/>
      <c r="I245" s="31"/>
      <c r="J245" s="31"/>
      <c r="K245" s="19"/>
      <c r="L245" s="19"/>
      <c r="M245" s="19"/>
      <c r="N245" s="31"/>
      <c r="O245" s="31"/>
      <c r="P245" s="31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</row>
    <row r="246" spans="1:37" ht="46.5" customHeight="1" x14ac:dyDescent="0.7">
      <c r="A246" s="19"/>
      <c r="B246" s="19"/>
      <c r="C246" s="19"/>
      <c r="D246" s="31"/>
      <c r="E246" s="31"/>
      <c r="F246" s="31"/>
      <c r="G246" s="31"/>
      <c r="H246" s="31"/>
      <c r="I246" s="31"/>
      <c r="J246" s="31"/>
      <c r="K246" s="19"/>
      <c r="L246" s="19"/>
      <c r="M246" s="19"/>
      <c r="N246" s="31"/>
      <c r="O246" s="31"/>
      <c r="P246" s="31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</row>
    <row r="247" spans="1:37" ht="46.5" customHeight="1" x14ac:dyDescent="0.7">
      <c r="A247" s="19"/>
      <c r="B247" s="19"/>
      <c r="C247" s="19"/>
      <c r="D247" s="31"/>
      <c r="E247" s="31"/>
      <c r="F247" s="31"/>
      <c r="G247" s="31"/>
      <c r="H247" s="31"/>
      <c r="I247" s="31"/>
      <c r="J247" s="31"/>
      <c r="K247" s="19"/>
      <c r="L247" s="19"/>
      <c r="M247" s="19"/>
      <c r="N247" s="31"/>
      <c r="O247" s="31"/>
      <c r="P247" s="31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</row>
    <row r="248" spans="1:37" ht="46.5" customHeight="1" x14ac:dyDescent="0.7">
      <c r="A248" s="19"/>
      <c r="B248" s="19"/>
      <c r="C248" s="19"/>
      <c r="D248" s="31"/>
      <c r="E248" s="31"/>
      <c r="F248" s="31"/>
      <c r="G248" s="31"/>
      <c r="H248" s="31"/>
      <c r="I248" s="31"/>
      <c r="J248" s="31"/>
      <c r="K248" s="19"/>
      <c r="L248" s="19"/>
      <c r="M248" s="19"/>
      <c r="N248" s="31"/>
      <c r="O248" s="31"/>
      <c r="P248" s="31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</row>
    <row r="249" spans="1:37" ht="46.5" customHeight="1" x14ac:dyDescent="0.7">
      <c r="A249" s="19"/>
      <c r="B249" s="19"/>
      <c r="C249" s="19"/>
      <c r="D249" s="31"/>
      <c r="E249" s="31"/>
      <c r="F249" s="31"/>
      <c r="G249" s="31"/>
      <c r="H249" s="31"/>
      <c r="I249" s="31"/>
      <c r="J249" s="31"/>
      <c r="K249" s="19"/>
      <c r="L249" s="19"/>
      <c r="M249" s="19"/>
      <c r="N249" s="31"/>
      <c r="O249" s="31"/>
      <c r="P249" s="31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</row>
    <row r="250" spans="1:37" ht="46.5" customHeight="1" x14ac:dyDescent="0.7">
      <c r="A250" s="19"/>
      <c r="B250" s="19"/>
      <c r="C250" s="19"/>
      <c r="D250" s="31"/>
      <c r="E250" s="31"/>
      <c r="F250" s="31"/>
      <c r="G250" s="31"/>
      <c r="H250" s="31"/>
      <c r="I250" s="31"/>
      <c r="J250" s="31"/>
      <c r="K250" s="19"/>
      <c r="L250" s="19"/>
      <c r="M250" s="19"/>
      <c r="N250" s="31"/>
      <c r="O250" s="31"/>
      <c r="P250" s="31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</row>
    <row r="251" spans="1:37" ht="46.5" customHeight="1" x14ac:dyDescent="0.7">
      <c r="A251" s="19"/>
      <c r="B251" s="19"/>
      <c r="C251" s="19"/>
      <c r="D251" s="31"/>
      <c r="E251" s="31"/>
      <c r="F251" s="31"/>
      <c r="G251" s="31"/>
      <c r="H251" s="31"/>
      <c r="I251" s="31"/>
      <c r="J251" s="31"/>
      <c r="K251" s="19"/>
      <c r="L251" s="19"/>
      <c r="M251" s="19"/>
      <c r="N251" s="31"/>
      <c r="O251" s="31"/>
      <c r="P251" s="31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</row>
    <row r="252" spans="1:37" ht="46.5" customHeight="1" x14ac:dyDescent="0.7">
      <c r="A252" s="19"/>
      <c r="B252" s="19"/>
      <c r="C252" s="19"/>
      <c r="D252" s="31"/>
      <c r="E252" s="31"/>
      <c r="F252" s="31"/>
      <c r="G252" s="31"/>
      <c r="H252" s="31"/>
      <c r="I252" s="31"/>
      <c r="J252" s="31"/>
      <c r="K252" s="19"/>
      <c r="L252" s="19"/>
      <c r="M252" s="19"/>
      <c r="N252" s="31"/>
      <c r="O252" s="31"/>
      <c r="P252" s="31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</row>
    <row r="253" spans="1:37" ht="46.5" customHeight="1" x14ac:dyDescent="0.7">
      <c r="A253" s="19"/>
      <c r="B253" s="19"/>
      <c r="C253" s="19"/>
      <c r="D253" s="31"/>
      <c r="E253" s="31"/>
      <c r="F253" s="31"/>
      <c r="G253" s="31"/>
      <c r="H253" s="31"/>
      <c r="I253" s="31"/>
      <c r="J253" s="31"/>
      <c r="K253" s="19"/>
      <c r="L253" s="19"/>
      <c r="M253" s="19"/>
      <c r="N253" s="31"/>
      <c r="O253" s="31"/>
      <c r="P253" s="31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</row>
    <row r="254" spans="1:37" ht="46.5" customHeight="1" x14ac:dyDescent="0.7">
      <c r="A254" s="19"/>
      <c r="B254" s="19"/>
      <c r="C254" s="19"/>
      <c r="D254" s="31"/>
      <c r="E254" s="31"/>
      <c r="F254" s="31"/>
      <c r="G254" s="31"/>
      <c r="H254" s="31"/>
      <c r="I254" s="31"/>
      <c r="J254" s="31"/>
      <c r="K254" s="19"/>
      <c r="L254" s="19"/>
      <c r="M254" s="19"/>
      <c r="N254" s="31"/>
      <c r="O254" s="31"/>
      <c r="P254" s="31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</row>
    <row r="255" spans="1:37" ht="46.5" customHeight="1" x14ac:dyDescent="0.7">
      <c r="A255" s="19"/>
      <c r="B255" s="19"/>
      <c r="C255" s="19"/>
      <c r="D255" s="31"/>
      <c r="E255" s="31"/>
      <c r="F255" s="31"/>
      <c r="G255" s="31"/>
      <c r="H255" s="31"/>
      <c r="I255" s="31"/>
      <c r="J255" s="31"/>
      <c r="K255" s="19"/>
      <c r="L255" s="19"/>
      <c r="M255" s="19"/>
      <c r="N255" s="31"/>
      <c r="O255" s="31"/>
      <c r="P255" s="31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</row>
    <row r="256" spans="1:37" ht="46.5" customHeight="1" x14ac:dyDescent="0.7">
      <c r="A256" s="19"/>
      <c r="B256" s="19"/>
      <c r="C256" s="19"/>
      <c r="D256" s="31"/>
      <c r="E256" s="31"/>
      <c r="F256" s="31"/>
      <c r="G256" s="31"/>
      <c r="H256" s="31"/>
      <c r="I256" s="31"/>
      <c r="J256" s="31"/>
      <c r="K256" s="19"/>
      <c r="L256" s="19"/>
      <c r="M256" s="19"/>
      <c r="N256" s="31"/>
      <c r="O256" s="31"/>
      <c r="P256" s="31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</row>
    <row r="257" spans="1:37" ht="46.5" customHeight="1" x14ac:dyDescent="0.7">
      <c r="A257" s="19"/>
      <c r="B257" s="19"/>
      <c r="C257" s="19"/>
      <c r="D257" s="31"/>
      <c r="E257" s="31"/>
      <c r="F257" s="31"/>
      <c r="G257" s="31"/>
      <c r="H257" s="31"/>
      <c r="I257" s="31"/>
      <c r="J257" s="31"/>
      <c r="K257" s="19"/>
      <c r="L257" s="19"/>
      <c r="M257" s="19"/>
      <c r="N257" s="31"/>
      <c r="O257" s="31"/>
      <c r="P257" s="31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</row>
    <row r="258" spans="1:37" ht="46.5" customHeight="1" x14ac:dyDescent="0.7">
      <c r="A258" s="19"/>
      <c r="B258" s="19"/>
      <c r="C258" s="19"/>
      <c r="D258" s="31"/>
      <c r="E258" s="31"/>
      <c r="F258" s="31"/>
      <c r="G258" s="31"/>
      <c r="H258" s="31"/>
      <c r="I258" s="31"/>
      <c r="J258" s="31"/>
      <c r="K258" s="19"/>
      <c r="L258" s="19"/>
      <c r="M258" s="19"/>
      <c r="N258" s="31"/>
      <c r="O258" s="31"/>
      <c r="P258" s="31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</row>
    <row r="259" spans="1:37" ht="46.5" customHeight="1" x14ac:dyDescent="0.7">
      <c r="A259" s="19"/>
      <c r="B259" s="19"/>
      <c r="C259" s="19"/>
      <c r="D259" s="31"/>
      <c r="E259" s="31"/>
      <c r="F259" s="31"/>
      <c r="G259" s="31"/>
      <c r="H259" s="31"/>
      <c r="I259" s="31"/>
      <c r="J259" s="31"/>
      <c r="K259" s="19"/>
      <c r="L259" s="19"/>
      <c r="M259" s="19"/>
      <c r="N259" s="31"/>
      <c r="O259" s="31"/>
      <c r="P259" s="31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</row>
    <row r="260" spans="1:37" ht="46.5" customHeight="1" x14ac:dyDescent="0.7">
      <c r="A260" s="19"/>
      <c r="B260" s="19"/>
      <c r="C260" s="19"/>
      <c r="D260" s="31"/>
      <c r="E260" s="31"/>
      <c r="F260" s="31"/>
      <c r="G260" s="31"/>
      <c r="H260" s="31"/>
      <c r="I260" s="31"/>
      <c r="J260" s="31"/>
      <c r="K260" s="19"/>
      <c r="L260" s="19"/>
      <c r="M260" s="19"/>
      <c r="N260" s="31"/>
      <c r="O260" s="31"/>
      <c r="P260" s="31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</row>
    <row r="261" spans="1:37" ht="46.5" customHeight="1" x14ac:dyDescent="0.7">
      <c r="A261" s="19"/>
      <c r="B261" s="19"/>
      <c r="C261" s="19"/>
      <c r="D261" s="31"/>
      <c r="E261" s="31"/>
      <c r="F261" s="31"/>
      <c r="G261" s="31"/>
      <c r="H261" s="31"/>
      <c r="I261" s="31"/>
      <c r="J261" s="31"/>
      <c r="K261" s="19"/>
      <c r="L261" s="19"/>
      <c r="M261" s="19"/>
      <c r="N261" s="31"/>
      <c r="O261" s="31"/>
      <c r="P261" s="31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</row>
    <row r="262" spans="1:37" ht="46.5" customHeight="1" x14ac:dyDescent="0.7">
      <c r="A262" s="19"/>
      <c r="B262" s="19"/>
      <c r="C262" s="19"/>
      <c r="D262" s="31"/>
      <c r="E262" s="31"/>
      <c r="F262" s="31"/>
      <c r="G262" s="31"/>
      <c r="H262" s="31"/>
      <c r="I262" s="31"/>
      <c r="J262" s="31"/>
      <c r="K262" s="19"/>
      <c r="L262" s="19"/>
      <c r="M262" s="19"/>
      <c r="N262" s="31"/>
      <c r="O262" s="31"/>
      <c r="P262" s="31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</row>
    <row r="263" spans="1:37" ht="46.5" customHeight="1" x14ac:dyDescent="0.7">
      <c r="A263" s="19"/>
      <c r="B263" s="19"/>
      <c r="C263" s="19"/>
      <c r="D263" s="31"/>
      <c r="E263" s="31"/>
      <c r="F263" s="31"/>
      <c r="G263" s="31"/>
      <c r="H263" s="31"/>
      <c r="I263" s="31"/>
      <c r="J263" s="31"/>
      <c r="K263" s="19"/>
      <c r="L263" s="19"/>
      <c r="M263" s="19"/>
      <c r="N263" s="31"/>
      <c r="O263" s="31"/>
      <c r="P263" s="31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</row>
    <row r="264" spans="1:37" ht="46.5" customHeight="1" x14ac:dyDescent="0.7">
      <c r="A264" s="19"/>
      <c r="B264" s="19"/>
      <c r="C264" s="19"/>
      <c r="D264" s="31"/>
      <c r="E264" s="31"/>
      <c r="F264" s="31"/>
      <c r="G264" s="31"/>
      <c r="H264" s="31"/>
      <c r="I264" s="31"/>
      <c r="J264" s="31"/>
      <c r="K264" s="19"/>
      <c r="L264" s="19"/>
      <c r="M264" s="19"/>
      <c r="N264" s="31"/>
      <c r="O264" s="31"/>
      <c r="P264" s="31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</row>
    <row r="265" spans="1:37" ht="46.5" customHeight="1" x14ac:dyDescent="0.7">
      <c r="A265" s="19"/>
      <c r="B265" s="19"/>
      <c r="C265" s="19"/>
      <c r="D265" s="31"/>
      <c r="E265" s="31"/>
      <c r="F265" s="31"/>
      <c r="G265" s="31"/>
      <c r="H265" s="31"/>
      <c r="I265" s="31"/>
      <c r="J265" s="31"/>
      <c r="K265" s="19"/>
      <c r="L265" s="19"/>
      <c r="M265" s="19"/>
      <c r="N265" s="31"/>
      <c r="O265" s="31"/>
      <c r="P265" s="31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</row>
    <row r="266" spans="1:37" ht="46.5" customHeight="1" x14ac:dyDescent="0.7">
      <c r="A266" s="19"/>
      <c r="B266" s="19"/>
      <c r="C266" s="19"/>
      <c r="D266" s="31"/>
      <c r="E266" s="31"/>
      <c r="F266" s="31"/>
      <c r="G266" s="31"/>
      <c r="H266" s="31"/>
      <c r="I266" s="31"/>
      <c r="J266" s="31"/>
      <c r="K266" s="19"/>
      <c r="L266" s="19"/>
      <c r="M266" s="19"/>
      <c r="N266" s="31"/>
      <c r="O266" s="31"/>
      <c r="P266" s="31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</row>
    <row r="267" spans="1:37" ht="46.5" customHeight="1" x14ac:dyDescent="0.7">
      <c r="A267" s="19"/>
      <c r="B267" s="19"/>
      <c r="C267" s="19"/>
      <c r="D267" s="31"/>
      <c r="E267" s="31"/>
      <c r="F267" s="31"/>
      <c r="G267" s="31"/>
      <c r="H267" s="31"/>
      <c r="I267" s="31"/>
      <c r="J267" s="31"/>
      <c r="K267" s="19"/>
      <c r="L267" s="19"/>
      <c r="M267" s="19"/>
      <c r="N267" s="31"/>
      <c r="O267" s="31"/>
      <c r="P267" s="31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</row>
    <row r="268" spans="1:37" ht="46.5" customHeight="1" x14ac:dyDescent="0.7">
      <c r="A268" s="19"/>
      <c r="B268" s="19"/>
      <c r="C268" s="19"/>
      <c r="D268" s="31"/>
      <c r="E268" s="31"/>
      <c r="F268" s="31"/>
      <c r="G268" s="31"/>
      <c r="H268" s="31"/>
      <c r="I268" s="31"/>
      <c r="J268" s="31"/>
      <c r="K268" s="19"/>
      <c r="L268" s="19"/>
      <c r="M268" s="19"/>
      <c r="N268" s="31"/>
      <c r="O268" s="31"/>
      <c r="P268" s="31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</row>
    <row r="269" spans="1:37" ht="46.5" customHeight="1" x14ac:dyDescent="0.7">
      <c r="A269" s="19"/>
      <c r="B269" s="19"/>
      <c r="C269" s="19"/>
      <c r="D269" s="31"/>
      <c r="E269" s="31"/>
      <c r="F269" s="31"/>
      <c r="G269" s="31"/>
      <c r="H269" s="31"/>
      <c r="I269" s="31"/>
      <c r="J269" s="31"/>
      <c r="K269" s="19"/>
      <c r="L269" s="19"/>
      <c r="M269" s="19"/>
      <c r="N269" s="31"/>
      <c r="O269" s="31"/>
      <c r="P269" s="31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</row>
    <row r="270" spans="1:37" ht="46.5" customHeight="1" x14ac:dyDescent="0.7">
      <c r="A270" s="19"/>
      <c r="B270" s="19"/>
      <c r="C270" s="19"/>
      <c r="D270" s="31"/>
      <c r="E270" s="31"/>
      <c r="F270" s="31"/>
      <c r="G270" s="31"/>
      <c r="H270" s="31"/>
      <c r="I270" s="31"/>
      <c r="J270" s="31"/>
      <c r="K270" s="19"/>
      <c r="L270" s="19"/>
      <c r="M270" s="19"/>
      <c r="N270" s="31"/>
      <c r="O270" s="31"/>
      <c r="P270" s="31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</row>
    <row r="271" spans="1:37" ht="46.5" customHeight="1" x14ac:dyDescent="0.7">
      <c r="A271" s="19"/>
      <c r="B271" s="19"/>
      <c r="C271" s="19"/>
      <c r="D271" s="31"/>
      <c r="E271" s="31"/>
      <c r="F271" s="31"/>
      <c r="G271" s="31"/>
      <c r="H271" s="31"/>
      <c r="I271" s="31"/>
      <c r="J271" s="31"/>
      <c r="K271" s="19"/>
      <c r="L271" s="19"/>
      <c r="M271" s="19"/>
      <c r="N271" s="31"/>
      <c r="O271" s="31"/>
      <c r="P271" s="31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</row>
    <row r="272" spans="1:37" ht="46.5" customHeight="1" x14ac:dyDescent="0.7">
      <c r="A272" s="19"/>
      <c r="B272" s="19"/>
      <c r="C272" s="19"/>
      <c r="D272" s="31"/>
      <c r="E272" s="31"/>
      <c r="F272" s="31"/>
      <c r="G272" s="31"/>
      <c r="H272" s="31"/>
      <c r="I272" s="31"/>
      <c r="J272" s="31"/>
      <c r="K272" s="19"/>
      <c r="L272" s="19"/>
      <c r="M272" s="19"/>
      <c r="N272" s="31"/>
      <c r="O272" s="31"/>
      <c r="P272" s="31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</row>
    <row r="273" spans="1:37" ht="46.5" customHeight="1" x14ac:dyDescent="0.7">
      <c r="A273" s="19"/>
      <c r="B273" s="19"/>
      <c r="C273" s="19"/>
      <c r="D273" s="31"/>
      <c r="E273" s="31"/>
      <c r="F273" s="31"/>
      <c r="G273" s="31"/>
      <c r="H273" s="31"/>
      <c r="I273" s="31"/>
      <c r="J273" s="31"/>
      <c r="K273" s="19"/>
      <c r="L273" s="19"/>
      <c r="M273" s="19"/>
      <c r="N273" s="31"/>
      <c r="O273" s="31"/>
      <c r="P273" s="31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</row>
    <row r="274" spans="1:37" ht="46.5" customHeight="1" x14ac:dyDescent="0.7">
      <c r="A274" s="19"/>
      <c r="B274" s="19"/>
      <c r="C274" s="19"/>
      <c r="D274" s="31"/>
      <c r="E274" s="31"/>
      <c r="F274" s="31"/>
      <c r="G274" s="31"/>
      <c r="H274" s="31"/>
      <c r="I274" s="31"/>
      <c r="J274" s="31"/>
      <c r="K274" s="19"/>
      <c r="L274" s="19"/>
      <c r="M274" s="19"/>
      <c r="N274" s="31"/>
      <c r="O274" s="31"/>
      <c r="P274" s="31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</row>
    <row r="275" spans="1:37" ht="46.5" customHeight="1" x14ac:dyDescent="0.7">
      <c r="A275" s="19"/>
      <c r="B275" s="19"/>
      <c r="C275" s="19"/>
      <c r="D275" s="31"/>
      <c r="E275" s="31"/>
      <c r="F275" s="31"/>
      <c r="G275" s="31"/>
      <c r="H275" s="31"/>
      <c r="I275" s="31"/>
      <c r="J275" s="31"/>
      <c r="K275" s="19"/>
      <c r="L275" s="19"/>
      <c r="M275" s="19"/>
      <c r="N275" s="31"/>
      <c r="O275" s="31"/>
      <c r="P275" s="31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</row>
    <row r="276" spans="1:37" ht="46.5" customHeight="1" x14ac:dyDescent="0.7">
      <c r="A276" s="19"/>
      <c r="B276" s="19"/>
      <c r="C276" s="19"/>
      <c r="D276" s="31"/>
      <c r="E276" s="31"/>
      <c r="F276" s="31"/>
      <c r="G276" s="31"/>
      <c r="H276" s="31"/>
      <c r="I276" s="31"/>
      <c r="J276" s="31"/>
      <c r="K276" s="19"/>
      <c r="L276" s="19"/>
      <c r="M276" s="19"/>
      <c r="N276" s="31"/>
      <c r="O276" s="31"/>
      <c r="P276" s="31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</row>
    <row r="277" spans="1:37" ht="46.5" customHeight="1" x14ac:dyDescent="0.7">
      <c r="A277" s="19"/>
      <c r="B277" s="19"/>
      <c r="C277" s="19"/>
      <c r="D277" s="31"/>
      <c r="E277" s="31"/>
      <c r="F277" s="31"/>
      <c r="G277" s="31"/>
      <c r="H277" s="31"/>
      <c r="I277" s="31"/>
      <c r="J277" s="31"/>
      <c r="K277" s="19"/>
      <c r="L277" s="19"/>
      <c r="M277" s="19"/>
      <c r="N277" s="31"/>
      <c r="O277" s="31"/>
      <c r="P277" s="31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</row>
    <row r="278" spans="1:37" ht="46.5" customHeight="1" x14ac:dyDescent="0.7">
      <c r="A278" s="19"/>
      <c r="B278" s="19"/>
      <c r="C278" s="19"/>
      <c r="D278" s="31"/>
      <c r="E278" s="31"/>
      <c r="F278" s="31"/>
      <c r="G278" s="31"/>
      <c r="H278" s="31"/>
      <c r="I278" s="31"/>
      <c r="J278" s="31"/>
      <c r="K278" s="19"/>
      <c r="L278" s="19"/>
      <c r="M278" s="19"/>
      <c r="N278" s="31"/>
      <c r="O278" s="31"/>
      <c r="P278" s="31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</row>
    <row r="279" spans="1:37" ht="46.5" customHeight="1" x14ac:dyDescent="0.7">
      <c r="A279" s="19"/>
      <c r="B279" s="19"/>
      <c r="C279" s="19"/>
      <c r="D279" s="31"/>
      <c r="E279" s="31"/>
      <c r="F279" s="31"/>
      <c r="G279" s="31"/>
      <c r="H279" s="31"/>
      <c r="I279" s="31"/>
      <c r="J279" s="31"/>
      <c r="K279" s="19"/>
      <c r="L279" s="19"/>
      <c r="M279" s="19"/>
      <c r="N279" s="31"/>
      <c r="O279" s="31"/>
      <c r="P279" s="31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</row>
    <row r="280" spans="1:37" ht="46.5" customHeight="1" x14ac:dyDescent="0.7">
      <c r="A280" s="19"/>
      <c r="B280" s="19"/>
      <c r="C280" s="19"/>
      <c r="D280" s="31"/>
      <c r="E280" s="31"/>
      <c r="F280" s="31"/>
      <c r="G280" s="31"/>
      <c r="H280" s="31"/>
      <c r="I280" s="31"/>
      <c r="J280" s="31"/>
      <c r="K280" s="19"/>
      <c r="L280" s="19"/>
      <c r="M280" s="19"/>
      <c r="N280" s="31"/>
      <c r="O280" s="31"/>
      <c r="P280" s="31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</row>
    <row r="281" spans="1:37" ht="46.5" customHeight="1" x14ac:dyDescent="0.7">
      <c r="A281" s="19"/>
      <c r="B281" s="19"/>
      <c r="C281" s="19"/>
      <c r="D281" s="31"/>
      <c r="E281" s="31"/>
      <c r="F281" s="31"/>
      <c r="G281" s="31"/>
      <c r="H281" s="31"/>
      <c r="I281" s="31"/>
      <c r="J281" s="31"/>
      <c r="K281" s="19"/>
      <c r="L281" s="19"/>
      <c r="M281" s="19"/>
      <c r="N281" s="31"/>
      <c r="O281" s="31"/>
      <c r="P281" s="31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</row>
    <row r="282" spans="1:37" ht="46.5" customHeight="1" x14ac:dyDescent="0.7">
      <c r="A282" s="19"/>
      <c r="B282" s="19"/>
      <c r="C282" s="19"/>
      <c r="D282" s="31"/>
      <c r="E282" s="31"/>
      <c r="F282" s="31"/>
      <c r="G282" s="31"/>
      <c r="H282" s="31"/>
      <c r="I282" s="31"/>
      <c r="J282" s="31"/>
      <c r="K282" s="19"/>
      <c r="L282" s="19"/>
      <c r="M282" s="19"/>
      <c r="N282" s="31"/>
      <c r="O282" s="31"/>
      <c r="P282" s="31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</row>
    <row r="283" spans="1:37" ht="46.5" customHeight="1" x14ac:dyDescent="0.7">
      <c r="A283" s="19"/>
      <c r="B283" s="19"/>
      <c r="C283" s="19"/>
      <c r="D283" s="31"/>
      <c r="E283" s="31"/>
      <c r="F283" s="31"/>
      <c r="G283" s="31"/>
      <c r="H283" s="31"/>
      <c r="I283" s="31"/>
      <c r="J283" s="31"/>
      <c r="K283" s="19"/>
      <c r="L283" s="19"/>
      <c r="M283" s="19"/>
      <c r="N283" s="31"/>
      <c r="O283" s="31"/>
      <c r="P283" s="31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</row>
    <row r="284" spans="1:37" ht="46.5" customHeight="1" x14ac:dyDescent="0.7">
      <c r="A284" s="19"/>
      <c r="B284" s="19"/>
      <c r="C284" s="19"/>
      <c r="D284" s="31"/>
      <c r="E284" s="31"/>
      <c r="F284" s="31"/>
      <c r="G284" s="31"/>
      <c r="H284" s="31"/>
      <c r="I284" s="31"/>
      <c r="J284" s="31"/>
      <c r="K284" s="19"/>
      <c r="L284" s="19"/>
      <c r="M284" s="19"/>
      <c r="N284" s="31"/>
      <c r="O284" s="31"/>
      <c r="P284" s="31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</row>
    <row r="285" spans="1:37" ht="46.5" customHeight="1" x14ac:dyDescent="0.7">
      <c r="A285" s="19"/>
      <c r="B285" s="19"/>
      <c r="C285" s="19"/>
      <c r="D285" s="31"/>
      <c r="E285" s="31"/>
      <c r="F285" s="31"/>
      <c r="G285" s="31"/>
      <c r="H285" s="31"/>
      <c r="I285" s="31"/>
      <c r="J285" s="31"/>
      <c r="K285" s="19"/>
      <c r="L285" s="19"/>
      <c r="M285" s="19"/>
      <c r="N285" s="31"/>
      <c r="O285" s="31"/>
      <c r="P285" s="31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</row>
    <row r="286" spans="1:37" ht="46.5" customHeight="1" x14ac:dyDescent="0.7">
      <c r="A286" s="19"/>
      <c r="B286" s="19"/>
      <c r="C286" s="19"/>
      <c r="D286" s="31"/>
      <c r="E286" s="31"/>
      <c r="F286" s="31"/>
      <c r="G286" s="31"/>
      <c r="H286" s="31"/>
      <c r="I286" s="31"/>
      <c r="J286" s="31"/>
      <c r="K286" s="19"/>
      <c r="L286" s="19"/>
      <c r="M286" s="19"/>
      <c r="N286" s="31"/>
      <c r="O286" s="31"/>
      <c r="P286" s="31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</row>
    <row r="287" spans="1:37" ht="46.5" customHeight="1" x14ac:dyDescent="0.7">
      <c r="A287" s="19"/>
      <c r="B287" s="19"/>
      <c r="C287" s="19"/>
      <c r="D287" s="31"/>
      <c r="E287" s="31"/>
      <c r="F287" s="31"/>
      <c r="G287" s="31"/>
      <c r="H287" s="31"/>
      <c r="I287" s="31"/>
      <c r="J287" s="31"/>
      <c r="K287" s="19"/>
      <c r="L287" s="19"/>
      <c r="M287" s="19"/>
      <c r="N287" s="31"/>
      <c r="O287" s="31"/>
      <c r="P287" s="31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</row>
    <row r="288" spans="1:37" ht="46.5" customHeight="1" x14ac:dyDescent="0.7">
      <c r="A288" s="19"/>
      <c r="B288" s="19"/>
      <c r="C288" s="19"/>
      <c r="D288" s="31"/>
      <c r="E288" s="31"/>
      <c r="F288" s="31"/>
      <c r="G288" s="31"/>
      <c r="H288" s="31"/>
      <c r="I288" s="31"/>
      <c r="J288" s="31"/>
      <c r="K288" s="19"/>
      <c r="L288" s="19"/>
      <c r="M288" s="19"/>
      <c r="N288" s="31"/>
      <c r="O288" s="31"/>
      <c r="P288" s="31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</row>
    <row r="289" spans="1:37" ht="46.5" customHeight="1" x14ac:dyDescent="0.7">
      <c r="A289" s="19"/>
      <c r="B289" s="19"/>
      <c r="C289" s="19"/>
      <c r="D289" s="31"/>
      <c r="E289" s="31"/>
      <c r="F289" s="31"/>
      <c r="G289" s="31"/>
      <c r="H289" s="31"/>
      <c r="I289" s="31"/>
      <c r="J289" s="31"/>
      <c r="K289" s="19"/>
      <c r="L289" s="19"/>
      <c r="M289" s="19"/>
      <c r="N289" s="31"/>
      <c r="O289" s="31"/>
      <c r="P289" s="31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</row>
    <row r="290" spans="1:37" ht="46.5" customHeight="1" x14ac:dyDescent="0.7">
      <c r="A290" s="19"/>
      <c r="B290" s="19"/>
      <c r="C290" s="19"/>
      <c r="D290" s="31"/>
      <c r="E290" s="31"/>
      <c r="F290" s="31"/>
      <c r="G290" s="31"/>
      <c r="H290" s="31"/>
      <c r="I290" s="31"/>
      <c r="J290" s="31"/>
      <c r="K290" s="19"/>
      <c r="L290" s="19"/>
      <c r="M290" s="19"/>
      <c r="N290" s="31"/>
      <c r="O290" s="31"/>
      <c r="P290" s="31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</row>
    <row r="291" spans="1:37" ht="46.5" customHeight="1" x14ac:dyDescent="0.7">
      <c r="A291" s="19"/>
      <c r="B291" s="19"/>
      <c r="C291" s="19"/>
      <c r="D291" s="31"/>
      <c r="E291" s="31"/>
      <c r="F291" s="31"/>
      <c r="G291" s="31"/>
      <c r="H291" s="31"/>
      <c r="I291" s="31"/>
      <c r="J291" s="31"/>
      <c r="K291" s="19"/>
      <c r="L291" s="19"/>
      <c r="M291" s="19"/>
      <c r="N291" s="31"/>
      <c r="O291" s="31"/>
      <c r="P291" s="31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</row>
    <row r="292" spans="1:37" ht="46.5" customHeight="1" x14ac:dyDescent="0.7">
      <c r="A292" s="19"/>
      <c r="B292" s="19"/>
      <c r="C292" s="19"/>
      <c r="D292" s="31"/>
      <c r="E292" s="31"/>
      <c r="F292" s="31"/>
      <c r="G292" s="31"/>
      <c r="H292" s="31"/>
      <c r="I292" s="31"/>
      <c r="J292" s="31"/>
      <c r="K292" s="19"/>
      <c r="L292" s="19"/>
      <c r="M292" s="19"/>
      <c r="N292" s="31"/>
      <c r="O292" s="31"/>
      <c r="P292" s="31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</row>
    <row r="293" spans="1:37" ht="46.5" customHeight="1" x14ac:dyDescent="0.7">
      <c r="A293" s="19"/>
      <c r="B293" s="19"/>
      <c r="C293" s="19"/>
      <c r="D293" s="31"/>
      <c r="E293" s="31"/>
      <c r="F293" s="31"/>
      <c r="G293" s="31"/>
      <c r="H293" s="31"/>
      <c r="I293" s="31"/>
      <c r="J293" s="31"/>
      <c r="K293" s="19"/>
      <c r="L293" s="19"/>
      <c r="M293" s="19"/>
      <c r="N293" s="31"/>
      <c r="O293" s="31"/>
      <c r="P293" s="31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</row>
    <row r="294" spans="1:37" ht="46.5" customHeight="1" x14ac:dyDescent="0.7">
      <c r="A294" s="19"/>
      <c r="B294" s="19"/>
      <c r="C294" s="19"/>
      <c r="D294" s="31"/>
      <c r="E294" s="31"/>
      <c r="F294" s="31"/>
      <c r="G294" s="31"/>
      <c r="H294" s="31"/>
      <c r="I294" s="31"/>
      <c r="J294" s="31"/>
      <c r="K294" s="19"/>
      <c r="L294" s="19"/>
      <c r="M294" s="19"/>
      <c r="N294" s="31"/>
      <c r="O294" s="31"/>
      <c r="P294" s="31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</row>
    <row r="295" spans="1:37" ht="46.5" customHeight="1" x14ac:dyDescent="0.7">
      <c r="A295" s="19"/>
      <c r="B295" s="19"/>
      <c r="C295" s="19"/>
      <c r="D295" s="31"/>
      <c r="E295" s="31"/>
      <c r="F295" s="31"/>
      <c r="G295" s="31"/>
      <c r="H295" s="31"/>
      <c r="I295" s="31"/>
      <c r="J295" s="31"/>
      <c r="K295" s="19"/>
      <c r="L295" s="19"/>
      <c r="M295" s="19"/>
      <c r="N295" s="31"/>
      <c r="O295" s="31"/>
      <c r="P295" s="31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</row>
    <row r="296" spans="1:37" ht="46.5" customHeight="1" x14ac:dyDescent="0.7">
      <c r="A296" s="19"/>
      <c r="B296" s="19"/>
      <c r="C296" s="19"/>
      <c r="D296" s="31"/>
      <c r="E296" s="31"/>
      <c r="F296" s="31"/>
      <c r="G296" s="31"/>
      <c r="H296" s="31"/>
      <c r="I296" s="31"/>
      <c r="J296" s="31"/>
      <c r="K296" s="19"/>
      <c r="L296" s="19"/>
      <c r="M296" s="19"/>
      <c r="N296" s="31"/>
      <c r="O296" s="31"/>
      <c r="P296" s="31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</row>
    <row r="297" spans="1:37" ht="46.5" customHeight="1" x14ac:dyDescent="0.7">
      <c r="A297" s="19"/>
      <c r="B297" s="19"/>
      <c r="C297" s="19"/>
      <c r="D297" s="31"/>
      <c r="E297" s="31"/>
      <c r="F297" s="31"/>
      <c r="G297" s="31"/>
      <c r="H297" s="31"/>
      <c r="I297" s="31"/>
      <c r="J297" s="31"/>
      <c r="K297" s="19"/>
      <c r="L297" s="19"/>
      <c r="M297" s="19"/>
      <c r="N297" s="31"/>
      <c r="O297" s="31"/>
      <c r="P297" s="31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</row>
    <row r="298" spans="1:37" ht="46.5" customHeight="1" x14ac:dyDescent="0.7">
      <c r="A298" s="19"/>
      <c r="B298" s="19"/>
      <c r="C298" s="19"/>
      <c r="D298" s="31"/>
      <c r="E298" s="31"/>
      <c r="F298" s="31"/>
      <c r="G298" s="31"/>
      <c r="H298" s="31"/>
      <c r="I298" s="31"/>
      <c r="J298" s="31"/>
      <c r="K298" s="19"/>
      <c r="L298" s="19"/>
      <c r="M298" s="19"/>
      <c r="N298" s="31"/>
      <c r="O298" s="31"/>
      <c r="P298" s="31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</row>
    <row r="299" spans="1:37" ht="46.5" customHeight="1" x14ac:dyDescent="0.7">
      <c r="A299" s="19"/>
      <c r="B299" s="19"/>
      <c r="C299" s="19"/>
      <c r="D299" s="31"/>
      <c r="E299" s="31"/>
      <c r="F299" s="31"/>
      <c r="G299" s="31"/>
      <c r="H299" s="31"/>
      <c r="I299" s="31"/>
      <c r="J299" s="31"/>
      <c r="K299" s="19"/>
      <c r="L299" s="19"/>
      <c r="M299" s="19"/>
      <c r="N299" s="31"/>
      <c r="O299" s="31"/>
      <c r="P299" s="31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</row>
    <row r="300" spans="1:37" ht="46.5" customHeight="1" x14ac:dyDescent="0.7">
      <c r="A300" s="19"/>
      <c r="B300" s="19"/>
      <c r="C300" s="19"/>
      <c r="D300" s="31"/>
      <c r="E300" s="31"/>
      <c r="F300" s="31"/>
      <c r="G300" s="31"/>
      <c r="H300" s="31"/>
      <c r="I300" s="31"/>
      <c r="J300" s="31"/>
      <c r="K300" s="19"/>
      <c r="L300" s="19"/>
      <c r="M300" s="19"/>
      <c r="N300" s="31"/>
      <c r="O300" s="31"/>
      <c r="P300" s="31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</row>
    <row r="301" spans="1:37" ht="46.5" customHeight="1" x14ac:dyDescent="0.7">
      <c r="A301" s="19"/>
      <c r="B301" s="19"/>
      <c r="C301" s="19"/>
      <c r="D301" s="31"/>
      <c r="E301" s="31"/>
      <c r="F301" s="31"/>
      <c r="G301" s="31"/>
      <c r="H301" s="31"/>
      <c r="I301" s="31"/>
      <c r="J301" s="31"/>
      <c r="K301" s="19"/>
      <c r="L301" s="19"/>
      <c r="M301" s="19"/>
      <c r="N301" s="31"/>
      <c r="O301" s="31"/>
      <c r="P301" s="31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</row>
    <row r="302" spans="1:37" ht="46.5" customHeight="1" x14ac:dyDescent="0.7">
      <c r="A302" s="19"/>
      <c r="B302" s="19"/>
      <c r="C302" s="19"/>
      <c r="D302" s="31"/>
      <c r="E302" s="31"/>
      <c r="F302" s="31"/>
      <c r="G302" s="31"/>
      <c r="H302" s="31"/>
      <c r="I302" s="31"/>
      <c r="J302" s="31"/>
      <c r="K302" s="19"/>
      <c r="L302" s="19"/>
      <c r="M302" s="19"/>
      <c r="N302" s="31"/>
      <c r="O302" s="31"/>
      <c r="P302" s="31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</row>
    <row r="303" spans="1:37" ht="46.5" customHeight="1" x14ac:dyDescent="0.7">
      <c r="A303" s="19"/>
      <c r="B303" s="19"/>
      <c r="C303" s="19"/>
      <c r="D303" s="31"/>
      <c r="E303" s="31"/>
      <c r="F303" s="31"/>
      <c r="G303" s="31"/>
      <c r="H303" s="31"/>
      <c r="I303" s="31"/>
      <c r="J303" s="31"/>
      <c r="K303" s="19"/>
      <c r="L303" s="19"/>
      <c r="M303" s="19"/>
      <c r="N303" s="31"/>
      <c r="O303" s="31"/>
      <c r="P303" s="31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</row>
    <row r="304" spans="1:37" ht="46.5" customHeight="1" x14ac:dyDescent="0.7">
      <c r="A304" s="19"/>
      <c r="B304" s="19"/>
      <c r="C304" s="19"/>
      <c r="D304" s="31"/>
      <c r="E304" s="31"/>
      <c r="F304" s="31"/>
      <c r="G304" s="31"/>
      <c r="H304" s="31"/>
      <c r="I304" s="31"/>
      <c r="J304" s="31"/>
      <c r="K304" s="19"/>
      <c r="L304" s="19"/>
      <c r="M304" s="19"/>
      <c r="N304" s="31"/>
      <c r="O304" s="31"/>
      <c r="P304" s="31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</row>
    <row r="305" spans="1:37" ht="46.5" customHeight="1" x14ac:dyDescent="0.7">
      <c r="A305" s="19"/>
      <c r="B305" s="19"/>
      <c r="C305" s="19"/>
      <c r="D305" s="31"/>
      <c r="E305" s="31"/>
      <c r="F305" s="31"/>
      <c r="G305" s="31"/>
      <c r="H305" s="31"/>
      <c r="I305" s="31"/>
      <c r="J305" s="31"/>
      <c r="K305" s="19"/>
      <c r="L305" s="19"/>
      <c r="M305" s="19"/>
      <c r="N305" s="31"/>
      <c r="O305" s="31"/>
      <c r="P305" s="31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</row>
    <row r="306" spans="1:37" ht="46.5" customHeight="1" x14ac:dyDescent="0.7">
      <c r="A306" s="19"/>
      <c r="B306" s="19"/>
      <c r="C306" s="19"/>
      <c r="D306" s="31"/>
      <c r="E306" s="31"/>
      <c r="F306" s="31"/>
      <c r="G306" s="31"/>
      <c r="H306" s="31"/>
      <c r="I306" s="31"/>
      <c r="J306" s="31"/>
      <c r="K306" s="19"/>
      <c r="L306" s="19"/>
      <c r="M306" s="19"/>
      <c r="N306" s="31"/>
      <c r="O306" s="31"/>
      <c r="P306" s="31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</row>
    <row r="307" spans="1:37" ht="46.5" customHeight="1" x14ac:dyDescent="0.7">
      <c r="A307" s="19"/>
      <c r="B307" s="19"/>
      <c r="C307" s="19"/>
      <c r="D307" s="31"/>
      <c r="E307" s="31"/>
      <c r="F307" s="31"/>
      <c r="G307" s="31"/>
      <c r="H307" s="31"/>
      <c r="I307" s="31"/>
      <c r="J307" s="31"/>
      <c r="K307" s="19"/>
      <c r="L307" s="19"/>
      <c r="M307" s="19"/>
      <c r="N307" s="31"/>
      <c r="O307" s="31"/>
      <c r="P307" s="31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</row>
    <row r="308" spans="1:37" ht="46.5" customHeight="1" x14ac:dyDescent="0.7">
      <c r="A308" s="19"/>
      <c r="B308" s="19"/>
      <c r="C308" s="19"/>
      <c r="D308" s="31"/>
      <c r="E308" s="31"/>
      <c r="F308" s="31"/>
      <c r="G308" s="31"/>
      <c r="H308" s="31"/>
      <c r="I308" s="31"/>
      <c r="J308" s="31"/>
      <c r="K308" s="19"/>
      <c r="L308" s="19"/>
      <c r="M308" s="19"/>
      <c r="N308" s="31"/>
      <c r="O308" s="31"/>
      <c r="P308" s="31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</row>
    <row r="309" spans="1:37" ht="46.5" customHeight="1" x14ac:dyDescent="0.7">
      <c r="A309" s="19"/>
      <c r="B309" s="19"/>
      <c r="C309" s="19"/>
      <c r="D309" s="31"/>
      <c r="E309" s="31"/>
      <c r="F309" s="31"/>
      <c r="G309" s="31"/>
      <c r="H309" s="31"/>
      <c r="I309" s="31"/>
      <c r="J309" s="31"/>
      <c r="K309" s="19"/>
      <c r="L309" s="19"/>
      <c r="M309" s="19"/>
      <c r="N309" s="31"/>
      <c r="O309" s="31"/>
      <c r="P309" s="31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</row>
    <row r="310" spans="1:37" ht="46.5" customHeight="1" x14ac:dyDescent="0.7">
      <c r="A310" s="19"/>
      <c r="B310" s="19"/>
      <c r="C310" s="19"/>
      <c r="D310" s="31"/>
      <c r="E310" s="31"/>
      <c r="F310" s="31"/>
      <c r="G310" s="31"/>
      <c r="H310" s="31"/>
      <c r="I310" s="31"/>
      <c r="J310" s="31"/>
      <c r="K310" s="19"/>
      <c r="L310" s="19"/>
      <c r="M310" s="19"/>
      <c r="N310" s="31"/>
      <c r="O310" s="31"/>
      <c r="P310" s="31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</row>
    <row r="311" spans="1:37" ht="46.5" customHeight="1" x14ac:dyDescent="0.7">
      <c r="A311" s="19"/>
      <c r="B311" s="19"/>
      <c r="C311" s="19"/>
      <c r="D311" s="31"/>
      <c r="E311" s="31"/>
      <c r="F311" s="31"/>
      <c r="G311" s="31"/>
      <c r="H311" s="31"/>
      <c r="I311" s="31"/>
      <c r="J311" s="31"/>
      <c r="K311" s="19"/>
      <c r="L311" s="19"/>
      <c r="M311" s="19"/>
      <c r="N311" s="31"/>
      <c r="O311" s="31"/>
      <c r="P311" s="31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</row>
    <row r="312" spans="1:37" ht="46.5" customHeight="1" x14ac:dyDescent="0.7">
      <c r="A312" s="19"/>
      <c r="B312" s="19"/>
      <c r="C312" s="19"/>
      <c r="D312" s="31"/>
      <c r="E312" s="31"/>
      <c r="F312" s="31"/>
      <c r="G312" s="31"/>
      <c r="H312" s="31"/>
      <c r="I312" s="31"/>
      <c r="J312" s="31"/>
      <c r="K312" s="19"/>
      <c r="L312" s="19"/>
      <c r="M312" s="19"/>
      <c r="N312" s="31"/>
      <c r="O312" s="31"/>
      <c r="P312" s="31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</row>
    <row r="313" spans="1:37" ht="46.5" customHeight="1" x14ac:dyDescent="0.7">
      <c r="A313" s="19"/>
      <c r="B313" s="19"/>
      <c r="C313" s="19"/>
      <c r="D313" s="31"/>
      <c r="E313" s="31"/>
      <c r="F313" s="31"/>
      <c r="G313" s="31"/>
      <c r="H313" s="31"/>
      <c r="I313" s="31"/>
      <c r="J313" s="31"/>
      <c r="K313" s="19"/>
      <c r="L313" s="19"/>
      <c r="M313" s="19"/>
      <c r="N313" s="31"/>
      <c r="O313" s="31"/>
      <c r="P313" s="31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</row>
    <row r="314" spans="1:37" ht="46.5" customHeight="1" x14ac:dyDescent="0.7">
      <c r="A314" s="19"/>
      <c r="B314" s="19"/>
      <c r="C314" s="19"/>
      <c r="D314" s="31"/>
      <c r="E314" s="31"/>
      <c r="F314" s="31"/>
      <c r="G314" s="31"/>
      <c r="H314" s="31"/>
      <c r="I314" s="31"/>
      <c r="J314" s="31"/>
      <c r="K314" s="19"/>
      <c r="L314" s="19"/>
      <c r="M314" s="19"/>
      <c r="N314" s="31"/>
      <c r="O314" s="31"/>
      <c r="P314" s="31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</row>
    <row r="315" spans="1:37" ht="46.5" customHeight="1" x14ac:dyDescent="0.7">
      <c r="A315" s="19"/>
      <c r="B315" s="19"/>
      <c r="C315" s="19"/>
      <c r="D315" s="31"/>
      <c r="E315" s="31"/>
      <c r="F315" s="31"/>
      <c r="G315" s="31"/>
      <c r="H315" s="31"/>
      <c r="I315" s="31"/>
      <c r="J315" s="31"/>
      <c r="K315" s="19"/>
      <c r="L315" s="19"/>
      <c r="M315" s="19"/>
      <c r="N315" s="31"/>
      <c r="O315" s="31"/>
      <c r="P315" s="31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</row>
    <row r="316" spans="1:37" ht="46.5" customHeight="1" x14ac:dyDescent="0.7">
      <c r="A316" s="19"/>
      <c r="B316" s="19"/>
      <c r="C316" s="19"/>
      <c r="D316" s="31"/>
      <c r="E316" s="31"/>
      <c r="F316" s="31"/>
      <c r="G316" s="31"/>
      <c r="H316" s="31"/>
      <c r="I316" s="31"/>
      <c r="J316" s="31"/>
      <c r="K316" s="19"/>
      <c r="L316" s="19"/>
      <c r="M316" s="19"/>
      <c r="N316" s="31"/>
      <c r="O316" s="31"/>
      <c r="P316" s="31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</row>
    <row r="317" spans="1:37" ht="46.5" customHeight="1" x14ac:dyDescent="0.7">
      <c r="A317" s="19"/>
      <c r="B317" s="19"/>
      <c r="C317" s="19"/>
      <c r="D317" s="31"/>
      <c r="E317" s="31"/>
      <c r="F317" s="31"/>
      <c r="G317" s="31"/>
      <c r="H317" s="31"/>
      <c r="I317" s="31"/>
      <c r="J317" s="31"/>
      <c r="K317" s="19"/>
      <c r="L317" s="19"/>
      <c r="M317" s="19"/>
      <c r="N317" s="31"/>
      <c r="O317" s="31"/>
      <c r="P317" s="31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</row>
    <row r="318" spans="1:37" ht="46.5" customHeight="1" x14ac:dyDescent="0.7">
      <c r="A318" s="19"/>
      <c r="B318" s="19"/>
      <c r="C318" s="19"/>
      <c r="D318" s="31"/>
      <c r="E318" s="31"/>
      <c r="F318" s="31"/>
      <c r="G318" s="31"/>
      <c r="H318" s="31"/>
      <c r="I318" s="31"/>
      <c r="J318" s="31"/>
      <c r="K318" s="19"/>
      <c r="L318" s="19"/>
      <c r="M318" s="19"/>
      <c r="N318" s="31"/>
      <c r="O318" s="31"/>
      <c r="P318" s="31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</row>
    <row r="319" spans="1:37" ht="46.5" customHeight="1" x14ac:dyDescent="0.7">
      <c r="A319" s="19"/>
      <c r="B319" s="19"/>
      <c r="C319" s="19"/>
      <c r="D319" s="31"/>
      <c r="E319" s="31"/>
      <c r="F319" s="31"/>
      <c r="G319" s="31"/>
      <c r="H319" s="31"/>
      <c r="I319" s="31"/>
      <c r="J319" s="31"/>
      <c r="K319" s="19"/>
      <c r="L319" s="19"/>
      <c r="M319" s="19"/>
      <c r="N319" s="31"/>
      <c r="O319" s="31"/>
      <c r="P319" s="31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</row>
    <row r="320" spans="1:37" ht="46.5" customHeight="1" x14ac:dyDescent="0.7">
      <c r="A320" s="19"/>
      <c r="B320" s="19"/>
      <c r="C320" s="19"/>
      <c r="D320" s="31"/>
      <c r="E320" s="31"/>
      <c r="F320" s="31"/>
      <c r="G320" s="31"/>
      <c r="H320" s="31"/>
      <c r="I320" s="31"/>
      <c r="J320" s="31"/>
      <c r="K320" s="19"/>
      <c r="L320" s="19"/>
      <c r="M320" s="19"/>
      <c r="N320" s="31"/>
      <c r="O320" s="31"/>
      <c r="P320" s="31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</row>
    <row r="321" spans="1:37" ht="46.5" customHeight="1" x14ac:dyDescent="0.7">
      <c r="A321" s="19"/>
      <c r="B321" s="19"/>
      <c r="C321" s="19"/>
      <c r="D321" s="31"/>
      <c r="E321" s="31"/>
      <c r="F321" s="31"/>
      <c r="G321" s="31"/>
      <c r="H321" s="31"/>
      <c r="I321" s="31"/>
      <c r="J321" s="31"/>
      <c r="K321" s="19"/>
      <c r="L321" s="19"/>
      <c r="M321" s="19"/>
      <c r="N321" s="31"/>
      <c r="O321" s="31"/>
      <c r="P321" s="31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</row>
    <row r="322" spans="1:37" ht="46.5" customHeight="1" x14ac:dyDescent="0.7">
      <c r="A322" s="19"/>
      <c r="B322" s="19"/>
      <c r="C322" s="19"/>
      <c r="D322" s="31"/>
      <c r="E322" s="31"/>
      <c r="F322" s="31"/>
      <c r="G322" s="31"/>
      <c r="H322" s="31"/>
      <c r="I322" s="31"/>
      <c r="J322" s="31"/>
      <c r="K322" s="19"/>
      <c r="L322" s="19"/>
      <c r="M322" s="19"/>
      <c r="N322" s="31"/>
      <c r="O322" s="31"/>
      <c r="P322" s="31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</row>
    <row r="323" spans="1:37" ht="46.5" customHeight="1" x14ac:dyDescent="0.7">
      <c r="A323" s="19"/>
      <c r="B323" s="19"/>
      <c r="C323" s="19"/>
      <c r="D323" s="31"/>
      <c r="E323" s="31"/>
      <c r="F323" s="31"/>
      <c r="G323" s="31"/>
      <c r="H323" s="31"/>
      <c r="I323" s="31"/>
      <c r="J323" s="31"/>
      <c r="K323" s="19"/>
      <c r="L323" s="19"/>
      <c r="M323" s="19"/>
      <c r="N323" s="31"/>
      <c r="O323" s="31"/>
      <c r="P323" s="31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</row>
    <row r="324" spans="1:37" ht="46.5" customHeight="1" x14ac:dyDescent="0.7">
      <c r="A324" s="19"/>
      <c r="B324" s="19"/>
      <c r="C324" s="19"/>
      <c r="D324" s="31"/>
      <c r="E324" s="31"/>
      <c r="F324" s="31"/>
      <c r="G324" s="31"/>
      <c r="H324" s="31"/>
      <c r="I324" s="31"/>
      <c r="J324" s="31"/>
      <c r="K324" s="19"/>
      <c r="L324" s="19"/>
      <c r="M324" s="19"/>
      <c r="N324" s="31"/>
      <c r="O324" s="31"/>
      <c r="P324" s="31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</row>
    <row r="325" spans="1:37" ht="46.5" customHeight="1" x14ac:dyDescent="0.7">
      <c r="A325" s="19"/>
      <c r="B325" s="19"/>
      <c r="C325" s="19"/>
      <c r="D325" s="31"/>
      <c r="E325" s="31"/>
      <c r="F325" s="31"/>
      <c r="G325" s="31"/>
      <c r="H325" s="31"/>
      <c r="I325" s="31"/>
      <c r="J325" s="31"/>
      <c r="K325" s="19"/>
      <c r="L325" s="19"/>
      <c r="M325" s="19"/>
      <c r="N325" s="31"/>
      <c r="O325" s="31"/>
      <c r="P325" s="31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</row>
    <row r="326" spans="1:37" ht="46.5" customHeight="1" x14ac:dyDescent="0.7">
      <c r="A326" s="19"/>
      <c r="B326" s="19"/>
      <c r="C326" s="19"/>
      <c r="D326" s="31"/>
      <c r="E326" s="31"/>
      <c r="F326" s="31"/>
      <c r="G326" s="31"/>
      <c r="H326" s="31"/>
      <c r="I326" s="31"/>
      <c r="J326" s="31"/>
      <c r="K326" s="19"/>
      <c r="L326" s="19"/>
      <c r="M326" s="19"/>
      <c r="N326" s="31"/>
      <c r="O326" s="31"/>
      <c r="P326" s="31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</row>
    <row r="327" spans="1:37" ht="46.5" customHeight="1" x14ac:dyDescent="0.7">
      <c r="A327" s="19"/>
      <c r="B327" s="19"/>
      <c r="C327" s="19"/>
      <c r="D327" s="31"/>
      <c r="E327" s="31"/>
      <c r="F327" s="31"/>
      <c r="G327" s="31"/>
      <c r="H327" s="31"/>
      <c r="I327" s="31"/>
      <c r="J327" s="31"/>
      <c r="K327" s="19"/>
      <c r="L327" s="19"/>
      <c r="M327" s="19"/>
      <c r="N327" s="31"/>
      <c r="O327" s="31"/>
      <c r="P327" s="31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</row>
    <row r="328" spans="1:37" ht="46.5" customHeight="1" x14ac:dyDescent="0.7">
      <c r="A328" s="19"/>
      <c r="B328" s="19"/>
      <c r="C328" s="19"/>
      <c r="D328" s="31"/>
      <c r="E328" s="31"/>
      <c r="F328" s="31"/>
      <c r="G328" s="31"/>
      <c r="H328" s="31"/>
      <c r="I328" s="31"/>
      <c r="J328" s="31"/>
      <c r="K328" s="19"/>
      <c r="L328" s="19"/>
      <c r="M328" s="19"/>
      <c r="N328" s="31"/>
      <c r="O328" s="31"/>
      <c r="P328" s="31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</row>
    <row r="329" spans="1:37" ht="46.5" customHeight="1" x14ac:dyDescent="0.7">
      <c r="A329" s="19"/>
      <c r="B329" s="19"/>
      <c r="C329" s="19"/>
      <c r="D329" s="31"/>
      <c r="E329" s="31"/>
      <c r="F329" s="31"/>
      <c r="G329" s="31"/>
      <c r="H329" s="31"/>
      <c r="I329" s="31"/>
      <c r="J329" s="31"/>
      <c r="K329" s="19"/>
      <c r="L329" s="19"/>
      <c r="M329" s="19"/>
      <c r="N329" s="31"/>
      <c r="O329" s="31"/>
      <c r="P329" s="31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</row>
    <row r="330" spans="1:37" ht="46.5" customHeight="1" x14ac:dyDescent="0.7">
      <c r="A330" s="19"/>
      <c r="B330" s="19"/>
      <c r="C330" s="19"/>
      <c r="D330" s="31"/>
      <c r="E330" s="31"/>
      <c r="F330" s="31"/>
      <c r="G330" s="31"/>
      <c r="H330" s="31"/>
      <c r="I330" s="31"/>
      <c r="J330" s="31"/>
      <c r="K330" s="19"/>
      <c r="L330" s="19"/>
      <c r="M330" s="19"/>
      <c r="N330" s="31"/>
      <c r="O330" s="31"/>
      <c r="P330" s="31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</row>
    <row r="331" spans="1:37" ht="46.5" customHeight="1" x14ac:dyDescent="0.7">
      <c r="A331" s="19"/>
      <c r="B331" s="19"/>
      <c r="C331" s="19"/>
      <c r="D331" s="31"/>
      <c r="E331" s="31"/>
      <c r="F331" s="31"/>
      <c r="G331" s="31"/>
      <c r="H331" s="31"/>
      <c r="I331" s="31"/>
      <c r="J331" s="31"/>
      <c r="K331" s="19"/>
      <c r="L331" s="19"/>
      <c r="M331" s="19"/>
      <c r="N331" s="31"/>
      <c r="O331" s="31"/>
      <c r="P331" s="31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</row>
    <row r="332" spans="1:37" ht="46.5" customHeight="1" x14ac:dyDescent="0.7">
      <c r="A332" s="19"/>
      <c r="B332" s="19"/>
      <c r="C332" s="19"/>
      <c r="D332" s="31"/>
      <c r="E332" s="31"/>
      <c r="F332" s="31"/>
      <c r="G332" s="31"/>
      <c r="H332" s="31"/>
      <c r="I332" s="31"/>
      <c r="J332" s="31"/>
      <c r="K332" s="19"/>
      <c r="L332" s="19"/>
      <c r="M332" s="19"/>
      <c r="N332" s="31"/>
      <c r="O332" s="31"/>
      <c r="P332" s="31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</row>
    <row r="333" spans="1:37" ht="46.5" customHeight="1" x14ac:dyDescent="0.7">
      <c r="A333" s="19"/>
      <c r="B333" s="19"/>
      <c r="C333" s="19"/>
      <c r="D333" s="31"/>
      <c r="E333" s="31"/>
      <c r="F333" s="31"/>
      <c r="G333" s="31"/>
      <c r="H333" s="31"/>
      <c r="I333" s="31"/>
      <c r="J333" s="31"/>
      <c r="K333" s="19"/>
      <c r="L333" s="19"/>
      <c r="M333" s="19"/>
      <c r="N333" s="31"/>
      <c r="O333" s="31"/>
      <c r="P333" s="31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</row>
    <row r="334" spans="1:37" ht="46.5" customHeight="1" x14ac:dyDescent="0.7">
      <c r="A334" s="19"/>
      <c r="B334" s="19"/>
      <c r="C334" s="19"/>
      <c r="D334" s="31"/>
      <c r="E334" s="31"/>
      <c r="F334" s="31"/>
      <c r="G334" s="31"/>
      <c r="H334" s="31"/>
      <c r="I334" s="31"/>
      <c r="J334" s="31"/>
      <c r="K334" s="19"/>
      <c r="L334" s="19"/>
      <c r="M334" s="19"/>
      <c r="N334" s="31"/>
      <c r="O334" s="31"/>
      <c r="P334" s="31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</row>
    <row r="335" spans="1:37" ht="46.5" customHeight="1" x14ac:dyDescent="0.7">
      <c r="A335" s="19"/>
      <c r="B335" s="19"/>
      <c r="C335" s="19"/>
      <c r="D335" s="31"/>
      <c r="E335" s="31"/>
      <c r="F335" s="31"/>
      <c r="G335" s="31"/>
      <c r="H335" s="31"/>
      <c r="I335" s="31"/>
      <c r="J335" s="31"/>
      <c r="K335" s="19"/>
      <c r="L335" s="19"/>
      <c r="M335" s="19"/>
      <c r="N335" s="31"/>
      <c r="O335" s="31"/>
      <c r="P335" s="31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</row>
    <row r="336" spans="1:37" ht="46.5" customHeight="1" x14ac:dyDescent="0.7">
      <c r="A336" s="19"/>
      <c r="B336" s="19"/>
      <c r="C336" s="19"/>
      <c r="D336" s="31"/>
      <c r="E336" s="31"/>
      <c r="F336" s="31"/>
      <c r="G336" s="31"/>
      <c r="H336" s="31"/>
      <c r="I336" s="31"/>
      <c r="J336" s="31"/>
      <c r="K336" s="19"/>
      <c r="L336" s="19"/>
      <c r="M336" s="19"/>
      <c r="N336" s="31"/>
      <c r="O336" s="31"/>
      <c r="P336" s="31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</row>
    <row r="337" spans="1:37" ht="46.5" customHeight="1" x14ac:dyDescent="0.7">
      <c r="A337" s="19"/>
      <c r="B337" s="19"/>
      <c r="C337" s="19"/>
      <c r="D337" s="31"/>
      <c r="E337" s="31"/>
      <c r="F337" s="31"/>
      <c r="G337" s="31"/>
      <c r="H337" s="31"/>
      <c r="I337" s="31"/>
      <c r="J337" s="31"/>
      <c r="K337" s="19"/>
      <c r="L337" s="19"/>
      <c r="M337" s="19"/>
      <c r="N337" s="31"/>
      <c r="O337" s="31"/>
      <c r="P337" s="31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</row>
    <row r="338" spans="1:37" ht="46.5" customHeight="1" x14ac:dyDescent="0.7">
      <c r="A338" s="19"/>
      <c r="B338" s="19"/>
      <c r="C338" s="19"/>
      <c r="D338" s="31"/>
      <c r="E338" s="31"/>
      <c r="F338" s="31"/>
      <c r="G338" s="31"/>
      <c r="H338" s="31"/>
      <c r="I338" s="31"/>
      <c r="J338" s="31"/>
      <c r="K338" s="19"/>
      <c r="L338" s="19"/>
      <c r="M338" s="19"/>
      <c r="N338" s="31"/>
      <c r="O338" s="31"/>
      <c r="P338" s="31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</row>
    <row r="339" spans="1:37" ht="46.5" customHeight="1" x14ac:dyDescent="0.7">
      <c r="A339" s="19"/>
      <c r="B339" s="19"/>
      <c r="C339" s="19"/>
      <c r="D339" s="31"/>
      <c r="E339" s="31"/>
      <c r="F339" s="31"/>
      <c r="G339" s="31"/>
      <c r="H339" s="31"/>
      <c r="I339" s="31"/>
      <c r="J339" s="31"/>
      <c r="K339" s="19"/>
      <c r="L339" s="19"/>
      <c r="M339" s="19"/>
      <c r="N339" s="31"/>
      <c r="O339" s="31"/>
      <c r="P339" s="31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</row>
    <row r="340" spans="1:37" ht="46.5" customHeight="1" x14ac:dyDescent="0.7">
      <c r="A340" s="19"/>
      <c r="B340" s="19"/>
      <c r="C340" s="19"/>
      <c r="D340" s="31"/>
      <c r="E340" s="31"/>
      <c r="F340" s="31"/>
      <c r="G340" s="31"/>
      <c r="H340" s="31"/>
      <c r="I340" s="31"/>
      <c r="J340" s="31"/>
      <c r="K340" s="19"/>
      <c r="L340" s="19"/>
      <c r="M340" s="19"/>
      <c r="N340" s="31"/>
      <c r="O340" s="31"/>
      <c r="P340" s="31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</row>
    <row r="341" spans="1:37" ht="46.5" customHeight="1" x14ac:dyDescent="0.7">
      <c r="A341" s="19"/>
      <c r="B341" s="19"/>
      <c r="C341" s="19"/>
      <c r="D341" s="31"/>
      <c r="E341" s="31"/>
      <c r="F341" s="31"/>
      <c r="G341" s="31"/>
      <c r="H341" s="31"/>
      <c r="I341" s="31"/>
      <c r="J341" s="31"/>
      <c r="K341" s="19"/>
      <c r="L341" s="19"/>
      <c r="M341" s="19"/>
      <c r="N341" s="31"/>
      <c r="O341" s="31"/>
      <c r="P341" s="31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</row>
    <row r="342" spans="1:37" ht="46.5" customHeight="1" x14ac:dyDescent="0.7">
      <c r="A342" s="19"/>
      <c r="B342" s="19"/>
      <c r="C342" s="19"/>
      <c r="D342" s="31"/>
      <c r="E342" s="31"/>
      <c r="F342" s="31"/>
      <c r="G342" s="31"/>
      <c r="H342" s="31"/>
      <c r="I342" s="31"/>
      <c r="J342" s="31"/>
      <c r="K342" s="19"/>
      <c r="L342" s="19"/>
      <c r="M342" s="19"/>
      <c r="N342" s="31"/>
      <c r="O342" s="31"/>
      <c r="P342" s="31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</row>
    <row r="343" spans="1:37" ht="46.5" customHeight="1" x14ac:dyDescent="0.7">
      <c r="A343" s="19"/>
      <c r="B343" s="19"/>
      <c r="C343" s="19"/>
      <c r="D343" s="31"/>
      <c r="E343" s="31"/>
      <c r="F343" s="31"/>
      <c r="G343" s="31"/>
      <c r="H343" s="31"/>
      <c r="I343" s="31"/>
      <c r="J343" s="31"/>
      <c r="K343" s="19"/>
      <c r="L343" s="19"/>
      <c r="M343" s="19"/>
      <c r="N343" s="31"/>
      <c r="O343" s="31"/>
      <c r="P343" s="31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</row>
    <row r="344" spans="1:37" ht="46.5" customHeight="1" x14ac:dyDescent="0.7">
      <c r="A344" s="19"/>
      <c r="B344" s="19"/>
      <c r="C344" s="19"/>
      <c r="D344" s="31"/>
      <c r="E344" s="31"/>
      <c r="F344" s="31"/>
      <c r="G344" s="31"/>
      <c r="H344" s="31"/>
      <c r="I344" s="31"/>
      <c r="J344" s="31"/>
      <c r="K344" s="19"/>
      <c r="L344" s="19"/>
      <c r="M344" s="19"/>
      <c r="N344" s="31"/>
      <c r="O344" s="31"/>
      <c r="P344" s="31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</row>
    <row r="345" spans="1:37" ht="46.5" customHeight="1" x14ac:dyDescent="0.7">
      <c r="A345" s="19"/>
      <c r="B345" s="19"/>
      <c r="C345" s="19"/>
      <c r="D345" s="31"/>
      <c r="E345" s="31"/>
      <c r="F345" s="31"/>
      <c r="G345" s="31"/>
      <c r="H345" s="31"/>
      <c r="I345" s="31"/>
      <c r="J345" s="31"/>
      <c r="K345" s="19"/>
      <c r="L345" s="19"/>
      <c r="M345" s="19"/>
      <c r="N345" s="31"/>
      <c r="O345" s="31"/>
      <c r="P345" s="31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</row>
    <row r="346" spans="1:37" ht="46.5" customHeight="1" x14ac:dyDescent="0.7">
      <c r="A346" s="19"/>
      <c r="B346" s="19"/>
      <c r="C346" s="19"/>
      <c r="D346" s="31"/>
      <c r="E346" s="31"/>
      <c r="F346" s="31"/>
      <c r="G346" s="31"/>
      <c r="H346" s="31"/>
      <c r="I346" s="31"/>
      <c r="J346" s="31"/>
      <c r="K346" s="19"/>
      <c r="L346" s="19"/>
      <c r="M346" s="19"/>
      <c r="N346" s="31"/>
      <c r="O346" s="31"/>
      <c r="P346" s="31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</row>
    <row r="347" spans="1:37" ht="46.5" customHeight="1" x14ac:dyDescent="0.7">
      <c r="A347" s="19"/>
      <c r="B347" s="19"/>
      <c r="C347" s="19"/>
      <c r="D347" s="31"/>
      <c r="E347" s="31"/>
      <c r="F347" s="31"/>
      <c r="G347" s="31"/>
      <c r="H347" s="31"/>
      <c r="I347" s="31"/>
      <c r="J347" s="31"/>
      <c r="K347" s="19"/>
      <c r="L347" s="19"/>
      <c r="M347" s="19"/>
      <c r="N347" s="31"/>
      <c r="O347" s="31"/>
      <c r="P347" s="31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</row>
    <row r="348" spans="1:37" ht="46.5" customHeight="1" x14ac:dyDescent="0.7">
      <c r="A348" s="19"/>
      <c r="B348" s="19"/>
      <c r="C348" s="19"/>
      <c r="D348" s="31"/>
      <c r="E348" s="31"/>
      <c r="F348" s="31"/>
      <c r="G348" s="31"/>
      <c r="H348" s="31"/>
      <c r="I348" s="31"/>
      <c r="J348" s="31"/>
      <c r="K348" s="19"/>
      <c r="L348" s="19"/>
      <c r="M348" s="19"/>
      <c r="N348" s="31"/>
      <c r="O348" s="31"/>
      <c r="P348" s="31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</row>
    <row r="349" spans="1:37" ht="46.5" customHeight="1" x14ac:dyDescent="0.7">
      <c r="A349" s="19"/>
      <c r="B349" s="19"/>
      <c r="C349" s="19"/>
      <c r="D349" s="31"/>
      <c r="E349" s="31"/>
      <c r="F349" s="31"/>
      <c r="G349" s="31"/>
      <c r="H349" s="31"/>
      <c r="I349" s="31"/>
      <c r="J349" s="31"/>
      <c r="K349" s="19"/>
      <c r="L349" s="19"/>
      <c r="M349" s="19"/>
      <c r="N349" s="31"/>
      <c r="O349" s="31"/>
      <c r="P349" s="31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</row>
    <row r="350" spans="1:37" ht="46.5" customHeight="1" x14ac:dyDescent="0.7">
      <c r="A350" s="19"/>
      <c r="B350" s="19"/>
      <c r="C350" s="19"/>
      <c r="D350" s="31"/>
      <c r="E350" s="31"/>
      <c r="F350" s="31"/>
      <c r="G350" s="31"/>
      <c r="H350" s="31"/>
      <c r="I350" s="31"/>
      <c r="J350" s="31"/>
      <c r="K350" s="19"/>
      <c r="L350" s="19"/>
      <c r="M350" s="19"/>
      <c r="N350" s="31"/>
      <c r="O350" s="31"/>
      <c r="P350" s="31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</row>
    <row r="351" spans="1:37" ht="46.5" customHeight="1" x14ac:dyDescent="0.7">
      <c r="A351" s="19"/>
      <c r="B351" s="19"/>
      <c r="C351" s="19"/>
      <c r="D351" s="31"/>
      <c r="E351" s="31"/>
      <c r="F351" s="31"/>
      <c r="G351" s="31"/>
      <c r="H351" s="31"/>
      <c r="I351" s="31"/>
      <c r="J351" s="31"/>
      <c r="K351" s="19"/>
      <c r="L351" s="19"/>
      <c r="M351" s="19"/>
      <c r="N351" s="31"/>
      <c r="O351" s="31"/>
      <c r="P351" s="31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</row>
    <row r="352" spans="1:37" ht="46.5" customHeight="1" x14ac:dyDescent="0.7">
      <c r="A352" s="19"/>
      <c r="B352" s="19"/>
      <c r="C352" s="19"/>
      <c r="D352" s="31"/>
      <c r="E352" s="31"/>
      <c r="F352" s="31"/>
      <c r="G352" s="31"/>
      <c r="H352" s="31"/>
      <c r="I352" s="31"/>
      <c r="J352" s="31"/>
      <c r="K352" s="19"/>
      <c r="L352" s="19"/>
      <c r="M352" s="19"/>
      <c r="N352" s="31"/>
      <c r="O352" s="31"/>
      <c r="P352" s="31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</row>
    <row r="353" spans="1:37" ht="46.5" customHeight="1" x14ac:dyDescent="0.7">
      <c r="A353" s="19"/>
      <c r="B353" s="19"/>
      <c r="C353" s="19"/>
      <c r="D353" s="31"/>
      <c r="E353" s="31"/>
      <c r="F353" s="31"/>
      <c r="G353" s="31"/>
      <c r="H353" s="31"/>
      <c r="I353" s="31"/>
      <c r="J353" s="31"/>
      <c r="K353" s="19"/>
      <c r="L353" s="19"/>
      <c r="M353" s="19"/>
      <c r="N353" s="31"/>
      <c r="O353" s="31"/>
      <c r="P353" s="31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</row>
    <row r="354" spans="1:37" ht="46.5" customHeight="1" x14ac:dyDescent="0.7">
      <c r="A354" s="19"/>
      <c r="B354" s="19"/>
      <c r="C354" s="19"/>
      <c r="D354" s="31"/>
      <c r="E354" s="31"/>
      <c r="F354" s="31"/>
      <c r="G354" s="31"/>
      <c r="H354" s="31"/>
      <c r="I354" s="31"/>
      <c r="J354" s="31"/>
      <c r="K354" s="19"/>
      <c r="L354" s="19"/>
      <c r="M354" s="19"/>
      <c r="N354" s="31"/>
      <c r="O354" s="31"/>
      <c r="P354" s="31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</row>
    <row r="355" spans="1:37" ht="46.5" customHeight="1" x14ac:dyDescent="0.7">
      <c r="A355" s="19"/>
      <c r="B355" s="19"/>
      <c r="C355" s="19"/>
      <c r="D355" s="31"/>
      <c r="E355" s="31"/>
      <c r="F355" s="31"/>
      <c r="G355" s="31"/>
      <c r="H355" s="31"/>
      <c r="I355" s="31"/>
      <c r="J355" s="31"/>
      <c r="K355" s="19"/>
      <c r="L355" s="19"/>
      <c r="M355" s="19"/>
      <c r="N355" s="31"/>
      <c r="O355" s="31"/>
      <c r="P355" s="31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</row>
    <row r="356" spans="1:37" ht="46.5" customHeight="1" x14ac:dyDescent="0.7">
      <c r="A356" s="19"/>
      <c r="B356" s="19"/>
      <c r="C356" s="19"/>
      <c r="D356" s="31"/>
      <c r="E356" s="31"/>
      <c r="F356" s="31"/>
      <c r="G356" s="31"/>
      <c r="H356" s="31"/>
      <c r="I356" s="31"/>
      <c r="J356" s="31"/>
      <c r="K356" s="19"/>
      <c r="L356" s="19"/>
      <c r="M356" s="19"/>
      <c r="N356" s="31"/>
      <c r="O356" s="31"/>
      <c r="P356" s="31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</row>
    <row r="357" spans="1:37" ht="46.5" customHeight="1" x14ac:dyDescent="0.7">
      <c r="A357" s="19"/>
      <c r="B357" s="19"/>
      <c r="C357" s="19"/>
      <c r="D357" s="31"/>
      <c r="E357" s="31"/>
      <c r="F357" s="31"/>
      <c r="G357" s="31"/>
      <c r="H357" s="31"/>
      <c r="I357" s="31"/>
      <c r="J357" s="31"/>
      <c r="K357" s="19"/>
      <c r="L357" s="19"/>
      <c r="M357" s="19"/>
      <c r="N357" s="31"/>
      <c r="O357" s="31"/>
      <c r="P357" s="31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</row>
    <row r="358" spans="1:37" ht="46.5" customHeight="1" x14ac:dyDescent="0.7">
      <c r="A358" s="19"/>
      <c r="B358" s="19"/>
      <c r="C358" s="19"/>
      <c r="D358" s="31"/>
      <c r="E358" s="31"/>
      <c r="F358" s="31"/>
      <c r="G358" s="31"/>
      <c r="H358" s="31"/>
      <c r="I358" s="31"/>
      <c r="J358" s="31"/>
      <c r="K358" s="19"/>
      <c r="L358" s="19"/>
      <c r="M358" s="19"/>
      <c r="N358" s="31"/>
      <c r="O358" s="31"/>
      <c r="P358" s="31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</row>
    <row r="359" spans="1:37" ht="46.5" customHeight="1" x14ac:dyDescent="0.7">
      <c r="A359" s="19"/>
      <c r="B359" s="19"/>
      <c r="C359" s="19"/>
      <c r="D359" s="31"/>
      <c r="E359" s="31"/>
      <c r="F359" s="31"/>
      <c r="G359" s="31"/>
      <c r="H359" s="31"/>
      <c r="I359" s="31"/>
      <c r="J359" s="31"/>
      <c r="K359" s="19"/>
      <c r="L359" s="19"/>
      <c r="M359" s="19"/>
      <c r="N359" s="31"/>
      <c r="O359" s="31"/>
      <c r="P359" s="31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</row>
    <row r="360" spans="1:37" ht="46.5" customHeight="1" x14ac:dyDescent="0.7">
      <c r="A360" s="19"/>
      <c r="B360" s="19"/>
      <c r="C360" s="19"/>
      <c r="D360" s="31"/>
      <c r="E360" s="31"/>
      <c r="F360" s="31"/>
      <c r="G360" s="31"/>
      <c r="H360" s="31"/>
      <c r="I360" s="31"/>
      <c r="J360" s="31"/>
      <c r="K360" s="19"/>
      <c r="L360" s="19"/>
      <c r="M360" s="19"/>
      <c r="N360" s="31"/>
      <c r="O360" s="31"/>
      <c r="P360" s="31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</row>
    <row r="361" spans="1:37" ht="46.5" customHeight="1" x14ac:dyDescent="0.7">
      <c r="A361" s="19"/>
      <c r="B361" s="19"/>
      <c r="C361" s="19"/>
      <c r="D361" s="31"/>
      <c r="E361" s="31"/>
      <c r="F361" s="31"/>
      <c r="G361" s="31"/>
      <c r="H361" s="31"/>
      <c r="I361" s="31"/>
      <c r="J361" s="31"/>
      <c r="K361" s="19"/>
      <c r="L361" s="19"/>
      <c r="M361" s="19"/>
      <c r="N361" s="31"/>
      <c r="O361" s="31"/>
      <c r="P361" s="31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</row>
    <row r="362" spans="1:37" ht="46.5" customHeight="1" x14ac:dyDescent="0.7">
      <c r="A362" s="19"/>
      <c r="B362" s="19"/>
      <c r="C362" s="19"/>
      <c r="D362" s="31"/>
      <c r="E362" s="31"/>
      <c r="F362" s="31"/>
      <c r="G362" s="31"/>
      <c r="H362" s="31"/>
      <c r="I362" s="31"/>
      <c r="J362" s="31"/>
      <c r="K362" s="19"/>
      <c r="L362" s="19"/>
      <c r="M362" s="19"/>
      <c r="N362" s="31"/>
      <c r="O362" s="31"/>
      <c r="P362" s="31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</row>
    <row r="363" spans="1:37" ht="46.5" customHeight="1" x14ac:dyDescent="0.7">
      <c r="A363" s="19"/>
      <c r="B363" s="19"/>
      <c r="C363" s="19"/>
      <c r="D363" s="31"/>
      <c r="E363" s="31"/>
      <c r="F363" s="31"/>
      <c r="G363" s="31"/>
      <c r="H363" s="31"/>
      <c r="I363" s="31"/>
      <c r="J363" s="31"/>
      <c r="K363" s="19"/>
      <c r="L363" s="19"/>
      <c r="M363" s="19"/>
      <c r="N363" s="31"/>
      <c r="O363" s="31"/>
      <c r="P363" s="31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</row>
    <row r="364" spans="1:37" ht="46.5" customHeight="1" x14ac:dyDescent="0.7">
      <c r="A364" s="19"/>
      <c r="B364" s="19"/>
      <c r="C364" s="19"/>
      <c r="D364" s="31"/>
      <c r="E364" s="31"/>
      <c r="F364" s="31"/>
      <c r="G364" s="31"/>
      <c r="H364" s="31"/>
      <c r="I364" s="31"/>
      <c r="J364" s="31"/>
      <c r="K364" s="19"/>
      <c r="L364" s="19"/>
      <c r="M364" s="19"/>
      <c r="N364" s="31"/>
      <c r="O364" s="31"/>
      <c r="P364" s="31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</row>
    <row r="365" spans="1:37" ht="46.5" customHeight="1" x14ac:dyDescent="0.7">
      <c r="A365" s="19"/>
      <c r="B365" s="19"/>
      <c r="C365" s="19"/>
      <c r="D365" s="31"/>
      <c r="E365" s="31"/>
      <c r="F365" s="31"/>
      <c r="G365" s="31"/>
      <c r="H365" s="31"/>
      <c r="I365" s="31"/>
      <c r="J365" s="31"/>
      <c r="K365" s="19"/>
      <c r="L365" s="19"/>
      <c r="M365" s="19"/>
      <c r="N365" s="31"/>
      <c r="O365" s="31"/>
      <c r="P365" s="31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</row>
    <row r="366" spans="1:37" ht="46.5" customHeight="1" x14ac:dyDescent="0.7">
      <c r="A366" s="19"/>
      <c r="B366" s="19"/>
      <c r="C366" s="19"/>
      <c r="D366" s="31"/>
      <c r="E366" s="31"/>
      <c r="F366" s="31"/>
      <c r="G366" s="31"/>
      <c r="H366" s="31"/>
      <c r="I366" s="31"/>
      <c r="J366" s="31"/>
      <c r="K366" s="19"/>
      <c r="L366" s="19"/>
      <c r="M366" s="19"/>
      <c r="N366" s="31"/>
      <c r="O366" s="31"/>
      <c r="P366" s="31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</row>
    <row r="367" spans="1:37" ht="46.5" customHeight="1" x14ac:dyDescent="0.7">
      <c r="A367" s="19"/>
      <c r="B367" s="19"/>
      <c r="C367" s="19"/>
      <c r="D367" s="31"/>
      <c r="E367" s="31"/>
      <c r="F367" s="31"/>
      <c r="G367" s="31"/>
      <c r="H367" s="31"/>
      <c r="I367" s="31"/>
      <c r="J367" s="31"/>
      <c r="K367" s="19"/>
      <c r="L367" s="19"/>
      <c r="M367" s="19"/>
      <c r="N367" s="31"/>
      <c r="O367" s="31"/>
      <c r="P367" s="31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</row>
    <row r="368" spans="1:37" ht="46.5" customHeight="1" x14ac:dyDescent="0.7">
      <c r="A368" s="19"/>
      <c r="B368" s="19"/>
      <c r="C368" s="19"/>
      <c r="D368" s="31"/>
      <c r="E368" s="31"/>
      <c r="F368" s="31"/>
      <c r="G368" s="31"/>
      <c r="H368" s="31"/>
      <c r="I368" s="31"/>
      <c r="J368" s="31"/>
      <c r="K368" s="19"/>
      <c r="L368" s="19"/>
      <c r="M368" s="19"/>
      <c r="N368" s="31"/>
      <c r="O368" s="31"/>
      <c r="P368" s="31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</row>
    <row r="369" spans="1:37" ht="46.5" customHeight="1" x14ac:dyDescent="0.7">
      <c r="A369" s="19"/>
      <c r="B369" s="19"/>
      <c r="C369" s="19"/>
      <c r="D369" s="31"/>
      <c r="E369" s="31"/>
      <c r="F369" s="31"/>
      <c r="G369" s="31"/>
      <c r="H369" s="31"/>
      <c r="I369" s="31"/>
      <c r="J369" s="31"/>
      <c r="K369" s="19"/>
      <c r="L369" s="19"/>
      <c r="M369" s="19"/>
      <c r="N369" s="31"/>
      <c r="O369" s="31"/>
      <c r="P369" s="31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</row>
    <row r="370" spans="1:37" ht="46.5" customHeight="1" x14ac:dyDescent="0.7">
      <c r="A370" s="19"/>
      <c r="B370" s="19"/>
      <c r="C370" s="19"/>
      <c r="D370" s="31"/>
      <c r="E370" s="31"/>
      <c r="F370" s="31"/>
      <c r="G370" s="31"/>
      <c r="H370" s="31"/>
      <c r="I370" s="31"/>
      <c r="J370" s="31"/>
      <c r="K370" s="19"/>
      <c r="L370" s="19"/>
      <c r="M370" s="19"/>
      <c r="N370" s="31"/>
      <c r="O370" s="31"/>
      <c r="P370" s="31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</row>
    <row r="371" spans="1:37" ht="46.5" customHeight="1" x14ac:dyDescent="0.7">
      <c r="A371" s="19"/>
      <c r="B371" s="19"/>
      <c r="C371" s="19"/>
      <c r="D371" s="31"/>
      <c r="E371" s="31"/>
      <c r="F371" s="31"/>
      <c r="G371" s="31"/>
      <c r="H371" s="31"/>
      <c r="I371" s="31"/>
      <c r="J371" s="31"/>
      <c r="K371" s="19"/>
      <c r="L371" s="19"/>
      <c r="M371" s="19"/>
      <c r="N371" s="31"/>
      <c r="O371" s="31"/>
      <c r="P371" s="31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</row>
    <row r="372" spans="1:37" ht="46.5" customHeight="1" x14ac:dyDescent="0.7">
      <c r="A372" s="19"/>
      <c r="B372" s="19"/>
      <c r="C372" s="19"/>
      <c r="D372" s="31"/>
      <c r="E372" s="31"/>
      <c r="F372" s="31"/>
      <c r="G372" s="31"/>
      <c r="H372" s="31"/>
      <c r="I372" s="31"/>
      <c r="J372" s="31"/>
      <c r="K372" s="19"/>
      <c r="L372" s="19"/>
      <c r="M372" s="19"/>
      <c r="N372" s="31"/>
      <c r="O372" s="31"/>
      <c r="P372" s="31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</row>
    <row r="373" spans="1:37" ht="46.5" customHeight="1" x14ac:dyDescent="0.7">
      <c r="A373" s="19"/>
      <c r="B373" s="19"/>
      <c r="C373" s="19"/>
      <c r="D373" s="31"/>
      <c r="E373" s="31"/>
      <c r="F373" s="31"/>
      <c r="G373" s="31"/>
      <c r="H373" s="31"/>
      <c r="I373" s="31"/>
      <c r="J373" s="31"/>
      <c r="K373" s="19"/>
      <c r="L373" s="19"/>
      <c r="M373" s="19"/>
      <c r="N373" s="31"/>
      <c r="O373" s="31"/>
      <c r="P373" s="31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</row>
    <row r="374" spans="1:37" ht="46.5" customHeight="1" x14ac:dyDescent="0.7">
      <c r="A374" s="19"/>
      <c r="B374" s="19"/>
      <c r="C374" s="19"/>
      <c r="D374" s="31"/>
      <c r="E374" s="31"/>
      <c r="F374" s="31"/>
      <c r="G374" s="31"/>
      <c r="H374" s="31"/>
      <c r="I374" s="31"/>
      <c r="J374" s="31"/>
      <c r="K374" s="19"/>
      <c r="L374" s="19"/>
      <c r="M374" s="19"/>
      <c r="N374" s="31"/>
      <c r="O374" s="31"/>
      <c r="P374" s="31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</row>
    <row r="375" spans="1:37" ht="46.5" customHeight="1" x14ac:dyDescent="0.7">
      <c r="A375" s="19"/>
      <c r="B375" s="19"/>
      <c r="C375" s="19"/>
      <c r="D375" s="31"/>
      <c r="E375" s="31"/>
      <c r="F375" s="31"/>
      <c r="G375" s="31"/>
      <c r="H375" s="31"/>
      <c r="I375" s="31"/>
      <c r="J375" s="31"/>
      <c r="K375" s="19"/>
      <c r="L375" s="19"/>
      <c r="M375" s="19"/>
      <c r="N375" s="31"/>
      <c r="O375" s="31"/>
      <c r="P375" s="31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</row>
    <row r="376" spans="1:37" ht="46.5" customHeight="1" x14ac:dyDescent="0.7">
      <c r="A376" s="19"/>
      <c r="B376" s="19"/>
      <c r="C376" s="19"/>
      <c r="D376" s="31"/>
      <c r="E376" s="31"/>
      <c r="F376" s="31"/>
      <c r="G376" s="31"/>
      <c r="H376" s="31"/>
      <c r="I376" s="31"/>
      <c r="J376" s="31"/>
      <c r="K376" s="19"/>
      <c r="L376" s="19"/>
      <c r="M376" s="19"/>
      <c r="N376" s="31"/>
      <c r="O376" s="31"/>
      <c r="P376" s="31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</row>
    <row r="377" spans="1:37" ht="46.5" customHeight="1" x14ac:dyDescent="0.7">
      <c r="A377" s="19"/>
      <c r="B377" s="19"/>
      <c r="C377" s="19"/>
      <c r="D377" s="31"/>
      <c r="E377" s="31"/>
      <c r="F377" s="31"/>
      <c r="G377" s="31"/>
      <c r="H377" s="31"/>
      <c r="I377" s="31"/>
      <c r="J377" s="31"/>
      <c r="K377" s="19"/>
      <c r="L377" s="19"/>
      <c r="M377" s="19"/>
      <c r="N377" s="31"/>
      <c r="O377" s="31"/>
      <c r="P377" s="31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</row>
    <row r="378" spans="1:37" ht="46.5" customHeight="1" x14ac:dyDescent="0.7">
      <c r="A378" s="19"/>
      <c r="B378" s="19"/>
      <c r="C378" s="19"/>
      <c r="D378" s="31"/>
      <c r="E378" s="31"/>
      <c r="F378" s="31"/>
      <c r="G378" s="31"/>
      <c r="H378" s="31"/>
      <c r="I378" s="31"/>
      <c r="J378" s="31"/>
      <c r="K378" s="19"/>
      <c r="L378" s="19"/>
      <c r="M378" s="19"/>
      <c r="N378" s="31"/>
      <c r="O378" s="31"/>
      <c r="P378" s="31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</row>
    <row r="379" spans="1:37" ht="46.5" customHeight="1" x14ac:dyDescent="0.7">
      <c r="A379" s="19"/>
      <c r="B379" s="19"/>
      <c r="C379" s="19"/>
      <c r="D379" s="31"/>
      <c r="E379" s="31"/>
      <c r="F379" s="31"/>
      <c r="G379" s="31"/>
      <c r="H379" s="31"/>
      <c r="I379" s="31"/>
      <c r="J379" s="31"/>
      <c r="K379" s="19"/>
      <c r="L379" s="19"/>
      <c r="M379" s="19"/>
      <c r="N379" s="31"/>
      <c r="O379" s="31"/>
      <c r="P379" s="31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</row>
    <row r="380" spans="1:37" ht="46.5" customHeight="1" x14ac:dyDescent="0.7">
      <c r="A380" s="19"/>
      <c r="B380" s="19"/>
      <c r="C380" s="19"/>
      <c r="D380" s="31"/>
      <c r="E380" s="31"/>
      <c r="F380" s="31"/>
      <c r="G380" s="31"/>
      <c r="H380" s="31"/>
      <c r="I380" s="31"/>
      <c r="J380" s="31"/>
      <c r="K380" s="19"/>
      <c r="L380" s="19"/>
      <c r="M380" s="19"/>
      <c r="N380" s="31"/>
      <c r="O380" s="31"/>
      <c r="P380" s="31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</row>
    <row r="381" spans="1:37" ht="46.5" customHeight="1" x14ac:dyDescent="0.7">
      <c r="A381" s="19"/>
      <c r="B381" s="19"/>
      <c r="C381" s="19"/>
      <c r="D381" s="31"/>
      <c r="E381" s="31"/>
      <c r="F381" s="31"/>
      <c r="G381" s="31"/>
      <c r="H381" s="31"/>
      <c r="I381" s="31"/>
      <c r="J381" s="31"/>
      <c r="K381" s="19"/>
      <c r="L381" s="19"/>
      <c r="M381" s="19"/>
      <c r="N381" s="31"/>
      <c r="O381" s="31"/>
      <c r="P381" s="31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</row>
    <row r="382" spans="1:37" ht="46.5" customHeight="1" x14ac:dyDescent="0.7">
      <c r="A382" s="19"/>
      <c r="B382" s="19"/>
      <c r="C382" s="19"/>
      <c r="D382" s="31"/>
      <c r="E382" s="31"/>
      <c r="F382" s="31"/>
      <c r="G382" s="31"/>
      <c r="H382" s="31"/>
      <c r="I382" s="31"/>
      <c r="J382" s="31"/>
      <c r="K382" s="19"/>
      <c r="L382" s="19"/>
      <c r="M382" s="19"/>
      <c r="N382" s="31"/>
      <c r="O382" s="31"/>
      <c r="P382" s="31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</row>
    <row r="383" spans="1:37" ht="46.5" customHeight="1" x14ac:dyDescent="0.7">
      <c r="A383" s="19"/>
      <c r="B383" s="19"/>
      <c r="C383" s="19"/>
      <c r="D383" s="31"/>
      <c r="E383" s="31"/>
      <c r="F383" s="31"/>
      <c r="G383" s="31"/>
      <c r="H383" s="31"/>
      <c r="I383" s="31"/>
      <c r="J383" s="31"/>
      <c r="K383" s="19"/>
      <c r="L383" s="19"/>
      <c r="M383" s="19"/>
      <c r="N383" s="31"/>
      <c r="O383" s="31"/>
      <c r="P383" s="31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</row>
    <row r="384" spans="1:37" ht="46.5" customHeight="1" x14ac:dyDescent="0.7">
      <c r="A384" s="19"/>
      <c r="B384" s="19"/>
      <c r="C384" s="19"/>
      <c r="D384" s="31"/>
      <c r="E384" s="31"/>
      <c r="F384" s="31"/>
      <c r="G384" s="31"/>
      <c r="H384" s="31"/>
      <c r="I384" s="31"/>
      <c r="J384" s="31"/>
      <c r="K384" s="19"/>
      <c r="L384" s="19"/>
      <c r="M384" s="19"/>
      <c r="N384" s="31"/>
      <c r="O384" s="31"/>
      <c r="P384" s="31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</row>
    <row r="385" spans="1:37" ht="46.5" customHeight="1" x14ac:dyDescent="0.7">
      <c r="A385" s="19"/>
      <c r="B385" s="19"/>
      <c r="C385" s="19"/>
      <c r="D385" s="31"/>
      <c r="E385" s="31"/>
      <c r="F385" s="31"/>
      <c r="G385" s="31"/>
      <c r="H385" s="31"/>
      <c r="I385" s="31"/>
      <c r="J385" s="31"/>
      <c r="K385" s="19"/>
      <c r="L385" s="19"/>
      <c r="M385" s="19"/>
      <c r="N385" s="31"/>
      <c r="O385" s="31"/>
      <c r="P385" s="31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</row>
    <row r="386" spans="1:37" ht="46.5" customHeight="1" x14ac:dyDescent="0.7">
      <c r="A386" s="19"/>
      <c r="B386" s="19"/>
      <c r="C386" s="19"/>
      <c r="D386" s="31"/>
      <c r="E386" s="31"/>
      <c r="F386" s="31"/>
      <c r="G386" s="31"/>
      <c r="H386" s="31"/>
      <c r="I386" s="31"/>
      <c r="J386" s="31"/>
      <c r="K386" s="19"/>
      <c r="L386" s="19"/>
      <c r="M386" s="19"/>
      <c r="N386" s="31"/>
      <c r="O386" s="31"/>
      <c r="P386" s="31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</row>
    <row r="387" spans="1:37" ht="46.5" customHeight="1" x14ac:dyDescent="0.7">
      <c r="A387" s="19"/>
      <c r="B387" s="19"/>
      <c r="C387" s="19"/>
      <c r="D387" s="31"/>
      <c r="E387" s="31"/>
      <c r="F387" s="31"/>
      <c r="G387" s="31"/>
      <c r="H387" s="31"/>
      <c r="I387" s="31"/>
      <c r="J387" s="31"/>
      <c r="K387" s="19"/>
      <c r="L387" s="19"/>
      <c r="M387" s="19"/>
      <c r="N387" s="31"/>
      <c r="O387" s="31"/>
      <c r="P387" s="31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</row>
    <row r="388" spans="1:37" ht="46.5" customHeight="1" x14ac:dyDescent="0.7">
      <c r="A388" s="19"/>
      <c r="B388" s="19"/>
      <c r="C388" s="19"/>
      <c r="D388" s="31"/>
      <c r="E388" s="31"/>
      <c r="F388" s="31"/>
      <c r="G388" s="31"/>
      <c r="H388" s="31"/>
      <c r="I388" s="31"/>
      <c r="J388" s="31"/>
      <c r="K388" s="19"/>
      <c r="L388" s="19"/>
      <c r="M388" s="19"/>
      <c r="N388" s="31"/>
      <c r="O388" s="31"/>
      <c r="P388" s="31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</row>
    <row r="389" spans="1:37" ht="46.5" customHeight="1" x14ac:dyDescent="0.7">
      <c r="A389" s="19"/>
      <c r="B389" s="19"/>
      <c r="C389" s="19"/>
      <c r="D389" s="31"/>
      <c r="E389" s="31"/>
      <c r="F389" s="31"/>
      <c r="G389" s="31"/>
      <c r="H389" s="31"/>
      <c r="I389" s="31"/>
      <c r="J389" s="31"/>
      <c r="K389" s="19"/>
      <c r="L389" s="19"/>
      <c r="M389" s="19"/>
      <c r="N389" s="31"/>
      <c r="O389" s="31"/>
      <c r="P389" s="31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</row>
    <row r="390" spans="1:37" ht="46.5" customHeight="1" x14ac:dyDescent="0.7">
      <c r="A390" s="19"/>
      <c r="B390" s="19"/>
      <c r="C390" s="19"/>
      <c r="D390" s="31"/>
      <c r="E390" s="31"/>
      <c r="F390" s="31"/>
      <c r="G390" s="31"/>
      <c r="H390" s="31"/>
      <c r="I390" s="31"/>
      <c r="J390" s="31"/>
      <c r="K390" s="19"/>
      <c r="L390" s="19"/>
      <c r="M390" s="19"/>
      <c r="N390" s="31"/>
      <c r="O390" s="31"/>
      <c r="P390" s="31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</row>
    <row r="391" spans="1:37" ht="46.5" customHeight="1" x14ac:dyDescent="0.7">
      <c r="A391" s="19"/>
      <c r="B391" s="19"/>
      <c r="C391" s="19"/>
      <c r="D391" s="31"/>
      <c r="E391" s="31"/>
      <c r="F391" s="31"/>
      <c r="G391" s="31"/>
      <c r="H391" s="31"/>
      <c r="I391" s="31"/>
      <c r="J391" s="31"/>
      <c r="K391" s="19"/>
      <c r="L391" s="19"/>
      <c r="M391" s="19"/>
      <c r="N391" s="31"/>
      <c r="O391" s="31"/>
      <c r="P391" s="31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</row>
    <row r="392" spans="1:37" ht="46.5" customHeight="1" x14ac:dyDescent="0.7">
      <c r="A392" s="19"/>
      <c r="B392" s="19"/>
      <c r="C392" s="19"/>
      <c r="D392" s="31"/>
      <c r="E392" s="31"/>
      <c r="F392" s="31"/>
      <c r="G392" s="31"/>
      <c r="H392" s="31"/>
      <c r="I392" s="31"/>
      <c r="J392" s="31"/>
      <c r="K392" s="19"/>
      <c r="L392" s="19"/>
      <c r="M392" s="19"/>
      <c r="N392" s="31"/>
      <c r="O392" s="31"/>
      <c r="P392" s="31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</row>
    <row r="393" spans="1:37" ht="46.5" customHeight="1" x14ac:dyDescent="0.7">
      <c r="A393" s="19"/>
      <c r="B393" s="19"/>
      <c r="C393" s="19"/>
      <c r="D393" s="31"/>
      <c r="E393" s="31"/>
      <c r="F393" s="31"/>
      <c r="G393" s="31"/>
      <c r="H393" s="31"/>
      <c r="I393" s="31"/>
      <c r="J393" s="31"/>
      <c r="K393" s="19"/>
      <c r="L393" s="19"/>
      <c r="M393" s="19"/>
      <c r="N393" s="31"/>
      <c r="O393" s="31"/>
      <c r="P393" s="31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</row>
    <row r="394" spans="1:37" ht="46.5" customHeight="1" x14ac:dyDescent="0.7">
      <c r="A394" s="19"/>
      <c r="B394" s="19"/>
      <c r="C394" s="19"/>
      <c r="D394" s="31"/>
      <c r="E394" s="31"/>
      <c r="F394" s="31"/>
      <c r="G394" s="31"/>
      <c r="H394" s="31"/>
      <c r="I394" s="31"/>
      <c r="J394" s="31"/>
      <c r="K394" s="19"/>
      <c r="L394" s="19"/>
      <c r="M394" s="19"/>
      <c r="N394" s="31"/>
      <c r="O394" s="31"/>
      <c r="P394" s="31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</row>
    <row r="395" spans="1:37" ht="46.5" customHeight="1" x14ac:dyDescent="0.7">
      <c r="A395" s="19"/>
      <c r="B395" s="19"/>
      <c r="C395" s="19"/>
      <c r="D395" s="31"/>
      <c r="E395" s="31"/>
      <c r="F395" s="31"/>
      <c r="G395" s="31"/>
      <c r="H395" s="31"/>
      <c r="I395" s="31"/>
      <c r="J395" s="31"/>
      <c r="K395" s="19"/>
      <c r="L395" s="19"/>
      <c r="M395" s="19"/>
      <c r="N395" s="31"/>
      <c r="O395" s="31"/>
      <c r="P395" s="31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</row>
    <row r="396" spans="1:37" ht="46.5" customHeight="1" x14ac:dyDescent="0.7">
      <c r="A396" s="19"/>
      <c r="B396" s="19"/>
      <c r="C396" s="19"/>
      <c r="D396" s="31"/>
      <c r="E396" s="31"/>
      <c r="F396" s="31"/>
      <c r="G396" s="31"/>
      <c r="H396" s="31"/>
      <c r="I396" s="31"/>
      <c r="J396" s="31"/>
      <c r="K396" s="19"/>
      <c r="L396" s="19"/>
      <c r="M396" s="19"/>
      <c r="N396" s="31"/>
      <c r="O396" s="31"/>
      <c r="P396" s="31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</row>
    <row r="397" spans="1:37" ht="46.5" customHeight="1" x14ac:dyDescent="0.7">
      <c r="A397" s="19"/>
      <c r="B397" s="19"/>
      <c r="C397" s="19"/>
      <c r="D397" s="31"/>
      <c r="E397" s="31"/>
      <c r="F397" s="31"/>
      <c r="G397" s="31"/>
      <c r="H397" s="31"/>
      <c r="I397" s="31"/>
      <c r="J397" s="31"/>
      <c r="K397" s="19"/>
      <c r="L397" s="19"/>
      <c r="M397" s="19"/>
      <c r="N397" s="31"/>
      <c r="O397" s="31"/>
      <c r="P397" s="31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</row>
    <row r="398" spans="1:37" ht="46.5" customHeight="1" x14ac:dyDescent="0.7">
      <c r="A398" s="19"/>
      <c r="B398" s="19"/>
      <c r="C398" s="19"/>
      <c r="D398" s="31"/>
      <c r="E398" s="31"/>
      <c r="F398" s="31"/>
      <c r="G398" s="31"/>
      <c r="H398" s="31"/>
      <c r="I398" s="31"/>
      <c r="J398" s="31"/>
      <c r="K398" s="19"/>
      <c r="L398" s="19"/>
      <c r="M398" s="19"/>
      <c r="N398" s="31"/>
      <c r="O398" s="31"/>
      <c r="P398" s="31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</row>
    <row r="399" spans="1:37" ht="46.5" customHeight="1" x14ac:dyDescent="0.7">
      <c r="A399" s="19"/>
      <c r="B399" s="19"/>
      <c r="C399" s="19"/>
      <c r="D399" s="31"/>
      <c r="E399" s="31"/>
      <c r="F399" s="31"/>
      <c r="G399" s="31"/>
      <c r="H399" s="31"/>
      <c r="I399" s="31"/>
      <c r="J399" s="31"/>
      <c r="K399" s="19"/>
      <c r="L399" s="19"/>
      <c r="M399" s="19"/>
      <c r="N399" s="31"/>
      <c r="O399" s="31"/>
      <c r="P399" s="31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</row>
    <row r="400" spans="1:37" ht="46.5" customHeight="1" x14ac:dyDescent="0.7">
      <c r="A400" s="19"/>
      <c r="B400" s="19"/>
      <c r="C400" s="19"/>
      <c r="D400" s="31"/>
      <c r="E400" s="31"/>
      <c r="F400" s="31"/>
      <c r="G400" s="31"/>
      <c r="H400" s="31"/>
      <c r="I400" s="31"/>
      <c r="J400" s="31"/>
      <c r="K400" s="19"/>
      <c r="L400" s="19"/>
      <c r="M400" s="19"/>
      <c r="N400" s="31"/>
      <c r="O400" s="31"/>
      <c r="P400" s="31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</row>
    <row r="401" spans="1:37" ht="46.5" customHeight="1" x14ac:dyDescent="0.7">
      <c r="A401" s="19"/>
      <c r="B401" s="19"/>
      <c r="C401" s="19"/>
      <c r="D401" s="31"/>
      <c r="E401" s="31"/>
      <c r="F401" s="31"/>
      <c r="G401" s="31"/>
      <c r="H401" s="31"/>
      <c r="I401" s="31"/>
      <c r="J401" s="31"/>
      <c r="K401" s="19"/>
      <c r="L401" s="19"/>
      <c r="M401" s="19"/>
      <c r="N401" s="31"/>
      <c r="O401" s="31"/>
      <c r="P401" s="31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</row>
    <row r="402" spans="1:37" ht="46.5" customHeight="1" x14ac:dyDescent="0.7">
      <c r="A402" s="19"/>
      <c r="B402" s="19"/>
      <c r="C402" s="19"/>
      <c r="D402" s="31"/>
      <c r="E402" s="31"/>
      <c r="F402" s="31"/>
      <c r="G402" s="31"/>
      <c r="H402" s="31"/>
      <c r="I402" s="31"/>
      <c r="J402" s="31"/>
      <c r="K402" s="19"/>
      <c r="L402" s="19"/>
      <c r="M402" s="19"/>
      <c r="N402" s="31"/>
      <c r="O402" s="31"/>
      <c r="P402" s="31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</row>
    <row r="403" spans="1:37" ht="46.5" customHeight="1" x14ac:dyDescent="0.7">
      <c r="A403" s="19"/>
      <c r="B403" s="19"/>
      <c r="C403" s="19"/>
      <c r="D403" s="31"/>
      <c r="E403" s="31"/>
      <c r="F403" s="31"/>
      <c r="G403" s="31"/>
      <c r="H403" s="31"/>
      <c r="I403" s="31"/>
      <c r="J403" s="31"/>
      <c r="K403" s="19"/>
      <c r="L403" s="19"/>
      <c r="M403" s="19"/>
      <c r="N403" s="31"/>
      <c r="O403" s="31"/>
      <c r="P403" s="31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</row>
    <row r="404" spans="1:37" ht="46.5" customHeight="1" x14ac:dyDescent="0.7">
      <c r="A404" s="19"/>
      <c r="B404" s="19"/>
      <c r="C404" s="19"/>
      <c r="D404" s="31"/>
      <c r="E404" s="31"/>
      <c r="F404" s="31"/>
      <c r="G404" s="31"/>
      <c r="H404" s="31"/>
      <c r="I404" s="31"/>
      <c r="J404" s="31"/>
      <c r="K404" s="19"/>
      <c r="L404" s="19"/>
      <c r="M404" s="19"/>
      <c r="N404" s="31"/>
      <c r="O404" s="31"/>
      <c r="P404" s="31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</row>
    <row r="405" spans="1:37" ht="46.5" customHeight="1" x14ac:dyDescent="0.7">
      <c r="A405" s="19"/>
      <c r="B405" s="19"/>
      <c r="C405" s="19"/>
      <c r="D405" s="31"/>
      <c r="E405" s="31"/>
      <c r="F405" s="31"/>
      <c r="G405" s="31"/>
      <c r="H405" s="31"/>
      <c r="I405" s="31"/>
      <c r="J405" s="31"/>
      <c r="K405" s="19"/>
      <c r="L405" s="19"/>
      <c r="M405" s="19"/>
      <c r="N405" s="31"/>
      <c r="O405" s="31"/>
      <c r="P405" s="31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</row>
    <row r="406" spans="1:37" ht="46.5" customHeight="1" x14ac:dyDescent="0.7">
      <c r="A406" s="19"/>
      <c r="B406" s="19"/>
      <c r="C406" s="19"/>
      <c r="D406" s="31"/>
      <c r="E406" s="31"/>
      <c r="F406" s="31"/>
      <c r="G406" s="31"/>
      <c r="H406" s="31"/>
      <c r="I406" s="31"/>
      <c r="J406" s="31"/>
      <c r="K406" s="19"/>
      <c r="L406" s="19"/>
      <c r="M406" s="19"/>
      <c r="N406" s="31"/>
      <c r="O406" s="31"/>
      <c r="P406" s="31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</row>
    <row r="407" spans="1:37" ht="46.5" customHeight="1" x14ac:dyDescent="0.7">
      <c r="A407" s="19"/>
      <c r="B407" s="19"/>
      <c r="C407" s="19"/>
      <c r="D407" s="31"/>
      <c r="E407" s="31"/>
      <c r="F407" s="31"/>
      <c r="G407" s="31"/>
      <c r="H407" s="31"/>
      <c r="I407" s="31"/>
      <c r="J407" s="31"/>
      <c r="K407" s="19"/>
      <c r="L407" s="19"/>
      <c r="M407" s="19"/>
      <c r="N407" s="31"/>
      <c r="O407" s="31"/>
      <c r="P407" s="31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</row>
    <row r="408" spans="1:37" ht="46.5" customHeight="1" x14ac:dyDescent="0.7">
      <c r="A408" s="19"/>
      <c r="B408" s="19"/>
      <c r="C408" s="19"/>
      <c r="D408" s="31"/>
      <c r="E408" s="31"/>
      <c r="F408" s="31"/>
      <c r="G408" s="31"/>
      <c r="H408" s="31"/>
      <c r="I408" s="31"/>
      <c r="J408" s="31"/>
      <c r="K408" s="19"/>
      <c r="L408" s="19"/>
      <c r="M408" s="19"/>
      <c r="N408" s="31"/>
      <c r="O408" s="31"/>
      <c r="P408" s="31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</row>
    <row r="409" spans="1:37" ht="46.5" customHeight="1" x14ac:dyDescent="0.7">
      <c r="A409" s="19"/>
      <c r="B409" s="19"/>
      <c r="C409" s="19"/>
      <c r="D409" s="31"/>
      <c r="E409" s="31"/>
      <c r="F409" s="31"/>
      <c r="G409" s="31"/>
      <c r="H409" s="31"/>
      <c r="I409" s="31"/>
      <c r="J409" s="31"/>
      <c r="K409" s="19"/>
      <c r="L409" s="19"/>
      <c r="M409" s="19"/>
      <c r="N409" s="31"/>
      <c r="O409" s="31"/>
      <c r="P409" s="31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</row>
    <row r="410" spans="1:37" ht="46.5" customHeight="1" x14ac:dyDescent="0.7">
      <c r="A410" s="19"/>
      <c r="B410" s="19"/>
      <c r="C410" s="19"/>
      <c r="D410" s="31"/>
      <c r="E410" s="31"/>
      <c r="F410" s="31"/>
      <c r="G410" s="31"/>
      <c r="H410" s="31"/>
      <c r="I410" s="31"/>
      <c r="J410" s="31"/>
      <c r="K410" s="19"/>
      <c r="L410" s="19"/>
      <c r="M410" s="19"/>
      <c r="N410" s="31"/>
      <c r="O410" s="31"/>
      <c r="P410" s="31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</row>
    <row r="411" spans="1:37" ht="46.5" customHeight="1" x14ac:dyDescent="0.7">
      <c r="A411" s="19"/>
      <c r="B411" s="19"/>
      <c r="C411" s="19"/>
      <c r="D411" s="31"/>
      <c r="E411" s="31"/>
      <c r="F411" s="31"/>
      <c r="G411" s="31"/>
      <c r="H411" s="31"/>
      <c r="I411" s="31"/>
      <c r="J411" s="31"/>
      <c r="K411" s="19"/>
      <c r="L411" s="19"/>
      <c r="M411" s="19"/>
      <c r="N411" s="31"/>
      <c r="O411" s="31"/>
      <c r="P411" s="31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</row>
    <row r="412" spans="1:37" ht="46.5" customHeight="1" x14ac:dyDescent="0.7">
      <c r="A412" s="19"/>
      <c r="B412" s="19"/>
      <c r="C412" s="19"/>
      <c r="D412" s="31"/>
      <c r="E412" s="31"/>
      <c r="F412" s="31"/>
      <c r="G412" s="31"/>
      <c r="H412" s="31"/>
      <c r="I412" s="31"/>
      <c r="J412" s="31"/>
      <c r="K412" s="19"/>
      <c r="L412" s="19"/>
      <c r="M412" s="19"/>
      <c r="N412" s="31"/>
      <c r="O412" s="31"/>
      <c r="P412" s="31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</row>
    <row r="413" spans="1:37" ht="46.5" customHeight="1" x14ac:dyDescent="0.7">
      <c r="A413" s="19"/>
      <c r="B413" s="19"/>
      <c r="C413" s="19"/>
      <c r="D413" s="31"/>
      <c r="E413" s="31"/>
      <c r="F413" s="31"/>
      <c r="G413" s="31"/>
      <c r="H413" s="31"/>
      <c r="I413" s="31"/>
      <c r="J413" s="31"/>
      <c r="K413" s="19"/>
      <c r="L413" s="19"/>
      <c r="M413" s="19"/>
      <c r="N413" s="31"/>
      <c r="O413" s="31"/>
      <c r="P413" s="31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</row>
    <row r="414" spans="1:37" ht="46.5" customHeight="1" x14ac:dyDescent="0.7">
      <c r="A414" s="19"/>
      <c r="B414" s="19"/>
      <c r="C414" s="19"/>
      <c r="D414" s="31"/>
      <c r="E414" s="31"/>
      <c r="F414" s="31"/>
      <c r="G414" s="31"/>
      <c r="H414" s="31"/>
      <c r="I414" s="31"/>
      <c r="J414" s="31"/>
      <c r="K414" s="19"/>
      <c r="L414" s="19"/>
      <c r="M414" s="19"/>
      <c r="N414" s="31"/>
      <c r="O414" s="31"/>
      <c r="P414" s="31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</row>
    <row r="415" spans="1:37" ht="46.5" customHeight="1" x14ac:dyDescent="0.7">
      <c r="A415" s="19"/>
      <c r="B415" s="19"/>
      <c r="C415" s="19"/>
      <c r="D415" s="31"/>
      <c r="E415" s="31"/>
      <c r="F415" s="31"/>
      <c r="G415" s="31"/>
      <c r="H415" s="31"/>
      <c r="I415" s="31"/>
      <c r="J415" s="31"/>
      <c r="K415" s="19"/>
      <c r="L415" s="19"/>
      <c r="M415" s="19"/>
      <c r="N415" s="31"/>
      <c r="O415" s="31"/>
      <c r="P415" s="31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</row>
    <row r="416" spans="1:37" ht="46.5" customHeight="1" x14ac:dyDescent="0.7">
      <c r="A416" s="19"/>
      <c r="B416" s="19"/>
      <c r="C416" s="19"/>
      <c r="D416" s="31"/>
      <c r="E416" s="31"/>
      <c r="F416" s="31"/>
      <c r="G416" s="31"/>
      <c r="H416" s="31"/>
      <c r="I416" s="31"/>
      <c r="J416" s="31"/>
      <c r="K416" s="19"/>
      <c r="L416" s="19"/>
      <c r="M416" s="19"/>
      <c r="N416" s="31"/>
      <c r="O416" s="31"/>
      <c r="P416" s="31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</row>
    <row r="417" spans="1:37" ht="46.5" customHeight="1" x14ac:dyDescent="0.7">
      <c r="A417" s="19"/>
      <c r="B417" s="19"/>
      <c r="C417" s="19"/>
      <c r="D417" s="31"/>
      <c r="E417" s="31"/>
      <c r="F417" s="31"/>
      <c r="G417" s="31"/>
      <c r="H417" s="31"/>
      <c r="I417" s="31"/>
      <c r="J417" s="31"/>
      <c r="K417" s="19"/>
      <c r="L417" s="19"/>
      <c r="M417" s="19"/>
      <c r="N417" s="31"/>
      <c r="O417" s="31"/>
      <c r="P417" s="31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</row>
    <row r="418" spans="1:37" ht="46.5" customHeight="1" x14ac:dyDescent="0.7">
      <c r="A418" s="19"/>
      <c r="B418" s="19"/>
      <c r="C418" s="19"/>
      <c r="D418" s="31"/>
      <c r="E418" s="31"/>
      <c r="F418" s="31"/>
      <c r="G418" s="31"/>
      <c r="H418" s="31"/>
      <c r="I418" s="31"/>
      <c r="J418" s="31"/>
      <c r="K418" s="19"/>
      <c r="L418" s="19"/>
      <c r="M418" s="19"/>
      <c r="N418" s="31"/>
      <c r="O418" s="31"/>
      <c r="P418" s="31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</row>
    <row r="419" spans="1:37" ht="46.5" customHeight="1" x14ac:dyDescent="0.7">
      <c r="A419" s="19"/>
      <c r="B419" s="19"/>
      <c r="C419" s="19"/>
      <c r="D419" s="31"/>
      <c r="E419" s="31"/>
      <c r="F419" s="31"/>
      <c r="G419" s="31"/>
      <c r="H419" s="31"/>
      <c r="I419" s="31"/>
      <c r="J419" s="31"/>
      <c r="K419" s="19"/>
      <c r="L419" s="19"/>
      <c r="M419" s="19"/>
      <c r="N419" s="31"/>
      <c r="O419" s="31"/>
      <c r="P419" s="31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</row>
    <row r="420" spans="1:37" ht="46.5" customHeight="1" x14ac:dyDescent="0.7">
      <c r="A420" s="19"/>
      <c r="B420" s="19"/>
      <c r="C420" s="19"/>
      <c r="D420" s="31"/>
      <c r="E420" s="31"/>
      <c r="F420" s="31"/>
      <c r="G420" s="31"/>
      <c r="H420" s="31"/>
      <c r="I420" s="31"/>
      <c r="J420" s="31"/>
      <c r="K420" s="19"/>
      <c r="L420" s="19"/>
      <c r="M420" s="19"/>
      <c r="N420" s="31"/>
      <c r="O420" s="31"/>
      <c r="P420" s="31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</row>
    <row r="421" spans="1:37" ht="46.5" customHeight="1" x14ac:dyDescent="0.7">
      <c r="A421" s="19"/>
      <c r="B421" s="19"/>
      <c r="C421" s="19"/>
      <c r="D421" s="31"/>
      <c r="E421" s="31"/>
      <c r="F421" s="31"/>
      <c r="G421" s="31"/>
      <c r="H421" s="31"/>
      <c r="I421" s="31"/>
      <c r="J421" s="31"/>
      <c r="K421" s="19"/>
      <c r="L421" s="19"/>
      <c r="M421" s="19"/>
      <c r="N421" s="31"/>
      <c r="O421" s="31"/>
      <c r="P421" s="31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</row>
    <row r="422" spans="1:37" ht="46.5" customHeight="1" x14ac:dyDescent="0.7">
      <c r="A422" s="19"/>
      <c r="B422" s="19"/>
      <c r="C422" s="19"/>
      <c r="D422" s="31"/>
      <c r="E422" s="31"/>
      <c r="F422" s="31"/>
      <c r="G422" s="31"/>
      <c r="H422" s="31"/>
      <c r="I422" s="31"/>
      <c r="J422" s="31"/>
      <c r="K422" s="19"/>
      <c r="L422" s="19"/>
      <c r="M422" s="19"/>
      <c r="N422" s="31"/>
      <c r="O422" s="31"/>
      <c r="P422" s="31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</row>
    <row r="423" spans="1:37" ht="46.5" customHeight="1" x14ac:dyDescent="0.7">
      <c r="A423" s="19"/>
      <c r="B423" s="19"/>
      <c r="C423" s="19"/>
      <c r="D423" s="31"/>
      <c r="E423" s="31"/>
      <c r="F423" s="31"/>
      <c r="G423" s="31"/>
      <c r="H423" s="31"/>
      <c r="I423" s="31"/>
      <c r="J423" s="31"/>
      <c r="K423" s="19"/>
      <c r="L423" s="19"/>
      <c r="M423" s="19"/>
      <c r="N423" s="31"/>
      <c r="O423" s="31"/>
      <c r="P423" s="31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</row>
    <row r="424" spans="1:37" ht="46.5" customHeight="1" x14ac:dyDescent="0.7">
      <c r="A424" s="19"/>
      <c r="B424" s="19"/>
      <c r="C424" s="19"/>
      <c r="D424" s="31"/>
      <c r="E424" s="31"/>
      <c r="F424" s="31"/>
      <c r="G424" s="31"/>
      <c r="H424" s="31"/>
      <c r="I424" s="31"/>
      <c r="J424" s="31"/>
      <c r="K424" s="19"/>
      <c r="L424" s="19"/>
      <c r="M424" s="19"/>
      <c r="N424" s="31"/>
      <c r="O424" s="31"/>
      <c r="P424" s="31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</row>
    <row r="425" spans="1:37" ht="46.5" customHeight="1" x14ac:dyDescent="0.7">
      <c r="A425" s="19"/>
      <c r="B425" s="19"/>
      <c r="C425" s="19"/>
      <c r="D425" s="31"/>
      <c r="E425" s="31"/>
      <c r="F425" s="31"/>
      <c r="G425" s="31"/>
      <c r="H425" s="31"/>
      <c r="I425" s="31"/>
      <c r="J425" s="31"/>
      <c r="K425" s="19"/>
      <c r="L425" s="19"/>
      <c r="M425" s="19"/>
      <c r="N425" s="31"/>
      <c r="O425" s="31"/>
      <c r="P425" s="31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</row>
    <row r="426" spans="1:37" ht="46.5" customHeight="1" x14ac:dyDescent="0.7">
      <c r="A426" s="19"/>
      <c r="B426" s="19"/>
      <c r="C426" s="19"/>
      <c r="D426" s="31"/>
      <c r="E426" s="31"/>
      <c r="F426" s="31"/>
      <c r="G426" s="31"/>
      <c r="H426" s="31"/>
      <c r="I426" s="31"/>
      <c r="J426" s="31"/>
      <c r="K426" s="19"/>
      <c r="L426" s="19"/>
      <c r="M426" s="19"/>
      <c r="N426" s="31"/>
      <c r="O426" s="31"/>
      <c r="P426" s="31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</row>
    <row r="427" spans="1:37" ht="46.5" customHeight="1" x14ac:dyDescent="0.7">
      <c r="A427" s="19"/>
      <c r="B427" s="19"/>
      <c r="C427" s="19"/>
      <c r="D427" s="31"/>
      <c r="E427" s="31"/>
      <c r="F427" s="31"/>
      <c r="G427" s="31"/>
      <c r="H427" s="31"/>
      <c r="I427" s="31"/>
      <c r="J427" s="31"/>
      <c r="K427" s="19"/>
      <c r="L427" s="19"/>
      <c r="M427" s="19"/>
      <c r="N427" s="31"/>
      <c r="O427" s="31"/>
      <c r="P427" s="31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</row>
    <row r="428" spans="1:37" ht="46.5" customHeight="1" x14ac:dyDescent="0.7">
      <c r="A428" s="19"/>
      <c r="B428" s="19"/>
      <c r="C428" s="19"/>
      <c r="D428" s="31"/>
      <c r="E428" s="31"/>
      <c r="F428" s="31"/>
      <c r="G428" s="31"/>
      <c r="H428" s="31"/>
      <c r="I428" s="31"/>
      <c r="J428" s="31"/>
      <c r="K428" s="19"/>
      <c r="L428" s="19"/>
      <c r="M428" s="19"/>
      <c r="N428" s="31"/>
      <c r="O428" s="31"/>
      <c r="P428" s="31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</row>
    <row r="429" spans="1:37" ht="46.5" customHeight="1" x14ac:dyDescent="0.7">
      <c r="A429" s="19"/>
      <c r="B429" s="19"/>
      <c r="C429" s="19"/>
      <c r="D429" s="31"/>
      <c r="E429" s="31"/>
      <c r="F429" s="31"/>
      <c r="G429" s="31"/>
      <c r="H429" s="31"/>
      <c r="I429" s="31"/>
      <c r="J429" s="31"/>
      <c r="K429" s="19"/>
      <c r="L429" s="19"/>
      <c r="M429" s="19"/>
      <c r="N429" s="31"/>
      <c r="O429" s="31"/>
      <c r="P429" s="31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</row>
    <row r="430" spans="1:37" ht="46.5" customHeight="1" x14ac:dyDescent="0.7">
      <c r="A430" s="19"/>
      <c r="B430" s="19"/>
      <c r="C430" s="19"/>
      <c r="D430" s="31"/>
      <c r="E430" s="31"/>
      <c r="F430" s="31"/>
      <c r="G430" s="31"/>
      <c r="H430" s="31"/>
      <c r="I430" s="31"/>
      <c r="J430" s="31"/>
      <c r="K430" s="19"/>
      <c r="L430" s="19"/>
      <c r="M430" s="19"/>
      <c r="N430" s="31"/>
      <c r="O430" s="31"/>
      <c r="P430" s="31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</row>
    <row r="431" spans="1:37" ht="46.5" customHeight="1" x14ac:dyDescent="0.7">
      <c r="A431" s="19"/>
      <c r="B431" s="19"/>
      <c r="C431" s="19"/>
      <c r="D431" s="31"/>
      <c r="E431" s="31"/>
      <c r="F431" s="31"/>
      <c r="G431" s="31"/>
      <c r="H431" s="31"/>
      <c r="I431" s="31"/>
      <c r="J431" s="31"/>
      <c r="K431" s="19"/>
      <c r="L431" s="19"/>
      <c r="M431" s="19"/>
      <c r="N431" s="31"/>
      <c r="O431" s="31"/>
      <c r="P431" s="31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</row>
    <row r="432" spans="1:37" ht="46.5" customHeight="1" x14ac:dyDescent="0.7">
      <c r="A432" s="19"/>
      <c r="B432" s="19"/>
      <c r="C432" s="19"/>
      <c r="D432" s="31"/>
      <c r="E432" s="31"/>
      <c r="F432" s="31"/>
      <c r="G432" s="31"/>
      <c r="H432" s="31"/>
      <c r="I432" s="31"/>
      <c r="J432" s="31"/>
      <c r="K432" s="19"/>
      <c r="L432" s="19"/>
      <c r="M432" s="19"/>
      <c r="N432" s="31"/>
      <c r="O432" s="31"/>
      <c r="P432" s="31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</row>
    <row r="433" spans="1:37" ht="46.5" customHeight="1" x14ac:dyDescent="0.7">
      <c r="A433" s="19"/>
      <c r="B433" s="19"/>
      <c r="C433" s="19"/>
      <c r="D433" s="31"/>
      <c r="E433" s="31"/>
      <c r="F433" s="31"/>
      <c r="G433" s="31"/>
      <c r="H433" s="31"/>
      <c r="I433" s="31"/>
      <c r="J433" s="31"/>
      <c r="K433" s="19"/>
      <c r="L433" s="19"/>
      <c r="M433" s="19"/>
      <c r="N433" s="31"/>
      <c r="O433" s="31"/>
      <c r="P433" s="31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</row>
    <row r="434" spans="1:37" ht="46.5" customHeight="1" x14ac:dyDescent="0.7">
      <c r="A434" s="19"/>
      <c r="B434" s="19"/>
      <c r="C434" s="19"/>
      <c r="D434" s="31"/>
      <c r="E434" s="31"/>
      <c r="F434" s="31"/>
      <c r="G434" s="31"/>
      <c r="H434" s="31"/>
      <c r="I434" s="31"/>
      <c r="J434" s="31"/>
      <c r="K434" s="19"/>
      <c r="L434" s="19"/>
      <c r="M434" s="19"/>
      <c r="N434" s="31"/>
      <c r="O434" s="31"/>
      <c r="P434" s="31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</row>
    <row r="435" spans="1:37" ht="46.5" customHeight="1" x14ac:dyDescent="0.7">
      <c r="A435" s="19"/>
      <c r="B435" s="19"/>
      <c r="C435" s="19"/>
      <c r="D435" s="31"/>
      <c r="E435" s="31"/>
      <c r="F435" s="31"/>
      <c r="G435" s="31"/>
      <c r="H435" s="31"/>
      <c r="I435" s="31"/>
      <c r="J435" s="31"/>
      <c r="K435" s="19"/>
      <c r="L435" s="19"/>
      <c r="M435" s="19"/>
      <c r="N435" s="31"/>
      <c r="O435" s="31"/>
      <c r="P435" s="31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</row>
    <row r="436" spans="1:37" ht="46.5" customHeight="1" x14ac:dyDescent="0.7">
      <c r="A436" s="19"/>
      <c r="B436" s="19"/>
      <c r="C436" s="19"/>
      <c r="D436" s="31"/>
      <c r="E436" s="31"/>
      <c r="F436" s="31"/>
      <c r="G436" s="31"/>
      <c r="H436" s="31"/>
      <c r="I436" s="31"/>
      <c r="J436" s="31"/>
      <c r="K436" s="19"/>
      <c r="L436" s="19"/>
      <c r="M436" s="19"/>
      <c r="N436" s="31"/>
      <c r="O436" s="31"/>
      <c r="P436" s="31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</row>
    <row r="437" spans="1:37" ht="46.5" customHeight="1" x14ac:dyDescent="0.7">
      <c r="A437" s="19"/>
      <c r="B437" s="19"/>
      <c r="C437" s="19"/>
      <c r="D437" s="31"/>
      <c r="E437" s="31"/>
      <c r="F437" s="31"/>
      <c r="G437" s="31"/>
      <c r="H437" s="31"/>
      <c r="I437" s="31"/>
      <c r="J437" s="31"/>
      <c r="K437" s="19"/>
      <c r="L437" s="19"/>
      <c r="M437" s="19"/>
      <c r="N437" s="31"/>
      <c r="O437" s="31"/>
      <c r="P437" s="31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</row>
    <row r="438" spans="1:37" ht="46.5" customHeight="1" x14ac:dyDescent="0.7">
      <c r="A438" s="19"/>
      <c r="B438" s="19"/>
      <c r="C438" s="19"/>
      <c r="D438" s="31"/>
      <c r="E438" s="31"/>
      <c r="F438" s="31"/>
      <c r="G438" s="31"/>
      <c r="H438" s="31"/>
      <c r="I438" s="31"/>
      <c r="J438" s="31"/>
      <c r="K438" s="19"/>
      <c r="L438" s="19"/>
      <c r="M438" s="19"/>
      <c r="N438" s="31"/>
      <c r="O438" s="31"/>
      <c r="P438" s="31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</row>
    <row r="439" spans="1:37" ht="46.5" customHeight="1" x14ac:dyDescent="0.7">
      <c r="A439" s="19"/>
      <c r="B439" s="19"/>
      <c r="C439" s="19"/>
      <c r="D439" s="31"/>
      <c r="E439" s="31"/>
      <c r="F439" s="31"/>
      <c r="G439" s="31"/>
      <c r="H439" s="31"/>
      <c r="I439" s="31"/>
      <c r="J439" s="31"/>
      <c r="K439" s="19"/>
      <c r="L439" s="19"/>
      <c r="M439" s="19"/>
      <c r="N439" s="31"/>
      <c r="O439" s="31"/>
      <c r="P439" s="31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</row>
    <row r="440" spans="1:37" ht="46.5" customHeight="1" x14ac:dyDescent="0.7">
      <c r="A440" s="19"/>
      <c r="B440" s="19"/>
      <c r="C440" s="19"/>
      <c r="D440" s="31"/>
      <c r="E440" s="31"/>
      <c r="F440" s="31"/>
      <c r="G440" s="31"/>
      <c r="H440" s="31"/>
      <c r="I440" s="31"/>
      <c r="J440" s="31"/>
      <c r="K440" s="19"/>
      <c r="L440" s="19"/>
      <c r="M440" s="19"/>
      <c r="N440" s="31"/>
      <c r="O440" s="31"/>
      <c r="P440" s="31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</row>
    <row r="441" spans="1:37" ht="46.5" customHeight="1" x14ac:dyDescent="0.7">
      <c r="A441" s="19"/>
      <c r="B441" s="19"/>
      <c r="C441" s="19"/>
      <c r="D441" s="31"/>
      <c r="E441" s="31"/>
      <c r="F441" s="31"/>
      <c r="G441" s="31"/>
      <c r="H441" s="31"/>
      <c r="I441" s="31"/>
      <c r="J441" s="31"/>
      <c r="K441" s="19"/>
      <c r="L441" s="19"/>
      <c r="M441" s="19"/>
      <c r="N441" s="31"/>
      <c r="O441" s="31"/>
      <c r="P441" s="31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</row>
    <row r="442" spans="1:37" ht="46.5" customHeight="1" x14ac:dyDescent="0.7">
      <c r="A442" s="19"/>
      <c r="B442" s="19"/>
      <c r="C442" s="19"/>
      <c r="D442" s="31"/>
      <c r="E442" s="31"/>
      <c r="F442" s="31"/>
      <c r="G442" s="31"/>
      <c r="H442" s="31"/>
      <c r="I442" s="31"/>
      <c r="J442" s="31"/>
      <c r="K442" s="19"/>
      <c r="L442" s="19"/>
      <c r="M442" s="19"/>
      <c r="N442" s="31"/>
      <c r="O442" s="31"/>
      <c r="P442" s="31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</row>
    <row r="443" spans="1:37" ht="46.5" customHeight="1" x14ac:dyDescent="0.7">
      <c r="A443" s="19"/>
      <c r="B443" s="19"/>
      <c r="C443" s="19"/>
      <c r="D443" s="31"/>
      <c r="E443" s="31"/>
      <c r="F443" s="31"/>
      <c r="G443" s="31"/>
      <c r="H443" s="31"/>
      <c r="I443" s="31"/>
      <c r="J443" s="31"/>
      <c r="K443" s="19"/>
      <c r="L443" s="19"/>
      <c r="M443" s="19"/>
      <c r="N443" s="31"/>
      <c r="O443" s="31"/>
      <c r="P443" s="31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</row>
    <row r="444" spans="1:37" ht="46.5" customHeight="1" x14ac:dyDescent="0.7">
      <c r="A444" s="19"/>
      <c r="B444" s="19"/>
      <c r="C444" s="19"/>
      <c r="D444" s="31"/>
      <c r="E444" s="31"/>
      <c r="F444" s="31"/>
      <c r="G444" s="31"/>
      <c r="H444" s="31"/>
      <c r="I444" s="31"/>
      <c r="J444" s="31"/>
      <c r="K444" s="19"/>
      <c r="L444" s="19"/>
      <c r="M444" s="19"/>
      <c r="N444" s="31"/>
      <c r="O444" s="31"/>
      <c r="P444" s="31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</row>
    <row r="445" spans="1:37" ht="46.5" customHeight="1" x14ac:dyDescent="0.7">
      <c r="A445" s="19"/>
      <c r="B445" s="19"/>
      <c r="C445" s="19"/>
      <c r="D445" s="31"/>
      <c r="E445" s="31"/>
      <c r="F445" s="31"/>
      <c r="G445" s="31"/>
      <c r="H445" s="31"/>
      <c r="I445" s="31"/>
      <c r="J445" s="31"/>
      <c r="K445" s="19"/>
      <c r="L445" s="19"/>
      <c r="M445" s="19"/>
      <c r="N445" s="31"/>
      <c r="O445" s="31"/>
      <c r="P445" s="31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</row>
    <row r="446" spans="1:37" ht="46.5" customHeight="1" x14ac:dyDescent="0.7">
      <c r="A446" s="19"/>
      <c r="B446" s="19"/>
      <c r="C446" s="19"/>
      <c r="D446" s="31"/>
      <c r="E446" s="31"/>
      <c r="F446" s="31"/>
      <c r="G446" s="31"/>
      <c r="H446" s="31"/>
      <c r="I446" s="31"/>
      <c r="J446" s="31"/>
      <c r="K446" s="19"/>
      <c r="L446" s="19"/>
      <c r="M446" s="19"/>
      <c r="N446" s="31"/>
      <c r="O446" s="31"/>
      <c r="P446" s="31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</row>
    <row r="447" spans="1:37" ht="46.5" customHeight="1" x14ac:dyDescent="0.7">
      <c r="A447" s="19"/>
      <c r="B447" s="19"/>
      <c r="C447" s="19"/>
      <c r="D447" s="31"/>
      <c r="E447" s="31"/>
      <c r="F447" s="31"/>
      <c r="G447" s="31"/>
      <c r="H447" s="31"/>
      <c r="I447" s="31"/>
      <c r="J447" s="31"/>
      <c r="K447" s="19"/>
      <c r="L447" s="19"/>
      <c r="M447" s="19"/>
      <c r="N447" s="31"/>
      <c r="O447" s="31"/>
      <c r="P447" s="31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</row>
    <row r="448" spans="1:37" ht="46.5" customHeight="1" x14ac:dyDescent="0.7">
      <c r="A448" s="19"/>
      <c r="B448" s="19"/>
      <c r="C448" s="19"/>
      <c r="D448" s="31"/>
      <c r="E448" s="31"/>
      <c r="F448" s="31"/>
      <c r="G448" s="31"/>
      <c r="H448" s="31"/>
      <c r="I448" s="31"/>
      <c r="J448" s="31"/>
      <c r="K448" s="19"/>
      <c r="L448" s="19"/>
      <c r="M448" s="19"/>
      <c r="N448" s="31"/>
      <c r="O448" s="31"/>
      <c r="P448" s="31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</row>
    <row r="449" spans="1:37" ht="46.5" customHeight="1" x14ac:dyDescent="0.7">
      <c r="A449" s="19"/>
      <c r="B449" s="19"/>
      <c r="C449" s="19"/>
      <c r="D449" s="31"/>
      <c r="E449" s="31"/>
      <c r="F449" s="31"/>
      <c r="G449" s="31"/>
      <c r="H449" s="31"/>
      <c r="I449" s="31"/>
      <c r="J449" s="31"/>
      <c r="K449" s="19"/>
      <c r="L449" s="19"/>
      <c r="M449" s="19"/>
      <c r="N449" s="31"/>
      <c r="O449" s="31"/>
      <c r="P449" s="31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</row>
    <row r="450" spans="1:37" ht="46.5" customHeight="1" x14ac:dyDescent="0.7">
      <c r="A450" s="19"/>
      <c r="B450" s="19"/>
      <c r="C450" s="19"/>
      <c r="D450" s="31"/>
      <c r="E450" s="31"/>
      <c r="F450" s="31"/>
      <c r="G450" s="31"/>
      <c r="H450" s="31"/>
      <c r="I450" s="31"/>
      <c r="J450" s="31"/>
      <c r="K450" s="19"/>
      <c r="L450" s="19"/>
      <c r="M450" s="19"/>
      <c r="N450" s="31"/>
      <c r="O450" s="31"/>
      <c r="P450" s="31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</row>
    <row r="451" spans="1:37" ht="46.5" customHeight="1" x14ac:dyDescent="0.7">
      <c r="A451" s="19"/>
      <c r="B451" s="19"/>
      <c r="C451" s="19"/>
      <c r="D451" s="31"/>
      <c r="E451" s="31"/>
      <c r="F451" s="31"/>
      <c r="G451" s="31"/>
      <c r="H451" s="31"/>
      <c r="I451" s="31"/>
      <c r="J451" s="31"/>
      <c r="K451" s="19"/>
      <c r="L451" s="19"/>
      <c r="M451" s="19"/>
      <c r="N451" s="31"/>
      <c r="O451" s="31"/>
      <c r="P451" s="31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</row>
    <row r="452" spans="1:37" ht="46.5" customHeight="1" x14ac:dyDescent="0.7">
      <c r="A452" s="19"/>
      <c r="B452" s="19"/>
      <c r="C452" s="19"/>
      <c r="D452" s="31"/>
      <c r="E452" s="31"/>
      <c r="F452" s="31"/>
      <c r="G452" s="31"/>
      <c r="H452" s="31"/>
      <c r="I452" s="31"/>
      <c r="J452" s="31"/>
      <c r="K452" s="19"/>
      <c r="L452" s="19"/>
      <c r="M452" s="19"/>
      <c r="N452" s="31"/>
      <c r="O452" s="31"/>
      <c r="P452" s="31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</row>
    <row r="453" spans="1:37" ht="46.5" customHeight="1" x14ac:dyDescent="0.7">
      <c r="A453" s="19"/>
      <c r="B453" s="19"/>
      <c r="C453" s="19"/>
      <c r="D453" s="31"/>
      <c r="E453" s="31"/>
      <c r="F453" s="31"/>
      <c r="G453" s="31"/>
      <c r="H453" s="31"/>
      <c r="I453" s="31"/>
      <c r="J453" s="31"/>
      <c r="K453" s="19"/>
      <c r="L453" s="19"/>
      <c r="M453" s="19"/>
      <c r="N453" s="31"/>
      <c r="O453" s="31"/>
      <c r="P453" s="31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</row>
    <row r="454" spans="1:37" ht="46.5" customHeight="1" x14ac:dyDescent="0.7">
      <c r="A454" s="19"/>
      <c r="B454" s="19"/>
      <c r="C454" s="19"/>
      <c r="D454" s="31"/>
      <c r="E454" s="31"/>
      <c r="F454" s="31"/>
      <c r="G454" s="31"/>
      <c r="H454" s="31"/>
      <c r="I454" s="31"/>
      <c r="J454" s="31"/>
      <c r="K454" s="19"/>
      <c r="L454" s="19"/>
      <c r="M454" s="19"/>
      <c r="N454" s="31"/>
      <c r="O454" s="31"/>
      <c r="P454" s="31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</row>
    <row r="455" spans="1:37" ht="46.5" customHeight="1" x14ac:dyDescent="0.7">
      <c r="A455" s="19"/>
      <c r="B455" s="19"/>
      <c r="C455" s="19"/>
      <c r="D455" s="31"/>
      <c r="E455" s="31"/>
      <c r="F455" s="31"/>
      <c r="G455" s="31"/>
      <c r="H455" s="31"/>
      <c r="I455" s="31"/>
      <c r="J455" s="31"/>
      <c r="K455" s="19"/>
      <c r="L455" s="19"/>
      <c r="M455" s="19"/>
      <c r="N455" s="31"/>
      <c r="O455" s="31"/>
      <c r="P455" s="31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</row>
    <row r="456" spans="1:37" ht="46.5" customHeight="1" x14ac:dyDescent="0.7">
      <c r="A456" s="19"/>
      <c r="B456" s="19"/>
      <c r="C456" s="19"/>
      <c r="D456" s="31"/>
      <c r="E456" s="31"/>
      <c r="F456" s="31"/>
      <c r="G456" s="31"/>
      <c r="H456" s="31"/>
      <c r="I456" s="31"/>
      <c r="J456" s="31"/>
      <c r="K456" s="19"/>
      <c r="L456" s="19"/>
      <c r="M456" s="19"/>
      <c r="N456" s="31"/>
      <c r="O456" s="31"/>
      <c r="P456" s="31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</row>
    <row r="457" spans="1:37" ht="46.5" customHeight="1" x14ac:dyDescent="0.7">
      <c r="A457" s="19"/>
      <c r="B457" s="19"/>
      <c r="C457" s="19"/>
      <c r="D457" s="31"/>
      <c r="E457" s="31"/>
      <c r="F457" s="31"/>
      <c r="G457" s="31"/>
      <c r="H457" s="31"/>
      <c r="I457" s="31"/>
      <c r="J457" s="31"/>
      <c r="K457" s="19"/>
      <c r="L457" s="19"/>
      <c r="M457" s="19"/>
      <c r="N457" s="31"/>
      <c r="O457" s="31"/>
      <c r="P457" s="31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</row>
    <row r="458" spans="1:37" ht="46.5" customHeight="1" x14ac:dyDescent="0.7">
      <c r="A458" s="19"/>
      <c r="B458" s="19"/>
      <c r="C458" s="19"/>
      <c r="D458" s="31"/>
      <c r="E458" s="31"/>
      <c r="F458" s="31"/>
      <c r="G458" s="31"/>
      <c r="H458" s="31"/>
      <c r="I458" s="31"/>
      <c r="J458" s="31"/>
      <c r="K458" s="19"/>
      <c r="L458" s="19"/>
      <c r="M458" s="19"/>
      <c r="N458" s="31"/>
      <c r="O458" s="31"/>
      <c r="P458" s="31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</row>
    <row r="459" spans="1:37" ht="46.5" customHeight="1" x14ac:dyDescent="0.7">
      <c r="A459" s="19"/>
      <c r="B459" s="19"/>
      <c r="C459" s="19"/>
      <c r="D459" s="31"/>
      <c r="E459" s="31"/>
      <c r="F459" s="31"/>
      <c r="G459" s="31"/>
      <c r="H459" s="31"/>
      <c r="I459" s="31"/>
      <c r="J459" s="31"/>
      <c r="K459" s="19"/>
      <c r="L459" s="19"/>
      <c r="M459" s="19"/>
      <c r="N459" s="31"/>
      <c r="O459" s="31"/>
      <c r="P459" s="31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</row>
    <row r="460" spans="1:37" ht="46.5" customHeight="1" x14ac:dyDescent="0.7">
      <c r="A460" s="19"/>
      <c r="B460" s="19"/>
      <c r="C460" s="19"/>
      <c r="D460" s="31"/>
      <c r="E460" s="31"/>
      <c r="F460" s="31"/>
      <c r="G460" s="31"/>
      <c r="H460" s="31"/>
      <c r="I460" s="31"/>
      <c r="J460" s="31"/>
      <c r="K460" s="19"/>
      <c r="L460" s="19"/>
      <c r="M460" s="19"/>
      <c r="N460" s="31"/>
      <c r="O460" s="31"/>
      <c r="P460" s="31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</row>
    <row r="461" spans="1:37" ht="46.5" customHeight="1" x14ac:dyDescent="0.7">
      <c r="A461" s="19"/>
      <c r="B461" s="19"/>
      <c r="C461" s="19"/>
      <c r="D461" s="31"/>
      <c r="E461" s="31"/>
      <c r="F461" s="31"/>
      <c r="G461" s="31"/>
      <c r="H461" s="31"/>
      <c r="I461" s="31"/>
      <c r="J461" s="31"/>
      <c r="K461" s="19"/>
      <c r="L461" s="19"/>
      <c r="M461" s="19"/>
      <c r="N461" s="31"/>
      <c r="O461" s="31"/>
      <c r="P461" s="31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</row>
    <row r="462" spans="1:37" ht="46.5" customHeight="1" x14ac:dyDescent="0.7">
      <c r="A462" s="19"/>
      <c r="B462" s="19"/>
      <c r="C462" s="19"/>
      <c r="D462" s="31"/>
      <c r="E462" s="31"/>
      <c r="F462" s="31"/>
      <c r="G462" s="31"/>
      <c r="H462" s="31"/>
      <c r="I462" s="31"/>
      <c r="J462" s="31"/>
      <c r="K462" s="19"/>
      <c r="L462" s="19"/>
      <c r="M462" s="19"/>
      <c r="N462" s="31"/>
      <c r="O462" s="31"/>
      <c r="P462" s="31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</row>
    <row r="463" spans="1:37" ht="46.5" customHeight="1" x14ac:dyDescent="0.7">
      <c r="A463" s="19"/>
      <c r="B463" s="19"/>
      <c r="C463" s="19"/>
      <c r="D463" s="31"/>
      <c r="E463" s="31"/>
      <c r="F463" s="31"/>
      <c r="G463" s="31"/>
      <c r="H463" s="31"/>
      <c r="I463" s="31"/>
      <c r="J463" s="31"/>
      <c r="K463" s="19"/>
      <c r="L463" s="19"/>
      <c r="M463" s="19"/>
      <c r="N463" s="31"/>
      <c r="O463" s="31"/>
      <c r="P463" s="31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</row>
    <row r="464" spans="1:37" ht="46.5" customHeight="1" x14ac:dyDescent="0.7">
      <c r="A464" s="19"/>
      <c r="B464" s="19"/>
      <c r="C464" s="19"/>
      <c r="D464" s="31"/>
      <c r="E464" s="31"/>
      <c r="F464" s="31"/>
      <c r="G464" s="31"/>
      <c r="H464" s="31"/>
      <c r="I464" s="31"/>
      <c r="J464" s="31"/>
      <c r="K464" s="19"/>
      <c r="L464" s="19"/>
      <c r="M464" s="19"/>
      <c r="N464" s="31"/>
      <c r="O464" s="31"/>
      <c r="P464" s="31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</row>
    <row r="465" spans="1:37" ht="46.5" customHeight="1" x14ac:dyDescent="0.7">
      <c r="A465" s="19"/>
      <c r="B465" s="19"/>
      <c r="C465" s="19"/>
      <c r="D465" s="31"/>
      <c r="E465" s="31"/>
      <c r="F465" s="31"/>
      <c r="G465" s="31"/>
      <c r="H465" s="31"/>
      <c r="I465" s="31"/>
      <c r="J465" s="31"/>
      <c r="K465" s="19"/>
      <c r="L465" s="19"/>
      <c r="M465" s="19"/>
      <c r="N465" s="31"/>
      <c r="O465" s="31"/>
      <c r="P465" s="31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</row>
    <row r="466" spans="1:37" ht="46.5" customHeight="1" x14ac:dyDescent="0.7">
      <c r="A466" s="19"/>
      <c r="B466" s="19"/>
      <c r="C466" s="19"/>
      <c r="D466" s="31"/>
      <c r="E466" s="31"/>
      <c r="F466" s="31"/>
      <c r="G466" s="31"/>
      <c r="H466" s="31"/>
      <c r="I466" s="31"/>
      <c r="J466" s="31"/>
      <c r="K466" s="19"/>
      <c r="L466" s="19"/>
      <c r="M466" s="19"/>
      <c r="N466" s="31"/>
      <c r="O466" s="31"/>
      <c r="P466" s="31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</row>
    <row r="467" spans="1:37" ht="46.5" customHeight="1" x14ac:dyDescent="0.7">
      <c r="A467" s="19"/>
      <c r="B467" s="19"/>
      <c r="C467" s="19"/>
      <c r="D467" s="31"/>
      <c r="E467" s="31"/>
      <c r="F467" s="31"/>
      <c r="G467" s="31"/>
      <c r="H467" s="31"/>
      <c r="I467" s="31"/>
      <c r="J467" s="31"/>
      <c r="K467" s="19"/>
      <c r="L467" s="19"/>
      <c r="M467" s="19"/>
      <c r="N467" s="31"/>
      <c r="O467" s="31"/>
      <c r="P467" s="31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</row>
    <row r="468" spans="1:37" ht="46.5" customHeight="1" x14ac:dyDescent="0.7">
      <c r="A468" s="19"/>
      <c r="B468" s="19"/>
      <c r="C468" s="19"/>
      <c r="D468" s="31"/>
      <c r="E468" s="31"/>
      <c r="F468" s="31"/>
      <c r="G468" s="31"/>
      <c r="H468" s="31"/>
      <c r="I468" s="31"/>
      <c r="J468" s="31"/>
      <c r="K468" s="19"/>
      <c r="L468" s="19"/>
      <c r="M468" s="19"/>
      <c r="N468" s="31"/>
      <c r="O468" s="31"/>
      <c r="P468" s="31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</row>
    <row r="469" spans="1:37" ht="46.5" customHeight="1" x14ac:dyDescent="0.7">
      <c r="A469" s="19"/>
      <c r="B469" s="19"/>
      <c r="C469" s="19"/>
      <c r="D469" s="31"/>
      <c r="E469" s="31"/>
      <c r="F469" s="31"/>
      <c r="G469" s="31"/>
      <c r="H469" s="31"/>
      <c r="I469" s="31"/>
      <c r="J469" s="31"/>
      <c r="K469" s="19"/>
      <c r="L469" s="19"/>
      <c r="M469" s="19"/>
      <c r="N469" s="31"/>
      <c r="O469" s="31"/>
      <c r="P469" s="31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</row>
    <row r="470" spans="1:37" ht="46.5" customHeight="1" x14ac:dyDescent="0.7">
      <c r="A470" s="19"/>
      <c r="B470" s="19"/>
      <c r="C470" s="19"/>
      <c r="D470" s="31"/>
      <c r="E470" s="31"/>
      <c r="F470" s="31"/>
      <c r="G470" s="31"/>
      <c r="H470" s="31"/>
      <c r="I470" s="31"/>
      <c r="J470" s="31"/>
      <c r="K470" s="19"/>
      <c r="L470" s="19"/>
      <c r="M470" s="19"/>
      <c r="N470" s="31"/>
      <c r="O470" s="31"/>
      <c r="P470" s="31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</row>
    <row r="471" spans="1:37" ht="46.5" customHeight="1" x14ac:dyDescent="0.7">
      <c r="A471" s="19"/>
      <c r="B471" s="19"/>
      <c r="C471" s="19"/>
      <c r="D471" s="31"/>
      <c r="E471" s="31"/>
      <c r="F471" s="31"/>
      <c r="G471" s="31"/>
      <c r="H471" s="31"/>
      <c r="I471" s="31"/>
      <c r="J471" s="31"/>
      <c r="K471" s="19"/>
      <c r="L471" s="19"/>
      <c r="M471" s="19"/>
      <c r="N471" s="31"/>
      <c r="O471" s="31"/>
      <c r="P471" s="31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</row>
    <row r="472" spans="1:37" ht="46.5" customHeight="1" x14ac:dyDescent="0.7">
      <c r="A472" s="19"/>
      <c r="B472" s="19"/>
      <c r="C472" s="19"/>
      <c r="D472" s="31"/>
      <c r="E472" s="31"/>
      <c r="F472" s="31"/>
      <c r="G472" s="31"/>
      <c r="H472" s="31"/>
      <c r="I472" s="31"/>
      <c r="J472" s="31"/>
      <c r="K472" s="19"/>
      <c r="L472" s="19"/>
      <c r="M472" s="19"/>
      <c r="N472" s="31"/>
      <c r="O472" s="31"/>
      <c r="P472" s="31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</row>
    <row r="473" spans="1:37" ht="46.5" customHeight="1" x14ac:dyDescent="0.7">
      <c r="A473" s="19"/>
      <c r="B473" s="19"/>
      <c r="C473" s="19"/>
      <c r="D473" s="31"/>
      <c r="E473" s="31"/>
      <c r="F473" s="31"/>
      <c r="G473" s="31"/>
      <c r="H473" s="31"/>
      <c r="I473" s="31"/>
      <c r="J473" s="31"/>
      <c r="K473" s="19"/>
      <c r="L473" s="19"/>
      <c r="M473" s="19"/>
      <c r="N473" s="31"/>
      <c r="O473" s="31"/>
      <c r="P473" s="31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</row>
    <row r="474" spans="1:37" ht="46.5" customHeight="1" x14ac:dyDescent="0.7">
      <c r="A474" s="19"/>
      <c r="B474" s="19"/>
      <c r="C474" s="19"/>
      <c r="D474" s="31"/>
      <c r="E474" s="31"/>
      <c r="F474" s="31"/>
      <c r="G474" s="31"/>
      <c r="H474" s="31"/>
      <c r="I474" s="31"/>
      <c r="J474" s="31"/>
      <c r="K474" s="19"/>
      <c r="L474" s="19"/>
      <c r="M474" s="19"/>
      <c r="N474" s="31"/>
      <c r="O474" s="31"/>
      <c r="P474" s="31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</row>
    <row r="475" spans="1:37" ht="46.5" customHeight="1" x14ac:dyDescent="0.7">
      <c r="A475" s="19"/>
      <c r="B475" s="19"/>
      <c r="C475" s="19"/>
      <c r="D475" s="31"/>
      <c r="E475" s="31"/>
      <c r="F475" s="31"/>
      <c r="G475" s="31"/>
      <c r="H475" s="31"/>
      <c r="I475" s="31"/>
      <c r="J475" s="31"/>
      <c r="K475" s="19"/>
      <c r="L475" s="19"/>
      <c r="M475" s="19"/>
      <c r="N475" s="31"/>
      <c r="O475" s="31"/>
      <c r="P475" s="31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</row>
    <row r="476" spans="1:37" ht="46.5" customHeight="1" x14ac:dyDescent="0.7">
      <c r="A476" s="19"/>
      <c r="B476" s="19"/>
      <c r="C476" s="19"/>
      <c r="D476" s="31"/>
      <c r="E476" s="31"/>
      <c r="F476" s="31"/>
      <c r="G476" s="31"/>
      <c r="H476" s="31"/>
      <c r="I476" s="31"/>
      <c r="J476" s="31"/>
      <c r="K476" s="19"/>
      <c r="L476" s="19"/>
      <c r="M476" s="19"/>
      <c r="N476" s="31"/>
      <c r="O476" s="31"/>
      <c r="P476" s="31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</row>
    <row r="477" spans="1:37" ht="46.5" customHeight="1" x14ac:dyDescent="0.7">
      <c r="A477" s="19"/>
      <c r="B477" s="19"/>
      <c r="C477" s="19"/>
      <c r="D477" s="31"/>
      <c r="E477" s="31"/>
      <c r="F477" s="31"/>
      <c r="G477" s="31"/>
      <c r="H477" s="31"/>
      <c r="I477" s="31"/>
      <c r="J477" s="31"/>
      <c r="K477" s="19"/>
      <c r="L477" s="19"/>
      <c r="M477" s="19"/>
      <c r="N477" s="31"/>
      <c r="O477" s="31"/>
      <c r="P477" s="31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</row>
    <row r="478" spans="1:37" ht="46.5" customHeight="1" x14ac:dyDescent="0.7">
      <c r="A478" s="19"/>
      <c r="B478" s="19"/>
      <c r="C478" s="19"/>
      <c r="D478" s="31"/>
      <c r="E478" s="31"/>
      <c r="F478" s="31"/>
      <c r="G478" s="31"/>
      <c r="H478" s="31"/>
      <c r="I478" s="31"/>
      <c r="J478" s="31"/>
      <c r="K478" s="19"/>
      <c r="L478" s="19"/>
      <c r="M478" s="19"/>
      <c r="N478" s="31"/>
      <c r="O478" s="31"/>
      <c r="P478" s="31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</row>
    <row r="479" spans="1:37" ht="46.5" customHeight="1" x14ac:dyDescent="0.7">
      <c r="A479" s="19"/>
      <c r="B479" s="19"/>
      <c r="C479" s="19"/>
      <c r="D479" s="31"/>
      <c r="E479" s="31"/>
      <c r="F479" s="31"/>
      <c r="G479" s="31"/>
      <c r="H479" s="31"/>
      <c r="I479" s="31"/>
      <c r="J479" s="31"/>
      <c r="K479" s="19"/>
      <c r="L479" s="19"/>
      <c r="M479" s="19"/>
      <c r="N479" s="31"/>
      <c r="O479" s="31"/>
      <c r="P479" s="31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</row>
    <row r="480" spans="1:37" ht="46.5" customHeight="1" x14ac:dyDescent="0.7">
      <c r="A480" s="19"/>
      <c r="B480" s="19"/>
      <c r="C480" s="19"/>
      <c r="D480" s="31"/>
      <c r="E480" s="31"/>
      <c r="F480" s="31"/>
      <c r="G480" s="31"/>
      <c r="H480" s="31"/>
      <c r="I480" s="31"/>
      <c r="J480" s="31"/>
      <c r="K480" s="19"/>
      <c r="L480" s="19"/>
      <c r="M480" s="19"/>
      <c r="N480" s="31"/>
      <c r="O480" s="31"/>
      <c r="P480" s="31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</row>
    <row r="481" spans="1:37" ht="46.5" customHeight="1" x14ac:dyDescent="0.7">
      <c r="A481" s="19"/>
      <c r="B481" s="19"/>
      <c r="C481" s="19"/>
      <c r="D481" s="31"/>
      <c r="E481" s="31"/>
      <c r="F481" s="31"/>
      <c r="G481" s="31"/>
      <c r="H481" s="31"/>
      <c r="I481" s="31"/>
      <c r="J481" s="31"/>
      <c r="K481" s="19"/>
      <c r="L481" s="19"/>
      <c r="M481" s="19"/>
      <c r="N481" s="31"/>
      <c r="O481" s="31"/>
      <c r="P481" s="31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</row>
    <row r="482" spans="1:37" ht="46.5" customHeight="1" x14ac:dyDescent="0.7">
      <c r="A482" s="19"/>
      <c r="B482" s="19"/>
      <c r="C482" s="19"/>
      <c r="D482" s="31"/>
      <c r="E482" s="31"/>
      <c r="F482" s="31"/>
      <c r="G482" s="31"/>
      <c r="H482" s="31"/>
      <c r="I482" s="31"/>
      <c r="J482" s="31"/>
      <c r="K482" s="19"/>
      <c r="L482" s="19"/>
      <c r="M482" s="19"/>
      <c r="N482" s="31"/>
      <c r="O482" s="31"/>
      <c r="P482" s="31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</row>
    <row r="483" spans="1:37" ht="46.5" customHeight="1" x14ac:dyDescent="0.7">
      <c r="A483" s="19"/>
      <c r="B483" s="19"/>
      <c r="C483" s="19"/>
      <c r="D483" s="31"/>
      <c r="E483" s="31"/>
      <c r="F483" s="31"/>
      <c r="G483" s="31"/>
      <c r="H483" s="31"/>
      <c r="I483" s="31"/>
      <c r="J483" s="31"/>
      <c r="K483" s="19"/>
      <c r="L483" s="19"/>
      <c r="M483" s="19"/>
      <c r="N483" s="31"/>
      <c r="O483" s="31"/>
      <c r="P483" s="31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</row>
    <row r="484" spans="1:37" ht="46.5" customHeight="1" x14ac:dyDescent="0.7">
      <c r="A484" s="19"/>
      <c r="B484" s="19"/>
      <c r="C484" s="19"/>
      <c r="D484" s="31"/>
      <c r="E484" s="31"/>
      <c r="F484" s="31"/>
      <c r="G484" s="31"/>
      <c r="H484" s="31"/>
      <c r="I484" s="31"/>
      <c r="J484" s="31"/>
      <c r="K484" s="19"/>
      <c r="L484" s="19"/>
      <c r="M484" s="19"/>
      <c r="N484" s="31"/>
      <c r="O484" s="31"/>
      <c r="P484" s="31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</row>
    <row r="485" spans="1:37" ht="46.5" customHeight="1" x14ac:dyDescent="0.7">
      <c r="A485" s="19"/>
      <c r="B485" s="19"/>
      <c r="C485" s="19"/>
      <c r="D485" s="31"/>
      <c r="E485" s="31"/>
      <c r="F485" s="31"/>
      <c r="G485" s="31"/>
      <c r="H485" s="31"/>
      <c r="I485" s="31"/>
      <c r="J485" s="31"/>
      <c r="K485" s="19"/>
      <c r="L485" s="19"/>
      <c r="M485" s="19"/>
      <c r="N485" s="31"/>
      <c r="O485" s="31"/>
      <c r="P485" s="31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</row>
    <row r="486" spans="1:37" ht="46.5" customHeight="1" x14ac:dyDescent="0.7">
      <c r="A486" s="19"/>
      <c r="B486" s="19"/>
      <c r="C486" s="19"/>
      <c r="D486" s="31"/>
      <c r="E486" s="31"/>
      <c r="F486" s="31"/>
      <c r="G486" s="31"/>
      <c r="H486" s="31"/>
      <c r="I486" s="31"/>
      <c r="J486" s="31"/>
      <c r="K486" s="19"/>
      <c r="L486" s="19"/>
      <c r="M486" s="19"/>
      <c r="N486" s="31"/>
      <c r="O486" s="31"/>
      <c r="P486" s="31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</row>
    <row r="487" spans="1:37" ht="46.5" customHeight="1" x14ac:dyDescent="0.7">
      <c r="A487" s="19"/>
      <c r="B487" s="19"/>
      <c r="C487" s="19"/>
      <c r="D487" s="31"/>
      <c r="E487" s="31"/>
      <c r="F487" s="31"/>
      <c r="G487" s="31"/>
      <c r="H487" s="31"/>
      <c r="I487" s="31"/>
      <c r="J487" s="31"/>
      <c r="K487" s="19"/>
      <c r="L487" s="19"/>
      <c r="M487" s="19"/>
      <c r="N487" s="31"/>
      <c r="O487" s="31"/>
      <c r="P487" s="31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</row>
    <row r="488" spans="1:37" ht="46.5" customHeight="1" x14ac:dyDescent="0.7">
      <c r="A488" s="19"/>
      <c r="B488" s="19"/>
      <c r="C488" s="19"/>
      <c r="D488" s="31"/>
      <c r="E488" s="31"/>
      <c r="F488" s="31"/>
      <c r="G488" s="31"/>
      <c r="H488" s="31"/>
      <c r="I488" s="31"/>
      <c r="J488" s="31"/>
      <c r="K488" s="19"/>
      <c r="L488" s="19"/>
      <c r="M488" s="19"/>
      <c r="N488" s="31"/>
      <c r="O488" s="31"/>
      <c r="P488" s="31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</row>
    <row r="489" spans="1:37" ht="46.5" customHeight="1" x14ac:dyDescent="0.7">
      <c r="A489" s="19"/>
      <c r="B489" s="19"/>
      <c r="C489" s="19"/>
      <c r="D489" s="31"/>
      <c r="E489" s="31"/>
      <c r="F489" s="31"/>
      <c r="G489" s="31"/>
      <c r="H489" s="31"/>
      <c r="I489" s="31"/>
      <c r="J489" s="31"/>
      <c r="K489" s="19"/>
      <c r="L489" s="19"/>
      <c r="M489" s="19"/>
      <c r="N489" s="31"/>
      <c r="O489" s="31"/>
      <c r="P489" s="31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</row>
    <row r="490" spans="1:37" ht="46.5" customHeight="1" x14ac:dyDescent="0.7">
      <c r="A490" s="19"/>
      <c r="B490" s="19"/>
      <c r="C490" s="19"/>
      <c r="D490" s="31"/>
      <c r="E490" s="31"/>
      <c r="F490" s="31"/>
      <c r="G490" s="31"/>
      <c r="H490" s="31"/>
      <c r="I490" s="31"/>
      <c r="J490" s="31"/>
      <c r="K490" s="19"/>
      <c r="L490" s="19"/>
      <c r="M490" s="19"/>
      <c r="N490" s="31"/>
      <c r="O490" s="31"/>
      <c r="P490" s="31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</row>
    <row r="491" spans="1:37" ht="46.5" customHeight="1" x14ac:dyDescent="0.7">
      <c r="A491" s="19"/>
      <c r="B491" s="19"/>
      <c r="C491" s="19"/>
      <c r="D491" s="31"/>
      <c r="E491" s="31"/>
      <c r="F491" s="31"/>
      <c r="G491" s="31"/>
      <c r="H491" s="31"/>
      <c r="I491" s="31"/>
      <c r="J491" s="31"/>
      <c r="K491" s="19"/>
      <c r="L491" s="19"/>
      <c r="M491" s="19"/>
      <c r="N491" s="31"/>
      <c r="O491" s="31"/>
      <c r="P491" s="31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</row>
    <row r="492" spans="1:37" ht="46.5" customHeight="1" x14ac:dyDescent="0.7">
      <c r="A492" s="19"/>
      <c r="B492" s="19"/>
      <c r="C492" s="19"/>
      <c r="D492" s="31"/>
      <c r="E492" s="31"/>
      <c r="F492" s="31"/>
      <c r="G492" s="31"/>
      <c r="H492" s="31"/>
      <c r="I492" s="31"/>
      <c r="J492" s="31"/>
      <c r="K492" s="19"/>
      <c r="L492" s="19"/>
      <c r="M492" s="19"/>
      <c r="N492" s="31"/>
      <c r="O492" s="31"/>
      <c r="P492" s="31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</row>
    <row r="493" spans="1:37" ht="46.5" customHeight="1" x14ac:dyDescent="0.7">
      <c r="A493" s="19"/>
      <c r="B493" s="19"/>
      <c r="C493" s="19"/>
      <c r="D493" s="31"/>
      <c r="E493" s="31"/>
      <c r="F493" s="31"/>
      <c r="G493" s="31"/>
      <c r="H493" s="31"/>
      <c r="I493" s="31"/>
      <c r="J493" s="31"/>
      <c r="K493" s="19"/>
      <c r="L493" s="19"/>
      <c r="M493" s="19"/>
      <c r="N493" s="31"/>
      <c r="O493" s="31"/>
      <c r="P493" s="31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</row>
    <row r="494" spans="1:37" ht="46.5" customHeight="1" x14ac:dyDescent="0.7">
      <c r="A494" s="19"/>
      <c r="B494" s="19"/>
      <c r="C494" s="19"/>
      <c r="D494" s="31"/>
      <c r="E494" s="31"/>
      <c r="F494" s="31"/>
      <c r="G494" s="31"/>
      <c r="H494" s="31"/>
      <c r="I494" s="31"/>
      <c r="J494" s="31"/>
      <c r="K494" s="19"/>
      <c r="L494" s="19"/>
      <c r="M494" s="19"/>
      <c r="N494" s="31"/>
      <c r="O494" s="31"/>
      <c r="P494" s="31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</row>
    <row r="495" spans="1:37" ht="46.5" customHeight="1" x14ac:dyDescent="0.7">
      <c r="A495" s="19"/>
      <c r="B495" s="19"/>
      <c r="C495" s="19"/>
      <c r="D495" s="31"/>
      <c r="E495" s="31"/>
      <c r="F495" s="31"/>
      <c r="G495" s="31"/>
      <c r="H495" s="31"/>
      <c r="I495" s="31"/>
      <c r="J495" s="31"/>
      <c r="K495" s="19"/>
      <c r="L495" s="19"/>
      <c r="M495" s="19"/>
      <c r="N495" s="31"/>
      <c r="O495" s="31"/>
      <c r="P495" s="31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</row>
    <row r="496" spans="1:37" ht="46.5" customHeight="1" x14ac:dyDescent="0.7">
      <c r="A496" s="19"/>
      <c r="B496" s="19"/>
      <c r="C496" s="19"/>
      <c r="D496" s="31"/>
      <c r="E496" s="31"/>
      <c r="F496" s="31"/>
      <c r="G496" s="31"/>
      <c r="H496" s="31"/>
      <c r="I496" s="31"/>
      <c r="J496" s="31"/>
      <c r="K496" s="19"/>
      <c r="L496" s="19"/>
      <c r="M496" s="19"/>
      <c r="N496" s="31"/>
      <c r="O496" s="31"/>
      <c r="P496" s="31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</row>
    <row r="497" spans="1:37" ht="46.5" customHeight="1" x14ac:dyDescent="0.7">
      <c r="A497" s="19"/>
      <c r="B497" s="19"/>
      <c r="C497" s="19"/>
      <c r="D497" s="31"/>
      <c r="E497" s="31"/>
      <c r="F497" s="31"/>
      <c r="G497" s="31"/>
      <c r="H497" s="31"/>
      <c r="I497" s="31"/>
      <c r="J497" s="31"/>
      <c r="K497" s="19"/>
      <c r="L497" s="19"/>
      <c r="M497" s="19"/>
      <c r="N497" s="31"/>
      <c r="O497" s="31"/>
      <c r="P497" s="31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</row>
    <row r="498" spans="1:37" ht="46.5" customHeight="1" x14ac:dyDescent="0.7">
      <c r="A498" s="19"/>
      <c r="B498" s="19"/>
      <c r="C498" s="19"/>
      <c r="D498" s="31"/>
      <c r="E498" s="31"/>
      <c r="F498" s="31"/>
      <c r="G498" s="31"/>
      <c r="H498" s="31"/>
      <c r="I498" s="31"/>
      <c r="J498" s="31"/>
      <c r="K498" s="19"/>
      <c r="L498" s="19"/>
      <c r="M498" s="19"/>
      <c r="N498" s="31"/>
      <c r="O498" s="31"/>
      <c r="P498" s="31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</row>
    <row r="499" spans="1:37" ht="46.5" customHeight="1" x14ac:dyDescent="0.7">
      <c r="A499" s="19"/>
      <c r="B499" s="19"/>
      <c r="C499" s="19"/>
      <c r="D499" s="31"/>
      <c r="E499" s="31"/>
      <c r="F499" s="31"/>
      <c r="G499" s="31"/>
      <c r="H499" s="31"/>
      <c r="I499" s="31"/>
      <c r="J499" s="31"/>
      <c r="K499" s="19"/>
      <c r="L499" s="19"/>
      <c r="M499" s="19"/>
      <c r="N499" s="31"/>
      <c r="O499" s="31"/>
      <c r="P499" s="31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</row>
    <row r="500" spans="1:37" ht="46.5" customHeight="1" x14ac:dyDescent="0.7">
      <c r="A500" s="19"/>
      <c r="B500" s="19"/>
      <c r="C500" s="19"/>
      <c r="D500" s="31"/>
      <c r="E500" s="31"/>
      <c r="F500" s="31"/>
      <c r="G500" s="31"/>
      <c r="H500" s="31"/>
      <c r="I500" s="31"/>
      <c r="J500" s="31"/>
      <c r="K500" s="19"/>
      <c r="L500" s="19"/>
      <c r="M500" s="19"/>
      <c r="N500" s="31"/>
      <c r="O500" s="31"/>
      <c r="P500" s="31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</row>
    <row r="501" spans="1:37" ht="46.5" customHeight="1" x14ac:dyDescent="0.7">
      <c r="A501" s="19"/>
      <c r="B501" s="19"/>
      <c r="C501" s="19"/>
      <c r="D501" s="31"/>
      <c r="E501" s="31"/>
      <c r="F501" s="31"/>
      <c r="G501" s="31"/>
      <c r="H501" s="31"/>
      <c r="I501" s="31"/>
      <c r="J501" s="31"/>
      <c r="K501" s="19"/>
      <c r="L501" s="19"/>
      <c r="M501" s="19"/>
      <c r="N501" s="31"/>
      <c r="O501" s="31"/>
      <c r="P501" s="31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</row>
    <row r="502" spans="1:37" ht="46.5" customHeight="1" x14ac:dyDescent="0.7">
      <c r="A502" s="19"/>
      <c r="B502" s="19"/>
      <c r="C502" s="19"/>
      <c r="D502" s="31"/>
      <c r="E502" s="31"/>
      <c r="F502" s="31"/>
      <c r="G502" s="31"/>
      <c r="H502" s="31"/>
      <c r="I502" s="31"/>
      <c r="J502" s="31"/>
      <c r="K502" s="19"/>
      <c r="L502" s="19"/>
      <c r="M502" s="19"/>
      <c r="N502" s="31"/>
      <c r="O502" s="31"/>
      <c r="P502" s="31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</row>
    <row r="503" spans="1:37" ht="46.5" customHeight="1" x14ac:dyDescent="0.7">
      <c r="A503" s="19"/>
      <c r="B503" s="19"/>
      <c r="C503" s="19"/>
      <c r="D503" s="31"/>
      <c r="E503" s="31"/>
      <c r="F503" s="31"/>
      <c r="G503" s="31"/>
      <c r="H503" s="31"/>
      <c r="I503" s="31"/>
      <c r="J503" s="31"/>
      <c r="K503" s="19"/>
      <c r="L503" s="19"/>
      <c r="M503" s="19"/>
      <c r="N503" s="31"/>
      <c r="O503" s="31"/>
      <c r="P503" s="31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</row>
    <row r="504" spans="1:37" ht="46.5" customHeight="1" x14ac:dyDescent="0.7">
      <c r="A504" s="19"/>
      <c r="B504" s="19"/>
      <c r="C504" s="19"/>
      <c r="D504" s="31"/>
      <c r="E504" s="31"/>
      <c r="F504" s="31"/>
      <c r="G504" s="31"/>
      <c r="H504" s="31"/>
      <c r="I504" s="31"/>
      <c r="J504" s="31"/>
      <c r="K504" s="19"/>
      <c r="L504" s="19"/>
      <c r="M504" s="19"/>
      <c r="N504" s="31"/>
      <c r="O504" s="31"/>
      <c r="P504" s="31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</row>
    <row r="505" spans="1:37" ht="46.5" customHeight="1" x14ac:dyDescent="0.7">
      <c r="A505" s="19"/>
      <c r="B505" s="19"/>
      <c r="C505" s="19"/>
      <c r="D505" s="31"/>
      <c r="E505" s="31"/>
      <c r="F505" s="31"/>
      <c r="G505" s="31"/>
      <c r="H505" s="31"/>
      <c r="I505" s="31"/>
      <c r="J505" s="31"/>
      <c r="K505" s="19"/>
      <c r="L505" s="19"/>
      <c r="M505" s="19"/>
      <c r="N505" s="31"/>
      <c r="O505" s="31"/>
      <c r="P505" s="31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</row>
    <row r="506" spans="1:37" ht="46.5" customHeight="1" x14ac:dyDescent="0.7">
      <c r="A506" s="19"/>
      <c r="B506" s="19"/>
      <c r="C506" s="19"/>
      <c r="D506" s="31"/>
      <c r="E506" s="31"/>
      <c r="F506" s="31"/>
      <c r="G506" s="31"/>
      <c r="H506" s="31"/>
      <c r="I506" s="31"/>
      <c r="J506" s="31"/>
      <c r="K506" s="19"/>
      <c r="L506" s="19"/>
      <c r="M506" s="19"/>
      <c r="N506" s="31"/>
      <c r="O506" s="31"/>
      <c r="P506" s="31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</row>
    <row r="507" spans="1:37" ht="46.5" customHeight="1" x14ac:dyDescent="0.7">
      <c r="A507" s="19"/>
      <c r="B507" s="19"/>
      <c r="C507" s="19"/>
      <c r="D507" s="31"/>
      <c r="E507" s="31"/>
      <c r="F507" s="31"/>
      <c r="G507" s="31"/>
      <c r="H507" s="31"/>
      <c r="I507" s="31"/>
      <c r="J507" s="31"/>
      <c r="K507" s="19"/>
      <c r="L507" s="19"/>
      <c r="M507" s="19"/>
      <c r="N507" s="31"/>
      <c r="O507" s="31"/>
      <c r="P507" s="31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</row>
    <row r="508" spans="1:37" ht="46.5" customHeight="1" x14ac:dyDescent="0.7">
      <c r="A508" s="19"/>
      <c r="B508" s="19"/>
      <c r="C508" s="19"/>
      <c r="D508" s="31"/>
      <c r="E508" s="31"/>
      <c r="F508" s="31"/>
      <c r="G508" s="31"/>
      <c r="H508" s="31"/>
      <c r="I508" s="31"/>
      <c r="J508" s="31"/>
      <c r="K508" s="19"/>
      <c r="L508" s="19"/>
      <c r="M508" s="19"/>
      <c r="N508" s="31"/>
      <c r="O508" s="31"/>
      <c r="P508" s="31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</row>
    <row r="509" spans="1:37" ht="46.5" customHeight="1" x14ac:dyDescent="0.7">
      <c r="A509" s="19"/>
      <c r="B509" s="19"/>
      <c r="C509" s="19"/>
      <c r="D509" s="31"/>
      <c r="E509" s="31"/>
      <c r="F509" s="31"/>
      <c r="G509" s="31"/>
      <c r="H509" s="31"/>
      <c r="I509" s="31"/>
      <c r="J509" s="31"/>
      <c r="K509" s="19"/>
      <c r="L509" s="19"/>
      <c r="M509" s="19"/>
      <c r="N509" s="31"/>
      <c r="O509" s="31"/>
      <c r="P509" s="31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</row>
    <row r="510" spans="1:37" ht="46.5" customHeight="1" x14ac:dyDescent="0.7">
      <c r="A510" s="19"/>
      <c r="B510" s="19"/>
      <c r="C510" s="19"/>
      <c r="D510" s="31"/>
      <c r="E510" s="31"/>
      <c r="F510" s="31"/>
      <c r="G510" s="31"/>
      <c r="H510" s="31"/>
      <c r="I510" s="31"/>
      <c r="J510" s="31"/>
      <c r="K510" s="19"/>
      <c r="L510" s="19"/>
      <c r="M510" s="19"/>
      <c r="N510" s="31"/>
      <c r="O510" s="31"/>
      <c r="P510" s="31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</row>
    <row r="511" spans="1:37" ht="46.5" customHeight="1" x14ac:dyDescent="0.7">
      <c r="A511" s="19"/>
      <c r="B511" s="19"/>
      <c r="C511" s="19"/>
      <c r="D511" s="31"/>
      <c r="E511" s="31"/>
      <c r="F511" s="31"/>
      <c r="G511" s="31"/>
      <c r="H511" s="31"/>
      <c r="I511" s="31"/>
      <c r="J511" s="31"/>
      <c r="K511" s="19"/>
      <c r="L511" s="19"/>
      <c r="M511" s="19"/>
      <c r="N511" s="31"/>
      <c r="O511" s="31"/>
      <c r="P511" s="31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</row>
    <row r="512" spans="1:37" ht="46.5" customHeight="1" x14ac:dyDescent="0.7">
      <c r="A512" s="19"/>
      <c r="B512" s="19"/>
      <c r="C512" s="19"/>
      <c r="D512" s="31"/>
      <c r="E512" s="31"/>
      <c r="F512" s="31"/>
      <c r="G512" s="31"/>
      <c r="H512" s="31"/>
      <c r="I512" s="31"/>
      <c r="J512" s="31"/>
      <c r="K512" s="19"/>
      <c r="L512" s="19"/>
      <c r="M512" s="19"/>
      <c r="N512" s="31"/>
      <c r="O512" s="31"/>
      <c r="P512" s="31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</row>
    <row r="513" spans="1:37" ht="46.5" customHeight="1" x14ac:dyDescent="0.7">
      <c r="A513" s="19"/>
      <c r="B513" s="19"/>
      <c r="C513" s="19"/>
      <c r="D513" s="31"/>
      <c r="E513" s="31"/>
      <c r="F513" s="31"/>
      <c r="G513" s="31"/>
      <c r="H513" s="31"/>
      <c r="I513" s="31"/>
      <c r="J513" s="31"/>
      <c r="K513" s="19"/>
      <c r="L513" s="19"/>
      <c r="M513" s="19"/>
      <c r="N513" s="31"/>
      <c r="O513" s="31"/>
      <c r="P513" s="31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</row>
    <row r="514" spans="1:37" ht="46.5" customHeight="1" x14ac:dyDescent="0.7">
      <c r="A514" s="19"/>
      <c r="B514" s="19"/>
      <c r="C514" s="19"/>
      <c r="D514" s="31"/>
      <c r="E514" s="31"/>
      <c r="F514" s="31"/>
      <c r="G514" s="31"/>
      <c r="H514" s="31"/>
      <c r="I514" s="31"/>
      <c r="J514" s="31"/>
      <c r="K514" s="19"/>
      <c r="L514" s="19"/>
      <c r="M514" s="19"/>
      <c r="N514" s="31"/>
      <c r="O514" s="31"/>
      <c r="P514" s="31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</row>
    <row r="515" spans="1:37" ht="46.5" customHeight="1" x14ac:dyDescent="0.7">
      <c r="A515" s="19"/>
      <c r="B515" s="19"/>
      <c r="C515" s="19"/>
      <c r="D515" s="31"/>
      <c r="E515" s="31"/>
      <c r="F515" s="31"/>
      <c r="G515" s="31"/>
      <c r="H515" s="31"/>
      <c r="I515" s="31"/>
      <c r="J515" s="31"/>
      <c r="K515" s="19"/>
      <c r="L515" s="19"/>
      <c r="M515" s="19"/>
      <c r="N515" s="31"/>
      <c r="O515" s="31"/>
      <c r="P515" s="31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</row>
    <row r="516" spans="1:37" ht="46.5" customHeight="1" x14ac:dyDescent="0.7">
      <c r="A516" s="19"/>
      <c r="B516" s="19"/>
      <c r="C516" s="19"/>
      <c r="D516" s="31"/>
      <c r="E516" s="31"/>
      <c r="F516" s="31"/>
      <c r="G516" s="31"/>
      <c r="H516" s="31"/>
      <c r="I516" s="31"/>
      <c r="J516" s="31"/>
      <c r="K516" s="19"/>
      <c r="L516" s="19"/>
      <c r="M516" s="19"/>
      <c r="N516" s="31"/>
      <c r="O516" s="31"/>
      <c r="P516" s="31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</row>
    <row r="517" spans="1:37" ht="46.5" customHeight="1" x14ac:dyDescent="0.7">
      <c r="A517" s="19"/>
      <c r="B517" s="19"/>
      <c r="C517" s="19"/>
      <c r="D517" s="31"/>
      <c r="E517" s="31"/>
      <c r="F517" s="31"/>
      <c r="G517" s="31"/>
      <c r="H517" s="31"/>
      <c r="I517" s="31"/>
      <c r="J517" s="31"/>
      <c r="K517" s="19"/>
      <c r="L517" s="19"/>
      <c r="M517" s="19"/>
      <c r="N517" s="31"/>
      <c r="O517" s="31"/>
      <c r="P517" s="31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</row>
    <row r="518" spans="1:37" ht="46.5" customHeight="1" x14ac:dyDescent="0.7">
      <c r="A518" s="19"/>
      <c r="B518" s="19"/>
      <c r="C518" s="19"/>
      <c r="D518" s="31"/>
      <c r="E518" s="31"/>
      <c r="F518" s="31"/>
      <c r="G518" s="31"/>
      <c r="H518" s="31"/>
      <c r="I518" s="31"/>
      <c r="J518" s="31"/>
      <c r="K518" s="19"/>
      <c r="L518" s="19"/>
      <c r="M518" s="19"/>
      <c r="N518" s="31"/>
      <c r="O518" s="31"/>
      <c r="P518" s="31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</row>
    <row r="519" spans="1:37" ht="46.5" customHeight="1" x14ac:dyDescent="0.7">
      <c r="A519" s="19"/>
      <c r="B519" s="19"/>
      <c r="C519" s="19"/>
      <c r="D519" s="31"/>
      <c r="E519" s="31"/>
      <c r="F519" s="31"/>
      <c r="G519" s="31"/>
      <c r="H519" s="31"/>
      <c r="I519" s="31"/>
      <c r="J519" s="31"/>
      <c r="K519" s="19"/>
      <c r="L519" s="19"/>
      <c r="M519" s="19"/>
      <c r="N519" s="31"/>
      <c r="O519" s="31"/>
      <c r="P519" s="31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</row>
    <row r="520" spans="1:37" ht="46.5" customHeight="1" x14ac:dyDescent="0.7">
      <c r="A520" s="19"/>
      <c r="B520" s="19"/>
      <c r="C520" s="19"/>
      <c r="D520" s="31"/>
      <c r="E520" s="31"/>
      <c r="F520" s="31"/>
      <c r="G520" s="31"/>
      <c r="H520" s="31"/>
      <c r="I520" s="31"/>
      <c r="J520" s="31"/>
      <c r="K520" s="19"/>
      <c r="L520" s="19"/>
      <c r="M520" s="19"/>
      <c r="N520" s="31"/>
      <c r="O520" s="31"/>
      <c r="P520" s="31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</row>
    <row r="521" spans="1:37" ht="46.5" customHeight="1" x14ac:dyDescent="0.7">
      <c r="A521" s="19"/>
      <c r="B521" s="19"/>
      <c r="C521" s="19"/>
      <c r="D521" s="31"/>
      <c r="E521" s="31"/>
      <c r="F521" s="31"/>
      <c r="G521" s="31"/>
      <c r="H521" s="31"/>
      <c r="I521" s="31"/>
      <c r="J521" s="31"/>
      <c r="K521" s="19"/>
      <c r="L521" s="19"/>
      <c r="M521" s="19"/>
      <c r="N521" s="31"/>
      <c r="O521" s="31"/>
      <c r="P521" s="31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</row>
    <row r="522" spans="1:37" ht="46.5" customHeight="1" x14ac:dyDescent="0.7">
      <c r="A522" s="19"/>
      <c r="B522" s="19"/>
      <c r="C522" s="19"/>
      <c r="D522" s="31"/>
      <c r="E522" s="31"/>
      <c r="F522" s="31"/>
      <c r="G522" s="31"/>
      <c r="H522" s="31"/>
      <c r="I522" s="31"/>
      <c r="J522" s="31"/>
      <c r="K522" s="19"/>
      <c r="L522" s="19"/>
      <c r="M522" s="19"/>
      <c r="N522" s="31"/>
      <c r="O522" s="31"/>
      <c r="P522" s="31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</row>
    <row r="523" spans="1:37" ht="46.5" customHeight="1" x14ac:dyDescent="0.7">
      <c r="A523" s="19"/>
      <c r="B523" s="19"/>
      <c r="C523" s="19"/>
      <c r="D523" s="31"/>
      <c r="E523" s="31"/>
      <c r="F523" s="31"/>
      <c r="G523" s="31"/>
      <c r="H523" s="31"/>
      <c r="I523" s="31"/>
      <c r="J523" s="31"/>
      <c r="K523" s="19"/>
      <c r="L523" s="19"/>
      <c r="M523" s="19"/>
      <c r="N523" s="31"/>
      <c r="O523" s="31"/>
      <c r="P523" s="31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</row>
    <row r="524" spans="1:37" ht="46.5" customHeight="1" x14ac:dyDescent="0.7">
      <c r="A524" s="19"/>
      <c r="B524" s="19"/>
      <c r="C524" s="19"/>
      <c r="D524" s="31"/>
      <c r="E524" s="31"/>
      <c r="F524" s="31"/>
      <c r="G524" s="31"/>
      <c r="H524" s="31"/>
      <c r="I524" s="31"/>
      <c r="J524" s="31"/>
      <c r="K524" s="19"/>
      <c r="L524" s="19"/>
      <c r="M524" s="19"/>
      <c r="N524" s="31"/>
      <c r="O524" s="31"/>
      <c r="P524" s="31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</row>
    <row r="525" spans="1:37" ht="46.5" customHeight="1" x14ac:dyDescent="0.7">
      <c r="A525" s="19"/>
      <c r="B525" s="19"/>
      <c r="C525" s="19"/>
      <c r="D525" s="31"/>
      <c r="E525" s="31"/>
      <c r="F525" s="31"/>
      <c r="G525" s="31"/>
      <c r="H525" s="31"/>
      <c r="I525" s="31"/>
      <c r="J525" s="31"/>
      <c r="K525" s="19"/>
      <c r="L525" s="19"/>
      <c r="M525" s="19"/>
      <c r="N525" s="31"/>
      <c r="O525" s="31"/>
      <c r="P525" s="31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</row>
    <row r="526" spans="1:37" ht="46.5" customHeight="1" x14ac:dyDescent="0.7">
      <c r="A526" s="19"/>
      <c r="B526" s="19"/>
      <c r="C526" s="19"/>
      <c r="D526" s="31"/>
      <c r="E526" s="31"/>
      <c r="F526" s="31"/>
      <c r="G526" s="31"/>
      <c r="H526" s="31"/>
      <c r="I526" s="31"/>
      <c r="J526" s="31"/>
      <c r="K526" s="19"/>
      <c r="L526" s="19"/>
      <c r="M526" s="19"/>
      <c r="N526" s="31"/>
      <c r="O526" s="31"/>
      <c r="P526" s="31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</row>
    <row r="527" spans="1:37" ht="46.5" customHeight="1" x14ac:dyDescent="0.7">
      <c r="A527" s="19"/>
      <c r="B527" s="19"/>
      <c r="C527" s="19"/>
      <c r="D527" s="31"/>
      <c r="E527" s="31"/>
      <c r="F527" s="31"/>
      <c r="G527" s="31"/>
      <c r="H527" s="31"/>
      <c r="I527" s="31"/>
      <c r="J527" s="31"/>
      <c r="K527" s="19"/>
      <c r="L527" s="19"/>
      <c r="M527" s="19"/>
      <c r="N527" s="31"/>
      <c r="O527" s="31"/>
      <c r="P527" s="31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</row>
    <row r="528" spans="1:37" ht="46.5" customHeight="1" x14ac:dyDescent="0.7">
      <c r="A528" s="19"/>
      <c r="B528" s="19"/>
      <c r="C528" s="19"/>
      <c r="D528" s="31"/>
      <c r="E528" s="31"/>
      <c r="F528" s="31"/>
      <c r="G528" s="31"/>
      <c r="H528" s="31"/>
      <c r="I528" s="31"/>
      <c r="J528" s="31"/>
      <c r="K528" s="19"/>
      <c r="L528" s="19"/>
      <c r="M528" s="19"/>
      <c r="N528" s="31"/>
      <c r="O528" s="31"/>
      <c r="P528" s="31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</row>
    <row r="529" spans="1:37" ht="46.5" customHeight="1" x14ac:dyDescent="0.7">
      <c r="A529" s="19"/>
      <c r="B529" s="19"/>
      <c r="C529" s="19"/>
      <c r="D529" s="31"/>
      <c r="E529" s="31"/>
      <c r="F529" s="31"/>
      <c r="G529" s="31"/>
      <c r="H529" s="31"/>
      <c r="I529" s="31"/>
      <c r="J529" s="31"/>
      <c r="K529" s="19"/>
      <c r="L529" s="19"/>
      <c r="M529" s="19"/>
      <c r="N529" s="31"/>
      <c r="O529" s="31"/>
      <c r="P529" s="31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</row>
    <row r="530" spans="1:37" ht="46.5" customHeight="1" x14ac:dyDescent="0.7">
      <c r="A530" s="19"/>
      <c r="B530" s="19"/>
      <c r="C530" s="19"/>
      <c r="D530" s="31"/>
      <c r="E530" s="31"/>
      <c r="F530" s="31"/>
      <c r="G530" s="31"/>
      <c r="H530" s="31"/>
      <c r="I530" s="31"/>
      <c r="J530" s="31"/>
      <c r="K530" s="19"/>
      <c r="L530" s="19"/>
      <c r="M530" s="19"/>
      <c r="N530" s="31"/>
      <c r="O530" s="31"/>
      <c r="P530" s="31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</row>
    <row r="531" spans="1:37" ht="46.5" customHeight="1" x14ac:dyDescent="0.7">
      <c r="A531" s="19"/>
      <c r="B531" s="19"/>
      <c r="C531" s="19"/>
      <c r="D531" s="31"/>
      <c r="E531" s="31"/>
      <c r="F531" s="31"/>
      <c r="G531" s="31"/>
      <c r="H531" s="31"/>
      <c r="I531" s="31"/>
      <c r="J531" s="31"/>
      <c r="K531" s="19"/>
      <c r="L531" s="19"/>
      <c r="M531" s="19"/>
      <c r="N531" s="31"/>
      <c r="O531" s="31"/>
      <c r="P531" s="31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</row>
    <row r="532" spans="1:37" ht="46.5" customHeight="1" x14ac:dyDescent="0.7">
      <c r="A532" s="19"/>
      <c r="B532" s="19"/>
      <c r="C532" s="19"/>
      <c r="D532" s="31"/>
      <c r="E532" s="31"/>
      <c r="F532" s="31"/>
      <c r="G532" s="31"/>
      <c r="H532" s="31"/>
      <c r="I532" s="31"/>
      <c r="J532" s="31"/>
      <c r="K532" s="19"/>
      <c r="L532" s="19"/>
      <c r="M532" s="19"/>
      <c r="N532" s="31"/>
      <c r="O532" s="31"/>
      <c r="P532" s="31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</row>
    <row r="533" spans="1:37" ht="46.5" customHeight="1" x14ac:dyDescent="0.7">
      <c r="A533" s="19"/>
      <c r="B533" s="19"/>
      <c r="C533" s="19"/>
      <c r="D533" s="31"/>
      <c r="E533" s="31"/>
      <c r="F533" s="31"/>
      <c r="G533" s="31"/>
      <c r="H533" s="31"/>
      <c r="I533" s="31"/>
      <c r="J533" s="31"/>
      <c r="K533" s="19"/>
      <c r="L533" s="19"/>
      <c r="M533" s="19"/>
      <c r="N533" s="31"/>
      <c r="O533" s="31"/>
      <c r="P533" s="31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</row>
    <row r="534" spans="1:37" ht="46.5" customHeight="1" x14ac:dyDescent="0.7">
      <c r="A534" s="19"/>
      <c r="B534" s="19"/>
      <c r="C534" s="19"/>
      <c r="D534" s="31"/>
      <c r="E534" s="31"/>
      <c r="F534" s="31"/>
      <c r="G534" s="31"/>
      <c r="H534" s="31"/>
      <c r="I534" s="31"/>
      <c r="J534" s="31"/>
      <c r="K534" s="19"/>
      <c r="L534" s="19"/>
      <c r="M534" s="19"/>
      <c r="N534" s="31"/>
      <c r="O534" s="31"/>
      <c r="P534" s="31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</row>
    <row r="535" spans="1:37" ht="46.5" customHeight="1" x14ac:dyDescent="0.7">
      <c r="A535" s="19"/>
      <c r="B535" s="19"/>
      <c r="C535" s="19"/>
      <c r="D535" s="31"/>
      <c r="E535" s="31"/>
      <c r="F535" s="31"/>
      <c r="G535" s="31"/>
      <c r="H535" s="31"/>
      <c r="I535" s="31"/>
      <c r="J535" s="31"/>
      <c r="K535" s="19"/>
      <c r="L535" s="19"/>
      <c r="M535" s="19"/>
      <c r="N535" s="31"/>
      <c r="O535" s="31"/>
      <c r="P535" s="31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</row>
    <row r="536" spans="1:37" ht="46.5" customHeight="1" x14ac:dyDescent="0.7">
      <c r="A536" s="19"/>
      <c r="B536" s="19"/>
      <c r="C536" s="19"/>
      <c r="D536" s="31"/>
      <c r="E536" s="31"/>
      <c r="F536" s="31"/>
      <c r="G536" s="31"/>
      <c r="H536" s="31"/>
      <c r="I536" s="31"/>
      <c r="J536" s="31"/>
      <c r="K536" s="19"/>
      <c r="L536" s="19"/>
      <c r="M536" s="19"/>
      <c r="N536" s="31"/>
      <c r="O536" s="31"/>
      <c r="P536" s="31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</row>
    <row r="537" spans="1:37" ht="46.5" customHeight="1" x14ac:dyDescent="0.7">
      <c r="A537" s="19"/>
      <c r="B537" s="19"/>
      <c r="C537" s="19"/>
      <c r="D537" s="31"/>
      <c r="E537" s="31"/>
      <c r="F537" s="31"/>
      <c r="G537" s="31"/>
      <c r="H537" s="31"/>
      <c r="I537" s="31"/>
      <c r="J537" s="31"/>
      <c r="K537" s="19"/>
      <c r="L537" s="19"/>
      <c r="M537" s="19"/>
      <c r="N537" s="31"/>
      <c r="O537" s="31"/>
      <c r="P537" s="31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</row>
    <row r="538" spans="1:37" ht="46.5" customHeight="1" x14ac:dyDescent="0.7">
      <c r="A538" s="19"/>
      <c r="B538" s="19"/>
      <c r="C538" s="19"/>
      <c r="D538" s="31"/>
      <c r="E538" s="31"/>
      <c r="F538" s="31"/>
      <c r="G538" s="31"/>
      <c r="H538" s="31"/>
      <c r="I538" s="31"/>
      <c r="J538" s="31"/>
      <c r="K538" s="19"/>
      <c r="L538" s="19"/>
      <c r="M538" s="19"/>
      <c r="N538" s="31"/>
      <c r="O538" s="31"/>
      <c r="P538" s="31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</row>
    <row r="539" spans="1:37" ht="46.5" customHeight="1" x14ac:dyDescent="0.7">
      <c r="A539" s="19"/>
      <c r="B539" s="19"/>
      <c r="C539" s="19"/>
      <c r="D539" s="31"/>
      <c r="E539" s="31"/>
      <c r="F539" s="31"/>
      <c r="G539" s="31"/>
      <c r="H539" s="31"/>
      <c r="I539" s="31"/>
      <c r="J539" s="31"/>
      <c r="K539" s="19"/>
      <c r="L539" s="19"/>
      <c r="M539" s="19"/>
      <c r="N539" s="31"/>
      <c r="O539" s="31"/>
      <c r="P539" s="31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</row>
    <row r="540" spans="1:37" ht="46.5" customHeight="1" x14ac:dyDescent="0.7">
      <c r="A540" s="19"/>
      <c r="B540" s="19"/>
      <c r="C540" s="19"/>
      <c r="D540" s="31"/>
      <c r="E540" s="31"/>
      <c r="F540" s="31"/>
      <c r="G540" s="31"/>
      <c r="H540" s="31"/>
      <c r="I540" s="31"/>
      <c r="J540" s="31"/>
      <c r="K540" s="19"/>
      <c r="L540" s="19"/>
      <c r="M540" s="19"/>
      <c r="N540" s="31"/>
      <c r="O540" s="31"/>
      <c r="P540" s="31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</row>
    <row r="541" spans="1:37" ht="46.5" customHeight="1" x14ac:dyDescent="0.7">
      <c r="A541" s="19"/>
      <c r="B541" s="19"/>
      <c r="C541" s="19"/>
      <c r="D541" s="31"/>
      <c r="E541" s="31"/>
      <c r="F541" s="31"/>
      <c r="G541" s="31"/>
      <c r="H541" s="31"/>
      <c r="I541" s="31"/>
      <c r="J541" s="31"/>
      <c r="K541" s="19"/>
      <c r="L541" s="19"/>
      <c r="M541" s="19"/>
      <c r="N541" s="31"/>
      <c r="O541" s="31"/>
      <c r="P541" s="31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</row>
    <row r="542" spans="1:37" ht="46.5" customHeight="1" x14ac:dyDescent="0.7">
      <c r="A542" s="19"/>
      <c r="B542" s="19"/>
      <c r="C542" s="19"/>
      <c r="D542" s="31"/>
      <c r="E542" s="31"/>
      <c r="F542" s="31"/>
      <c r="G542" s="31"/>
      <c r="H542" s="31"/>
      <c r="I542" s="31"/>
      <c r="J542" s="31"/>
      <c r="K542" s="19"/>
      <c r="L542" s="19"/>
      <c r="M542" s="19"/>
      <c r="N542" s="31"/>
      <c r="O542" s="31"/>
      <c r="P542" s="31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</row>
    <row r="543" spans="1:37" ht="46.5" customHeight="1" x14ac:dyDescent="0.7">
      <c r="A543" s="19"/>
      <c r="B543" s="19"/>
      <c r="C543" s="19"/>
      <c r="D543" s="31"/>
      <c r="E543" s="31"/>
      <c r="F543" s="31"/>
      <c r="G543" s="31"/>
      <c r="H543" s="31"/>
      <c r="I543" s="31"/>
      <c r="J543" s="31"/>
      <c r="K543" s="19"/>
      <c r="L543" s="19"/>
      <c r="M543" s="19"/>
      <c r="N543" s="31"/>
      <c r="O543" s="31"/>
      <c r="P543" s="31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</row>
    <row r="544" spans="1:37" ht="46.5" customHeight="1" x14ac:dyDescent="0.7">
      <c r="A544" s="19"/>
      <c r="B544" s="19"/>
      <c r="C544" s="19"/>
      <c r="D544" s="31"/>
      <c r="E544" s="31"/>
      <c r="F544" s="31"/>
      <c r="G544" s="31"/>
      <c r="H544" s="31"/>
      <c r="I544" s="31"/>
      <c r="J544" s="31"/>
      <c r="K544" s="19"/>
      <c r="L544" s="19"/>
      <c r="M544" s="19"/>
      <c r="N544" s="31"/>
      <c r="O544" s="31"/>
      <c r="P544" s="31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</row>
    <row r="545" spans="1:37" ht="46.5" customHeight="1" x14ac:dyDescent="0.7">
      <c r="A545" s="19"/>
      <c r="B545" s="19"/>
      <c r="C545" s="19"/>
      <c r="D545" s="31"/>
      <c r="E545" s="31"/>
      <c r="F545" s="31"/>
      <c r="G545" s="31"/>
      <c r="H545" s="31"/>
      <c r="I545" s="31"/>
      <c r="J545" s="31"/>
      <c r="K545" s="19"/>
      <c r="L545" s="19"/>
      <c r="M545" s="19"/>
      <c r="N545" s="31"/>
      <c r="O545" s="31"/>
      <c r="P545" s="31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</row>
    <row r="546" spans="1:37" ht="46.5" customHeight="1" x14ac:dyDescent="0.7">
      <c r="A546" s="19"/>
      <c r="B546" s="19"/>
      <c r="C546" s="19"/>
      <c r="D546" s="31"/>
      <c r="E546" s="31"/>
      <c r="F546" s="31"/>
      <c r="G546" s="31"/>
      <c r="H546" s="31"/>
      <c r="I546" s="31"/>
      <c r="J546" s="31"/>
      <c r="K546" s="19"/>
      <c r="L546" s="19"/>
      <c r="M546" s="19"/>
      <c r="N546" s="31"/>
      <c r="O546" s="31"/>
      <c r="P546" s="31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</row>
    <row r="547" spans="1:37" ht="46.5" customHeight="1" x14ac:dyDescent="0.7">
      <c r="A547" s="19"/>
      <c r="B547" s="19"/>
      <c r="C547" s="19"/>
      <c r="D547" s="31"/>
      <c r="E547" s="31"/>
      <c r="F547" s="31"/>
      <c r="G547" s="31"/>
      <c r="H547" s="31"/>
      <c r="I547" s="31"/>
      <c r="J547" s="31"/>
      <c r="K547" s="19"/>
      <c r="L547" s="19"/>
      <c r="M547" s="19"/>
      <c r="N547" s="31"/>
      <c r="O547" s="31"/>
      <c r="P547" s="31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</row>
    <row r="548" spans="1:37" ht="46.5" customHeight="1" x14ac:dyDescent="0.7">
      <c r="A548" s="19"/>
      <c r="B548" s="19"/>
      <c r="C548" s="19"/>
      <c r="D548" s="31"/>
      <c r="E548" s="31"/>
      <c r="F548" s="31"/>
      <c r="G548" s="31"/>
      <c r="H548" s="31"/>
      <c r="I548" s="31"/>
      <c r="J548" s="31"/>
      <c r="K548" s="19"/>
      <c r="L548" s="19"/>
      <c r="M548" s="19"/>
      <c r="N548" s="31"/>
      <c r="O548" s="31"/>
      <c r="P548" s="31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</row>
    <row r="549" spans="1:37" ht="46.5" customHeight="1" x14ac:dyDescent="0.7">
      <c r="A549" s="19"/>
      <c r="B549" s="19"/>
      <c r="C549" s="19"/>
      <c r="D549" s="31"/>
      <c r="E549" s="31"/>
      <c r="F549" s="31"/>
      <c r="G549" s="31"/>
      <c r="H549" s="31"/>
      <c r="I549" s="31"/>
      <c r="J549" s="31"/>
      <c r="K549" s="19"/>
      <c r="L549" s="19"/>
      <c r="M549" s="19"/>
      <c r="N549" s="31"/>
      <c r="O549" s="31"/>
      <c r="P549" s="31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</row>
    <row r="550" spans="1:37" ht="46.5" customHeight="1" x14ac:dyDescent="0.7">
      <c r="A550" s="19"/>
      <c r="B550" s="19"/>
      <c r="C550" s="19"/>
      <c r="D550" s="31"/>
      <c r="E550" s="31"/>
      <c r="F550" s="31"/>
      <c r="G550" s="31"/>
      <c r="H550" s="31"/>
      <c r="I550" s="31"/>
      <c r="J550" s="31"/>
      <c r="K550" s="19"/>
      <c r="L550" s="19"/>
      <c r="M550" s="19"/>
      <c r="N550" s="31"/>
      <c r="O550" s="31"/>
      <c r="P550" s="31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</row>
    <row r="551" spans="1:37" ht="46.5" customHeight="1" x14ac:dyDescent="0.7">
      <c r="A551" s="19"/>
      <c r="B551" s="19"/>
      <c r="C551" s="19"/>
      <c r="D551" s="31"/>
      <c r="E551" s="31"/>
      <c r="F551" s="31"/>
      <c r="G551" s="31"/>
      <c r="H551" s="31"/>
      <c r="I551" s="31"/>
      <c r="J551" s="31"/>
      <c r="K551" s="19"/>
      <c r="L551" s="19"/>
      <c r="M551" s="19"/>
      <c r="N551" s="31"/>
      <c r="O551" s="31"/>
      <c r="P551" s="31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</row>
    <row r="552" spans="1:37" ht="46.5" customHeight="1" x14ac:dyDescent="0.7">
      <c r="A552" s="19"/>
      <c r="B552" s="19"/>
      <c r="C552" s="19"/>
      <c r="D552" s="31"/>
      <c r="E552" s="31"/>
      <c r="F552" s="31"/>
      <c r="G552" s="31"/>
      <c r="H552" s="31"/>
      <c r="I552" s="31"/>
      <c r="J552" s="31"/>
      <c r="K552" s="19"/>
      <c r="L552" s="19"/>
      <c r="M552" s="19"/>
      <c r="N552" s="31"/>
      <c r="O552" s="31"/>
      <c r="P552" s="31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</row>
    <row r="553" spans="1:37" ht="46.5" customHeight="1" x14ac:dyDescent="0.7">
      <c r="A553" s="19"/>
      <c r="B553" s="19"/>
      <c r="C553" s="19"/>
      <c r="D553" s="31"/>
      <c r="E553" s="31"/>
      <c r="F553" s="31"/>
      <c r="G553" s="31"/>
      <c r="H553" s="31"/>
      <c r="I553" s="31"/>
      <c r="J553" s="31"/>
      <c r="K553" s="19"/>
      <c r="L553" s="19"/>
      <c r="M553" s="19"/>
      <c r="N553" s="31"/>
      <c r="O553" s="31"/>
      <c r="P553" s="31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</row>
    <row r="554" spans="1:37" ht="46.5" customHeight="1" x14ac:dyDescent="0.7">
      <c r="A554" s="19"/>
      <c r="B554" s="19"/>
      <c r="C554" s="19"/>
      <c r="D554" s="31"/>
      <c r="E554" s="31"/>
      <c r="F554" s="31"/>
      <c r="G554" s="31"/>
      <c r="H554" s="31"/>
      <c r="I554" s="31"/>
      <c r="J554" s="31"/>
      <c r="K554" s="19"/>
      <c r="L554" s="19"/>
      <c r="M554" s="19"/>
      <c r="N554" s="31"/>
      <c r="O554" s="31"/>
      <c r="P554" s="31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</row>
    <row r="555" spans="1:37" ht="46.5" customHeight="1" x14ac:dyDescent="0.7">
      <c r="A555" s="19"/>
      <c r="B555" s="19"/>
      <c r="C555" s="19"/>
      <c r="D555" s="31"/>
      <c r="E555" s="31"/>
      <c r="F555" s="31"/>
      <c r="G555" s="31"/>
      <c r="H555" s="31"/>
      <c r="I555" s="31"/>
      <c r="J555" s="31"/>
      <c r="K555" s="19"/>
      <c r="L555" s="19"/>
      <c r="M555" s="19"/>
      <c r="N555" s="31"/>
      <c r="O555" s="31"/>
      <c r="P555" s="31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</row>
    <row r="556" spans="1:37" ht="46.5" customHeight="1" x14ac:dyDescent="0.7">
      <c r="A556" s="19"/>
      <c r="B556" s="19"/>
      <c r="C556" s="19"/>
      <c r="D556" s="31"/>
      <c r="E556" s="31"/>
      <c r="F556" s="31"/>
      <c r="G556" s="31"/>
      <c r="H556" s="31"/>
      <c r="I556" s="31"/>
      <c r="J556" s="31"/>
      <c r="K556" s="19"/>
      <c r="L556" s="19"/>
      <c r="M556" s="19"/>
      <c r="N556" s="31"/>
      <c r="O556" s="31"/>
      <c r="P556" s="31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</row>
    <row r="557" spans="1:37" ht="46.5" customHeight="1" x14ac:dyDescent="0.7">
      <c r="A557" s="19"/>
      <c r="B557" s="19"/>
      <c r="C557" s="19"/>
      <c r="D557" s="31"/>
      <c r="E557" s="31"/>
      <c r="F557" s="31"/>
      <c r="G557" s="31"/>
      <c r="H557" s="31"/>
      <c r="I557" s="31"/>
      <c r="J557" s="31"/>
      <c r="K557" s="19"/>
      <c r="L557" s="19"/>
      <c r="M557" s="19"/>
      <c r="N557" s="31"/>
      <c r="O557" s="31"/>
      <c r="P557" s="31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</row>
    <row r="558" spans="1:37" ht="46.5" customHeight="1" x14ac:dyDescent="0.7">
      <c r="A558" s="19"/>
      <c r="B558" s="19"/>
      <c r="C558" s="19"/>
      <c r="D558" s="31"/>
      <c r="E558" s="31"/>
      <c r="F558" s="31"/>
      <c r="G558" s="31"/>
      <c r="H558" s="31"/>
      <c r="I558" s="31"/>
      <c r="J558" s="31"/>
      <c r="K558" s="19"/>
      <c r="L558" s="19"/>
      <c r="M558" s="19"/>
      <c r="N558" s="31"/>
      <c r="O558" s="31"/>
      <c r="P558" s="31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</row>
    <row r="559" spans="1:37" ht="46.5" customHeight="1" x14ac:dyDescent="0.7">
      <c r="A559" s="19"/>
      <c r="B559" s="19"/>
      <c r="C559" s="19"/>
      <c r="D559" s="31"/>
      <c r="E559" s="31"/>
      <c r="F559" s="31"/>
      <c r="G559" s="31"/>
      <c r="H559" s="31"/>
      <c r="I559" s="31"/>
      <c r="J559" s="31"/>
      <c r="K559" s="19"/>
      <c r="L559" s="19"/>
      <c r="M559" s="19"/>
      <c r="N559" s="31"/>
      <c r="O559" s="31"/>
      <c r="P559" s="31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</row>
    <row r="560" spans="1:37" ht="46.5" customHeight="1" x14ac:dyDescent="0.7">
      <c r="A560" s="19"/>
      <c r="B560" s="19"/>
      <c r="C560" s="19"/>
      <c r="D560" s="31"/>
      <c r="E560" s="31"/>
      <c r="F560" s="31"/>
      <c r="G560" s="31"/>
      <c r="H560" s="31"/>
      <c r="I560" s="31"/>
      <c r="J560" s="31"/>
      <c r="K560" s="19"/>
      <c r="L560" s="19"/>
      <c r="M560" s="19"/>
      <c r="N560" s="31"/>
      <c r="O560" s="31"/>
      <c r="P560" s="31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</row>
    <row r="561" spans="1:37" ht="46.5" customHeight="1" x14ac:dyDescent="0.7">
      <c r="A561" s="19"/>
      <c r="B561" s="19"/>
      <c r="C561" s="19"/>
      <c r="D561" s="31"/>
      <c r="E561" s="31"/>
      <c r="F561" s="31"/>
      <c r="G561" s="31"/>
      <c r="H561" s="31"/>
      <c r="I561" s="31"/>
      <c r="J561" s="31"/>
      <c r="K561" s="19"/>
      <c r="L561" s="19"/>
      <c r="M561" s="19"/>
      <c r="N561" s="31"/>
      <c r="O561" s="31"/>
      <c r="P561" s="31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</row>
    <row r="562" spans="1:37" ht="46.5" customHeight="1" x14ac:dyDescent="0.7">
      <c r="A562" s="19"/>
      <c r="B562" s="19"/>
      <c r="C562" s="19"/>
      <c r="D562" s="31"/>
      <c r="E562" s="31"/>
      <c r="F562" s="31"/>
      <c r="G562" s="31"/>
      <c r="H562" s="31"/>
      <c r="I562" s="31"/>
      <c r="J562" s="31"/>
      <c r="K562" s="19"/>
      <c r="L562" s="19"/>
      <c r="M562" s="19"/>
      <c r="N562" s="31"/>
      <c r="O562" s="31"/>
      <c r="P562" s="31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</row>
    <row r="563" spans="1:37" ht="46.5" customHeight="1" x14ac:dyDescent="0.7">
      <c r="A563" s="19"/>
      <c r="B563" s="19"/>
      <c r="C563" s="19"/>
      <c r="D563" s="31"/>
      <c r="E563" s="31"/>
      <c r="F563" s="31"/>
      <c r="G563" s="31"/>
      <c r="H563" s="31"/>
      <c r="I563" s="31"/>
      <c r="J563" s="31"/>
      <c r="K563" s="19"/>
      <c r="L563" s="19"/>
      <c r="M563" s="19"/>
      <c r="N563" s="31"/>
      <c r="O563" s="31"/>
      <c r="P563" s="31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</row>
    <row r="564" spans="1:37" ht="46.5" customHeight="1" x14ac:dyDescent="0.7">
      <c r="A564" s="19"/>
      <c r="B564" s="19"/>
      <c r="C564" s="19"/>
      <c r="D564" s="31"/>
      <c r="E564" s="31"/>
      <c r="F564" s="31"/>
      <c r="G564" s="31"/>
      <c r="H564" s="31"/>
      <c r="I564" s="31"/>
      <c r="J564" s="31"/>
      <c r="K564" s="19"/>
      <c r="L564" s="19"/>
      <c r="M564" s="19"/>
      <c r="N564" s="31"/>
      <c r="O564" s="31"/>
      <c r="P564" s="31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</row>
    <row r="565" spans="1:37" ht="46.5" customHeight="1" x14ac:dyDescent="0.7">
      <c r="A565" s="19"/>
      <c r="B565" s="19"/>
      <c r="C565" s="19"/>
      <c r="D565" s="31"/>
      <c r="E565" s="31"/>
      <c r="F565" s="31"/>
      <c r="G565" s="31"/>
      <c r="H565" s="31"/>
      <c r="I565" s="31"/>
      <c r="J565" s="31"/>
      <c r="K565" s="19"/>
      <c r="L565" s="19"/>
      <c r="M565" s="19"/>
      <c r="N565" s="31"/>
      <c r="O565" s="31"/>
      <c r="P565" s="31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</row>
    <row r="566" spans="1:37" ht="46.5" customHeight="1" x14ac:dyDescent="0.7">
      <c r="A566" s="19"/>
      <c r="B566" s="19"/>
      <c r="C566" s="19"/>
      <c r="D566" s="31"/>
      <c r="E566" s="31"/>
      <c r="F566" s="31"/>
      <c r="G566" s="31"/>
      <c r="H566" s="31"/>
      <c r="I566" s="31"/>
      <c r="J566" s="31"/>
      <c r="K566" s="19"/>
      <c r="L566" s="19"/>
      <c r="M566" s="19"/>
      <c r="N566" s="31"/>
      <c r="O566" s="31"/>
      <c r="P566" s="31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</row>
    <row r="567" spans="1:37" ht="46.5" customHeight="1" x14ac:dyDescent="0.7">
      <c r="A567" s="19"/>
      <c r="B567" s="19"/>
      <c r="C567" s="19"/>
      <c r="D567" s="31"/>
      <c r="E567" s="31"/>
      <c r="F567" s="31"/>
      <c r="G567" s="31"/>
      <c r="H567" s="31"/>
      <c r="I567" s="31"/>
      <c r="J567" s="31"/>
      <c r="K567" s="19"/>
      <c r="L567" s="19"/>
      <c r="M567" s="19"/>
      <c r="N567" s="31"/>
      <c r="O567" s="31"/>
      <c r="P567" s="31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</row>
    <row r="568" spans="1:37" ht="46.5" customHeight="1" x14ac:dyDescent="0.7">
      <c r="A568" s="19"/>
      <c r="B568" s="19"/>
      <c r="C568" s="19"/>
      <c r="D568" s="31"/>
      <c r="E568" s="31"/>
      <c r="F568" s="31"/>
      <c r="G568" s="31"/>
      <c r="H568" s="31"/>
      <c r="I568" s="31"/>
      <c r="J568" s="31"/>
      <c r="K568" s="19"/>
      <c r="L568" s="19"/>
      <c r="M568" s="19"/>
      <c r="N568" s="31"/>
      <c r="O568" s="31"/>
      <c r="P568" s="31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</row>
    <row r="569" spans="1:37" ht="46.5" customHeight="1" x14ac:dyDescent="0.7">
      <c r="A569" s="19"/>
      <c r="B569" s="19"/>
      <c r="C569" s="19"/>
      <c r="D569" s="31"/>
      <c r="E569" s="31"/>
      <c r="F569" s="31"/>
      <c r="G569" s="31"/>
      <c r="H569" s="31"/>
      <c r="I569" s="31"/>
      <c r="J569" s="31"/>
      <c r="K569" s="19"/>
      <c r="L569" s="19"/>
      <c r="M569" s="19"/>
      <c r="N569" s="31"/>
      <c r="O569" s="31"/>
      <c r="P569" s="31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</row>
    <row r="570" spans="1:37" ht="46.5" customHeight="1" x14ac:dyDescent="0.7">
      <c r="A570" s="19"/>
      <c r="B570" s="19"/>
      <c r="C570" s="19"/>
      <c r="D570" s="31"/>
      <c r="E570" s="31"/>
      <c r="F570" s="31"/>
      <c r="G570" s="31"/>
      <c r="H570" s="31"/>
      <c r="I570" s="31"/>
      <c r="J570" s="31"/>
      <c r="K570" s="19"/>
      <c r="L570" s="19"/>
      <c r="M570" s="19"/>
      <c r="N570" s="31"/>
      <c r="O570" s="31"/>
      <c r="P570" s="31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</row>
    <row r="571" spans="1:37" ht="46.5" customHeight="1" x14ac:dyDescent="0.7">
      <c r="A571" s="19"/>
      <c r="B571" s="19"/>
      <c r="C571" s="19"/>
      <c r="D571" s="31"/>
      <c r="E571" s="31"/>
      <c r="F571" s="31"/>
      <c r="G571" s="31"/>
      <c r="H571" s="31"/>
      <c r="I571" s="31"/>
      <c r="J571" s="31"/>
      <c r="K571" s="19"/>
      <c r="L571" s="19"/>
      <c r="M571" s="19"/>
      <c r="N571" s="31"/>
      <c r="O571" s="31"/>
      <c r="P571" s="31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</row>
    <row r="572" spans="1:37" ht="46.5" customHeight="1" x14ac:dyDescent="0.7">
      <c r="A572" s="19"/>
      <c r="B572" s="19"/>
      <c r="C572" s="19"/>
      <c r="D572" s="31"/>
      <c r="E572" s="31"/>
      <c r="F572" s="31"/>
      <c r="G572" s="31"/>
      <c r="H572" s="31"/>
      <c r="I572" s="31"/>
      <c r="J572" s="31"/>
      <c r="K572" s="19"/>
      <c r="L572" s="19"/>
      <c r="M572" s="19"/>
      <c r="N572" s="31"/>
      <c r="O572" s="31"/>
      <c r="P572" s="31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</row>
    <row r="573" spans="1:37" ht="46.5" customHeight="1" x14ac:dyDescent="0.7">
      <c r="A573" s="19"/>
      <c r="B573" s="19"/>
      <c r="C573" s="19"/>
      <c r="D573" s="31"/>
      <c r="E573" s="31"/>
      <c r="F573" s="31"/>
      <c r="G573" s="31"/>
      <c r="H573" s="31"/>
      <c r="I573" s="31"/>
      <c r="J573" s="31"/>
      <c r="K573" s="19"/>
      <c r="L573" s="19"/>
      <c r="M573" s="19"/>
      <c r="N573" s="31"/>
      <c r="O573" s="31"/>
      <c r="P573" s="31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</row>
    <row r="574" spans="1:37" ht="46.5" customHeight="1" x14ac:dyDescent="0.7">
      <c r="A574" s="19"/>
      <c r="B574" s="19"/>
      <c r="C574" s="19"/>
      <c r="D574" s="31"/>
      <c r="E574" s="31"/>
      <c r="F574" s="31"/>
      <c r="G574" s="31"/>
      <c r="H574" s="31"/>
      <c r="I574" s="31"/>
      <c r="J574" s="31"/>
      <c r="K574" s="19"/>
      <c r="L574" s="19"/>
      <c r="M574" s="19"/>
      <c r="N574" s="31"/>
      <c r="O574" s="31"/>
      <c r="P574" s="31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</row>
    <row r="575" spans="1:37" ht="46.5" customHeight="1" x14ac:dyDescent="0.7">
      <c r="A575" s="19"/>
      <c r="B575" s="19"/>
      <c r="C575" s="19"/>
      <c r="D575" s="31"/>
      <c r="E575" s="31"/>
      <c r="F575" s="31"/>
      <c r="G575" s="31"/>
      <c r="H575" s="31"/>
      <c r="I575" s="31"/>
      <c r="J575" s="31"/>
      <c r="K575" s="19"/>
      <c r="L575" s="19"/>
      <c r="M575" s="19"/>
      <c r="N575" s="31"/>
      <c r="O575" s="31"/>
      <c r="P575" s="31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</row>
    <row r="576" spans="1:37" ht="46.5" customHeight="1" x14ac:dyDescent="0.7">
      <c r="A576" s="19"/>
      <c r="B576" s="19"/>
      <c r="C576" s="19"/>
      <c r="D576" s="31"/>
      <c r="E576" s="31"/>
      <c r="F576" s="31"/>
      <c r="G576" s="31"/>
      <c r="H576" s="31"/>
      <c r="I576" s="31"/>
      <c r="J576" s="31"/>
      <c r="K576" s="19"/>
      <c r="L576" s="19"/>
      <c r="M576" s="19"/>
      <c r="N576" s="31"/>
      <c r="O576" s="31"/>
      <c r="P576" s="31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</row>
    <row r="577" spans="1:37" ht="46.5" customHeight="1" x14ac:dyDescent="0.7">
      <c r="A577" s="19"/>
      <c r="B577" s="19"/>
      <c r="C577" s="19"/>
      <c r="D577" s="31"/>
      <c r="E577" s="31"/>
      <c r="F577" s="31"/>
      <c r="G577" s="31"/>
      <c r="H577" s="31"/>
      <c r="I577" s="31"/>
      <c r="J577" s="31"/>
      <c r="K577" s="19"/>
      <c r="L577" s="19"/>
      <c r="M577" s="19"/>
      <c r="N577" s="31"/>
      <c r="O577" s="31"/>
      <c r="P577" s="31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</row>
    <row r="578" spans="1:37" ht="46.5" customHeight="1" x14ac:dyDescent="0.7">
      <c r="A578" s="19"/>
      <c r="B578" s="19"/>
      <c r="C578" s="19"/>
      <c r="D578" s="31"/>
      <c r="E578" s="31"/>
      <c r="F578" s="31"/>
      <c r="G578" s="31"/>
      <c r="H578" s="31"/>
      <c r="I578" s="31"/>
      <c r="J578" s="31"/>
      <c r="K578" s="19"/>
      <c r="L578" s="19"/>
      <c r="M578" s="19"/>
      <c r="N578" s="31"/>
      <c r="O578" s="31"/>
      <c r="P578" s="31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</row>
    <row r="579" spans="1:37" ht="46.5" customHeight="1" x14ac:dyDescent="0.7">
      <c r="A579" s="19"/>
      <c r="B579" s="19"/>
      <c r="C579" s="19"/>
      <c r="D579" s="31"/>
      <c r="E579" s="31"/>
      <c r="F579" s="31"/>
      <c r="G579" s="31"/>
      <c r="H579" s="31"/>
      <c r="I579" s="31"/>
      <c r="J579" s="31"/>
      <c r="K579" s="19"/>
      <c r="L579" s="19"/>
      <c r="M579" s="19"/>
      <c r="N579" s="31"/>
      <c r="O579" s="31"/>
      <c r="P579" s="31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</row>
    <row r="580" spans="1:37" ht="46.5" customHeight="1" x14ac:dyDescent="0.7">
      <c r="A580" s="19"/>
      <c r="B580" s="19"/>
      <c r="C580" s="19"/>
      <c r="D580" s="31"/>
      <c r="E580" s="31"/>
      <c r="F580" s="31"/>
      <c r="G580" s="31"/>
      <c r="H580" s="31"/>
      <c r="I580" s="31"/>
      <c r="J580" s="31"/>
      <c r="K580" s="19"/>
      <c r="L580" s="19"/>
      <c r="M580" s="19"/>
      <c r="N580" s="31"/>
      <c r="O580" s="31"/>
      <c r="P580" s="31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</row>
    <row r="581" spans="1:37" ht="46.5" customHeight="1" x14ac:dyDescent="0.7">
      <c r="A581" s="19"/>
      <c r="B581" s="19"/>
      <c r="C581" s="19"/>
      <c r="D581" s="31"/>
      <c r="E581" s="31"/>
      <c r="F581" s="31"/>
      <c r="G581" s="31"/>
      <c r="H581" s="31"/>
      <c r="I581" s="31"/>
      <c r="J581" s="31"/>
      <c r="K581" s="19"/>
      <c r="L581" s="19"/>
      <c r="M581" s="19"/>
      <c r="N581" s="31"/>
      <c r="O581" s="31"/>
      <c r="P581" s="31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</row>
    <row r="582" spans="1:37" ht="46.5" customHeight="1" x14ac:dyDescent="0.7">
      <c r="A582" s="19"/>
      <c r="B582" s="19"/>
      <c r="C582" s="19"/>
      <c r="D582" s="31"/>
      <c r="E582" s="31"/>
      <c r="F582" s="31"/>
      <c r="G582" s="31"/>
      <c r="H582" s="31"/>
      <c r="I582" s="31"/>
      <c r="J582" s="31"/>
      <c r="K582" s="19"/>
      <c r="L582" s="19"/>
      <c r="M582" s="19"/>
      <c r="N582" s="31"/>
      <c r="O582" s="31"/>
      <c r="P582" s="31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</row>
    <row r="583" spans="1:37" ht="46.5" customHeight="1" x14ac:dyDescent="0.7">
      <c r="A583" s="19"/>
      <c r="B583" s="19"/>
      <c r="C583" s="19"/>
      <c r="D583" s="31"/>
      <c r="E583" s="31"/>
      <c r="F583" s="31"/>
      <c r="G583" s="31"/>
      <c r="H583" s="31"/>
      <c r="I583" s="31"/>
      <c r="J583" s="31"/>
      <c r="K583" s="19"/>
      <c r="L583" s="19"/>
      <c r="M583" s="19"/>
      <c r="N583" s="31"/>
      <c r="O583" s="31"/>
      <c r="P583" s="31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</row>
    <row r="584" spans="1:37" ht="46.5" customHeight="1" x14ac:dyDescent="0.7">
      <c r="A584" s="19"/>
      <c r="B584" s="19"/>
      <c r="C584" s="19"/>
      <c r="D584" s="31"/>
      <c r="E584" s="31"/>
      <c r="F584" s="31"/>
      <c r="G584" s="31"/>
      <c r="H584" s="31"/>
      <c r="I584" s="31"/>
      <c r="J584" s="31"/>
      <c r="K584" s="19"/>
      <c r="L584" s="19"/>
      <c r="M584" s="19"/>
      <c r="N584" s="31"/>
      <c r="O584" s="31"/>
      <c r="P584" s="31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</row>
    <row r="585" spans="1:37" ht="46.5" customHeight="1" x14ac:dyDescent="0.7">
      <c r="A585" s="19"/>
      <c r="B585" s="19"/>
      <c r="C585" s="19"/>
      <c r="D585" s="31"/>
      <c r="E585" s="31"/>
      <c r="F585" s="31"/>
      <c r="G585" s="31"/>
      <c r="H585" s="31"/>
      <c r="I585" s="31"/>
      <c r="J585" s="31"/>
      <c r="K585" s="19"/>
      <c r="L585" s="19"/>
      <c r="M585" s="19"/>
      <c r="N585" s="31"/>
      <c r="O585" s="31"/>
      <c r="P585" s="31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</row>
    <row r="586" spans="1:37" ht="46.5" customHeight="1" x14ac:dyDescent="0.7">
      <c r="A586" s="19"/>
      <c r="B586" s="19"/>
      <c r="C586" s="19"/>
      <c r="D586" s="31"/>
      <c r="E586" s="31"/>
      <c r="F586" s="31"/>
      <c r="G586" s="31"/>
      <c r="H586" s="31"/>
      <c r="I586" s="31"/>
      <c r="J586" s="31"/>
      <c r="K586" s="19"/>
      <c r="L586" s="19"/>
      <c r="M586" s="19"/>
      <c r="N586" s="31"/>
      <c r="O586" s="31"/>
      <c r="P586" s="31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</row>
    <row r="587" spans="1:37" ht="46.5" customHeight="1" x14ac:dyDescent="0.7">
      <c r="A587" s="19"/>
      <c r="B587" s="19"/>
      <c r="C587" s="19"/>
      <c r="D587" s="31"/>
      <c r="E587" s="31"/>
      <c r="F587" s="31"/>
      <c r="G587" s="31"/>
      <c r="H587" s="31"/>
      <c r="I587" s="31"/>
      <c r="J587" s="31"/>
      <c r="K587" s="19"/>
      <c r="L587" s="19"/>
      <c r="M587" s="19"/>
      <c r="N587" s="31"/>
      <c r="O587" s="31"/>
      <c r="P587" s="31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</row>
    <row r="588" spans="1:37" ht="46.5" customHeight="1" x14ac:dyDescent="0.7">
      <c r="A588" s="19"/>
      <c r="B588" s="19"/>
      <c r="C588" s="19"/>
      <c r="D588" s="31"/>
      <c r="E588" s="31"/>
      <c r="F588" s="31"/>
      <c r="G588" s="31"/>
      <c r="H588" s="31"/>
      <c r="I588" s="31"/>
      <c r="J588" s="31"/>
      <c r="K588" s="19"/>
      <c r="L588" s="19"/>
      <c r="M588" s="19"/>
      <c r="N588" s="31"/>
      <c r="O588" s="31"/>
      <c r="P588" s="31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</row>
    <row r="589" spans="1:37" ht="46.5" customHeight="1" x14ac:dyDescent="0.7">
      <c r="A589" s="19"/>
      <c r="B589" s="19"/>
      <c r="C589" s="19"/>
      <c r="D589" s="31"/>
      <c r="E589" s="31"/>
      <c r="F589" s="31"/>
      <c r="G589" s="31"/>
      <c r="H589" s="31"/>
      <c r="I589" s="31"/>
      <c r="J589" s="31"/>
      <c r="K589" s="19"/>
      <c r="L589" s="19"/>
      <c r="M589" s="19"/>
      <c r="N589" s="31"/>
      <c r="O589" s="31"/>
      <c r="P589" s="31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</row>
    <row r="590" spans="1:37" ht="46.5" customHeight="1" x14ac:dyDescent="0.7">
      <c r="A590" s="19"/>
      <c r="B590" s="19"/>
      <c r="C590" s="19"/>
      <c r="D590" s="31"/>
      <c r="E590" s="31"/>
      <c r="F590" s="31"/>
      <c r="G590" s="31"/>
      <c r="H590" s="31"/>
      <c r="I590" s="31"/>
      <c r="J590" s="31"/>
      <c r="K590" s="19"/>
      <c r="L590" s="19"/>
      <c r="M590" s="19"/>
      <c r="N590" s="31"/>
      <c r="O590" s="31"/>
      <c r="P590" s="31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</row>
    <row r="591" spans="1:37" ht="46.5" customHeight="1" x14ac:dyDescent="0.7">
      <c r="A591" s="19"/>
      <c r="B591" s="19"/>
      <c r="C591" s="19"/>
      <c r="D591" s="31"/>
      <c r="E591" s="31"/>
      <c r="F591" s="31"/>
      <c r="G591" s="31"/>
      <c r="H591" s="31"/>
      <c r="I591" s="31"/>
      <c r="J591" s="31"/>
      <c r="K591" s="19"/>
      <c r="L591" s="19"/>
      <c r="M591" s="19"/>
      <c r="N591" s="31"/>
      <c r="O591" s="31"/>
      <c r="P591" s="31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</row>
    <row r="592" spans="1:37" ht="46.5" customHeight="1" x14ac:dyDescent="0.7">
      <c r="A592" s="19"/>
      <c r="B592" s="19"/>
      <c r="C592" s="19"/>
      <c r="D592" s="31"/>
      <c r="E592" s="31"/>
      <c r="F592" s="31"/>
      <c r="G592" s="31"/>
      <c r="H592" s="31"/>
      <c r="I592" s="31"/>
      <c r="J592" s="31"/>
      <c r="K592" s="19"/>
      <c r="L592" s="19"/>
      <c r="M592" s="19"/>
      <c r="N592" s="31"/>
      <c r="O592" s="31"/>
      <c r="P592" s="31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</row>
    <row r="593" spans="1:37" ht="46.5" customHeight="1" x14ac:dyDescent="0.7">
      <c r="A593" s="19"/>
      <c r="B593" s="19"/>
      <c r="C593" s="19"/>
      <c r="D593" s="31"/>
      <c r="E593" s="31"/>
      <c r="F593" s="31"/>
      <c r="G593" s="31"/>
      <c r="H593" s="31"/>
      <c r="I593" s="31"/>
      <c r="J593" s="31"/>
      <c r="K593" s="19"/>
      <c r="L593" s="19"/>
      <c r="M593" s="19"/>
      <c r="N593" s="31"/>
      <c r="O593" s="31"/>
      <c r="P593" s="31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</row>
    <row r="594" spans="1:37" ht="46.5" customHeight="1" x14ac:dyDescent="0.7">
      <c r="A594" s="19"/>
      <c r="B594" s="19"/>
      <c r="C594" s="19"/>
      <c r="D594" s="31"/>
      <c r="E594" s="31"/>
      <c r="F594" s="31"/>
      <c r="G594" s="31"/>
      <c r="H594" s="31"/>
      <c r="I594" s="31"/>
      <c r="J594" s="31"/>
      <c r="K594" s="19"/>
      <c r="L594" s="19"/>
      <c r="M594" s="19"/>
      <c r="N594" s="31"/>
      <c r="O594" s="31"/>
      <c r="P594" s="31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</row>
    <row r="595" spans="1:37" ht="46.5" customHeight="1" x14ac:dyDescent="0.7">
      <c r="A595" s="19"/>
      <c r="B595" s="19"/>
      <c r="C595" s="19"/>
      <c r="D595" s="31"/>
      <c r="E595" s="31"/>
      <c r="F595" s="31"/>
      <c r="G595" s="31"/>
      <c r="H595" s="31"/>
      <c r="I595" s="31"/>
      <c r="J595" s="31"/>
      <c r="K595" s="19"/>
      <c r="L595" s="19"/>
      <c r="M595" s="19"/>
      <c r="N595" s="31"/>
      <c r="O595" s="31"/>
      <c r="P595" s="31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</row>
    <row r="596" spans="1:37" ht="46.5" customHeight="1" x14ac:dyDescent="0.7">
      <c r="A596" s="19"/>
      <c r="B596" s="19"/>
      <c r="C596" s="19"/>
      <c r="D596" s="31"/>
      <c r="E596" s="31"/>
      <c r="F596" s="31"/>
      <c r="G596" s="31"/>
      <c r="H596" s="31"/>
      <c r="I596" s="31"/>
      <c r="J596" s="31"/>
      <c r="K596" s="19"/>
      <c r="L596" s="19"/>
      <c r="M596" s="19"/>
      <c r="N596" s="31"/>
      <c r="O596" s="31"/>
      <c r="P596" s="31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</row>
    <row r="597" spans="1:37" ht="46.5" customHeight="1" x14ac:dyDescent="0.7">
      <c r="A597" s="19"/>
      <c r="B597" s="19"/>
      <c r="C597" s="19"/>
      <c r="D597" s="31"/>
      <c r="E597" s="31"/>
      <c r="F597" s="31"/>
      <c r="G597" s="31"/>
      <c r="H597" s="31"/>
      <c r="I597" s="31"/>
      <c r="J597" s="31"/>
      <c r="K597" s="19"/>
      <c r="L597" s="19"/>
      <c r="M597" s="19"/>
      <c r="N597" s="31"/>
      <c r="O597" s="31"/>
      <c r="P597" s="31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</row>
    <row r="598" spans="1:37" ht="46.5" customHeight="1" x14ac:dyDescent="0.7">
      <c r="A598" s="19"/>
      <c r="B598" s="19"/>
      <c r="C598" s="19"/>
      <c r="D598" s="31"/>
      <c r="E598" s="31"/>
      <c r="F598" s="31"/>
      <c r="G598" s="31"/>
      <c r="H598" s="31"/>
      <c r="I598" s="31"/>
      <c r="J598" s="31"/>
      <c r="K598" s="19"/>
      <c r="L598" s="19"/>
      <c r="M598" s="19"/>
      <c r="N598" s="31"/>
      <c r="O598" s="31"/>
      <c r="P598" s="31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</row>
    <row r="599" spans="1:37" ht="46.5" customHeight="1" x14ac:dyDescent="0.7">
      <c r="A599" s="19"/>
      <c r="B599" s="19"/>
      <c r="C599" s="19"/>
      <c r="D599" s="31"/>
      <c r="E599" s="31"/>
      <c r="F599" s="31"/>
      <c r="G599" s="31"/>
      <c r="H599" s="31"/>
      <c r="I599" s="31"/>
      <c r="J599" s="31"/>
      <c r="K599" s="19"/>
      <c r="L599" s="19"/>
      <c r="M599" s="19"/>
      <c r="N599" s="31"/>
      <c r="O599" s="31"/>
      <c r="P599" s="31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</row>
    <row r="600" spans="1:37" ht="46.5" customHeight="1" x14ac:dyDescent="0.7">
      <c r="A600" s="19"/>
      <c r="B600" s="19"/>
      <c r="C600" s="19"/>
      <c r="D600" s="31"/>
      <c r="E600" s="31"/>
      <c r="F600" s="31"/>
      <c r="G600" s="31"/>
      <c r="H600" s="31"/>
      <c r="I600" s="31"/>
      <c r="J600" s="31"/>
      <c r="K600" s="19"/>
      <c r="L600" s="19"/>
      <c r="M600" s="19"/>
      <c r="N600" s="31"/>
      <c r="O600" s="31"/>
      <c r="P600" s="31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</row>
    <row r="601" spans="1:37" ht="46.5" customHeight="1" x14ac:dyDescent="0.7">
      <c r="A601" s="19"/>
      <c r="B601" s="19"/>
      <c r="C601" s="19"/>
      <c r="D601" s="31"/>
      <c r="E601" s="31"/>
      <c r="F601" s="31"/>
      <c r="G601" s="31"/>
      <c r="H601" s="31"/>
      <c r="I601" s="31"/>
      <c r="J601" s="31"/>
      <c r="K601" s="19"/>
      <c r="L601" s="19"/>
      <c r="M601" s="19"/>
      <c r="N601" s="31"/>
      <c r="O601" s="31"/>
      <c r="P601" s="31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</row>
    <row r="602" spans="1:37" ht="46.5" customHeight="1" x14ac:dyDescent="0.7">
      <c r="A602" s="19"/>
      <c r="B602" s="19"/>
      <c r="C602" s="19"/>
      <c r="D602" s="31"/>
      <c r="E602" s="31"/>
      <c r="F602" s="31"/>
      <c r="G602" s="31"/>
      <c r="H602" s="31"/>
      <c r="I602" s="31"/>
      <c r="J602" s="31"/>
      <c r="K602" s="19"/>
      <c r="L602" s="19"/>
      <c r="M602" s="19"/>
      <c r="N602" s="31"/>
      <c r="O602" s="31"/>
      <c r="P602" s="31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</row>
    <row r="603" spans="1:37" ht="46.5" customHeight="1" x14ac:dyDescent="0.7">
      <c r="A603" s="19"/>
      <c r="B603" s="19"/>
      <c r="C603" s="19"/>
      <c r="D603" s="31"/>
      <c r="E603" s="31"/>
      <c r="F603" s="31"/>
      <c r="G603" s="31"/>
      <c r="H603" s="31"/>
      <c r="I603" s="31"/>
      <c r="J603" s="31"/>
      <c r="K603" s="19"/>
      <c r="L603" s="19"/>
      <c r="M603" s="19"/>
      <c r="N603" s="31"/>
      <c r="O603" s="31"/>
      <c r="P603" s="31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</row>
    <row r="604" spans="1:37" ht="46.5" customHeight="1" x14ac:dyDescent="0.7">
      <c r="A604" s="19"/>
      <c r="B604" s="19"/>
      <c r="C604" s="19"/>
      <c r="D604" s="31"/>
      <c r="E604" s="31"/>
      <c r="F604" s="31"/>
      <c r="G604" s="31"/>
      <c r="H604" s="31"/>
      <c r="I604" s="31"/>
      <c r="J604" s="31"/>
      <c r="K604" s="19"/>
      <c r="L604" s="19"/>
      <c r="M604" s="19"/>
      <c r="N604" s="31"/>
      <c r="O604" s="31"/>
      <c r="P604" s="31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</row>
    <row r="605" spans="1:37" ht="46.5" customHeight="1" x14ac:dyDescent="0.7">
      <c r="A605" s="19"/>
      <c r="B605" s="19"/>
      <c r="C605" s="19"/>
      <c r="D605" s="31"/>
      <c r="E605" s="31"/>
      <c r="F605" s="31"/>
      <c r="G605" s="31"/>
      <c r="H605" s="31"/>
      <c r="I605" s="31"/>
      <c r="J605" s="31"/>
      <c r="K605" s="19"/>
      <c r="L605" s="19"/>
      <c r="M605" s="19"/>
      <c r="N605" s="31"/>
      <c r="O605" s="31"/>
      <c r="P605" s="31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</row>
    <row r="606" spans="1:37" ht="46.5" customHeight="1" x14ac:dyDescent="0.7">
      <c r="A606" s="19"/>
      <c r="B606" s="19"/>
      <c r="C606" s="19"/>
      <c r="D606" s="31"/>
      <c r="E606" s="31"/>
      <c r="F606" s="31"/>
      <c r="G606" s="31"/>
      <c r="H606" s="31"/>
      <c r="I606" s="31"/>
      <c r="J606" s="31"/>
      <c r="K606" s="19"/>
      <c r="L606" s="19"/>
      <c r="M606" s="19"/>
      <c r="N606" s="31"/>
      <c r="O606" s="31"/>
      <c r="P606" s="31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</row>
    <row r="607" spans="1:37" ht="46.5" customHeight="1" x14ac:dyDescent="0.7">
      <c r="A607" s="19"/>
      <c r="B607" s="19"/>
      <c r="C607" s="19"/>
      <c r="D607" s="31"/>
      <c r="E607" s="31"/>
      <c r="F607" s="31"/>
      <c r="G607" s="31"/>
      <c r="H607" s="31"/>
      <c r="I607" s="31"/>
      <c r="J607" s="31"/>
      <c r="K607" s="19"/>
      <c r="L607" s="19"/>
      <c r="M607" s="19"/>
      <c r="N607" s="31"/>
      <c r="O607" s="31"/>
      <c r="P607" s="31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</row>
    <row r="608" spans="1:37" ht="46.5" customHeight="1" x14ac:dyDescent="0.7">
      <c r="A608" s="19"/>
      <c r="B608" s="19"/>
      <c r="C608" s="19"/>
      <c r="D608" s="31"/>
      <c r="E608" s="31"/>
      <c r="F608" s="31"/>
      <c r="G608" s="31"/>
      <c r="H608" s="31"/>
      <c r="I608" s="31"/>
      <c r="J608" s="31"/>
      <c r="K608" s="19"/>
      <c r="L608" s="19"/>
      <c r="M608" s="19"/>
      <c r="N608" s="31"/>
      <c r="O608" s="31"/>
      <c r="P608" s="31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</row>
    <row r="609" spans="1:37" ht="46.5" customHeight="1" x14ac:dyDescent="0.7">
      <c r="A609" s="19"/>
      <c r="B609" s="19"/>
      <c r="C609" s="19"/>
      <c r="D609" s="31"/>
      <c r="E609" s="31"/>
      <c r="F609" s="31"/>
      <c r="G609" s="31"/>
      <c r="H609" s="31"/>
      <c r="I609" s="31"/>
      <c r="J609" s="31"/>
      <c r="K609" s="19"/>
      <c r="L609" s="19"/>
      <c r="M609" s="19"/>
      <c r="N609" s="31"/>
      <c r="O609" s="31"/>
      <c r="P609" s="31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</row>
    <row r="610" spans="1:37" ht="46.5" customHeight="1" x14ac:dyDescent="0.7">
      <c r="A610" s="19"/>
      <c r="B610" s="19"/>
      <c r="C610" s="19"/>
      <c r="D610" s="31"/>
      <c r="E610" s="31"/>
      <c r="F610" s="31"/>
      <c r="G610" s="31"/>
      <c r="H610" s="31"/>
      <c r="I610" s="31"/>
      <c r="J610" s="31"/>
      <c r="K610" s="19"/>
      <c r="L610" s="19"/>
      <c r="M610" s="19"/>
      <c r="N610" s="31"/>
      <c r="O610" s="31"/>
      <c r="P610" s="31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</row>
    <row r="611" spans="1:37" ht="46.5" customHeight="1" x14ac:dyDescent="0.7">
      <c r="A611" s="19"/>
      <c r="B611" s="19"/>
      <c r="C611" s="19"/>
      <c r="D611" s="31"/>
      <c r="E611" s="31"/>
      <c r="F611" s="31"/>
      <c r="G611" s="31"/>
      <c r="H611" s="31"/>
      <c r="I611" s="31"/>
      <c r="J611" s="31"/>
      <c r="K611" s="19"/>
      <c r="L611" s="19"/>
      <c r="M611" s="19"/>
      <c r="N611" s="31"/>
      <c r="O611" s="31"/>
      <c r="P611" s="31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</row>
    <row r="612" spans="1:37" ht="46.5" customHeight="1" x14ac:dyDescent="0.7">
      <c r="A612" s="19"/>
      <c r="B612" s="19"/>
      <c r="C612" s="19"/>
      <c r="D612" s="31"/>
      <c r="E612" s="31"/>
      <c r="F612" s="31"/>
      <c r="G612" s="31"/>
      <c r="H612" s="31"/>
      <c r="I612" s="31"/>
      <c r="J612" s="31"/>
      <c r="K612" s="19"/>
      <c r="L612" s="19"/>
      <c r="M612" s="19"/>
      <c r="N612" s="31"/>
      <c r="O612" s="31"/>
      <c r="P612" s="31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</row>
    <row r="613" spans="1:37" ht="46.5" customHeight="1" x14ac:dyDescent="0.7">
      <c r="A613" s="19"/>
      <c r="B613" s="19"/>
      <c r="C613" s="19"/>
      <c r="D613" s="31"/>
      <c r="E613" s="31"/>
      <c r="F613" s="31"/>
      <c r="G613" s="31"/>
      <c r="H613" s="31"/>
      <c r="I613" s="31"/>
      <c r="J613" s="31"/>
      <c r="K613" s="19"/>
      <c r="L613" s="19"/>
      <c r="M613" s="19"/>
      <c r="N613" s="31"/>
      <c r="O613" s="31"/>
      <c r="P613" s="31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</row>
    <row r="614" spans="1:37" ht="46.5" customHeight="1" x14ac:dyDescent="0.7">
      <c r="A614" s="19"/>
      <c r="B614" s="19"/>
      <c r="C614" s="19"/>
      <c r="D614" s="31"/>
      <c r="E614" s="31"/>
      <c r="F614" s="31"/>
      <c r="G614" s="31"/>
      <c r="H614" s="31"/>
      <c r="I614" s="31"/>
      <c r="J614" s="31"/>
      <c r="K614" s="19"/>
      <c r="L614" s="19"/>
      <c r="M614" s="19"/>
      <c r="N614" s="31"/>
      <c r="O614" s="31"/>
      <c r="P614" s="31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</row>
    <row r="615" spans="1:37" ht="46.5" customHeight="1" x14ac:dyDescent="0.7">
      <c r="A615" s="19"/>
      <c r="B615" s="19"/>
      <c r="C615" s="19"/>
      <c r="D615" s="31"/>
      <c r="E615" s="31"/>
      <c r="F615" s="31"/>
      <c r="G615" s="31"/>
      <c r="H615" s="31"/>
      <c r="I615" s="31"/>
      <c r="J615" s="31"/>
      <c r="K615" s="19"/>
      <c r="L615" s="19"/>
      <c r="M615" s="19"/>
      <c r="N615" s="31"/>
      <c r="O615" s="31"/>
      <c r="P615" s="31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</row>
    <row r="616" spans="1:37" ht="46.5" customHeight="1" x14ac:dyDescent="0.7">
      <c r="A616" s="19"/>
      <c r="B616" s="19"/>
      <c r="C616" s="19"/>
      <c r="D616" s="31"/>
      <c r="E616" s="31"/>
      <c r="F616" s="31"/>
      <c r="G616" s="31"/>
      <c r="H616" s="31"/>
      <c r="I616" s="31"/>
      <c r="J616" s="31"/>
      <c r="K616" s="19"/>
      <c r="L616" s="19"/>
      <c r="M616" s="19"/>
      <c r="N616" s="31"/>
      <c r="O616" s="31"/>
      <c r="P616" s="31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</row>
    <row r="617" spans="1:37" ht="46.5" customHeight="1" x14ac:dyDescent="0.7">
      <c r="A617" s="19"/>
      <c r="B617" s="19"/>
      <c r="C617" s="19"/>
      <c r="D617" s="31"/>
      <c r="E617" s="31"/>
      <c r="F617" s="31"/>
      <c r="G617" s="31"/>
      <c r="H617" s="31"/>
      <c r="I617" s="31"/>
      <c r="J617" s="31"/>
      <c r="K617" s="19"/>
      <c r="L617" s="19"/>
      <c r="M617" s="19"/>
      <c r="N617" s="31"/>
      <c r="O617" s="31"/>
      <c r="P617" s="31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</row>
    <row r="618" spans="1:37" ht="46.5" customHeight="1" x14ac:dyDescent="0.7">
      <c r="A618" s="19"/>
      <c r="B618" s="19"/>
      <c r="C618" s="19"/>
      <c r="D618" s="31"/>
      <c r="E618" s="31"/>
      <c r="F618" s="31"/>
      <c r="G618" s="31"/>
      <c r="H618" s="31"/>
      <c r="I618" s="31"/>
      <c r="J618" s="31"/>
      <c r="K618" s="19"/>
      <c r="L618" s="19"/>
      <c r="M618" s="19"/>
      <c r="N618" s="31"/>
      <c r="O618" s="31"/>
      <c r="P618" s="31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</row>
    <row r="619" spans="1:37" ht="46.5" customHeight="1" x14ac:dyDescent="0.7">
      <c r="A619" s="19"/>
      <c r="B619" s="19"/>
      <c r="C619" s="19"/>
      <c r="D619" s="31"/>
      <c r="E619" s="31"/>
      <c r="F619" s="31"/>
      <c r="G619" s="31"/>
      <c r="H619" s="31"/>
      <c r="I619" s="31"/>
      <c r="J619" s="31"/>
      <c r="K619" s="19"/>
      <c r="L619" s="19"/>
      <c r="M619" s="19"/>
      <c r="N619" s="31"/>
      <c r="O619" s="31"/>
      <c r="P619" s="31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</row>
    <row r="620" spans="1:37" ht="46.5" customHeight="1" x14ac:dyDescent="0.7">
      <c r="A620" s="19"/>
      <c r="B620" s="19"/>
      <c r="C620" s="19"/>
      <c r="D620" s="31"/>
      <c r="E620" s="31"/>
      <c r="F620" s="31"/>
      <c r="G620" s="31"/>
      <c r="H620" s="31"/>
      <c r="I620" s="31"/>
      <c r="J620" s="31"/>
      <c r="K620" s="19"/>
      <c r="L620" s="19"/>
      <c r="M620" s="19"/>
      <c r="N620" s="31"/>
      <c r="O620" s="31"/>
      <c r="P620" s="31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</row>
    <row r="621" spans="1:37" ht="46.5" customHeight="1" x14ac:dyDescent="0.7">
      <c r="A621" s="19"/>
      <c r="B621" s="19"/>
      <c r="C621" s="19"/>
      <c r="D621" s="31"/>
      <c r="E621" s="31"/>
      <c r="F621" s="31"/>
      <c r="G621" s="31"/>
      <c r="H621" s="31"/>
      <c r="I621" s="31"/>
      <c r="J621" s="31"/>
      <c r="K621" s="19"/>
      <c r="L621" s="19"/>
      <c r="M621" s="19"/>
      <c r="N621" s="31"/>
      <c r="O621" s="31"/>
      <c r="P621" s="31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</row>
    <row r="622" spans="1:37" ht="46.5" customHeight="1" x14ac:dyDescent="0.7">
      <c r="A622" s="19"/>
      <c r="B622" s="19"/>
      <c r="C622" s="19"/>
      <c r="D622" s="31"/>
      <c r="E622" s="31"/>
      <c r="F622" s="31"/>
      <c r="G622" s="31"/>
      <c r="H622" s="31"/>
      <c r="I622" s="31"/>
      <c r="J622" s="31"/>
      <c r="K622" s="19"/>
      <c r="L622" s="19"/>
      <c r="M622" s="19"/>
      <c r="N622" s="31"/>
      <c r="O622" s="31"/>
      <c r="P622" s="31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</row>
    <row r="623" spans="1:37" ht="46.5" customHeight="1" x14ac:dyDescent="0.7">
      <c r="A623" s="19"/>
      <c r="B623" s="19"/>
      <c r="C623" s="19"/>
      <c r="D623" s="31"/>
      <c r="E623" s="31"/>
      <c r="F623" s="31"/>
      <c r="G623" s="31"/>
      <c r="H623" s="31"/>
      <c r="I623" s="31"/>
      <c r="J623" s="31"/>
      <c r="K623" s="19"/>
      <c r="L623" s="19"/>
      <c r="M623" s="19"/>
      <c r="N623" s="31"/>
      <c r="O623" s="31"/>
      <c r="P623" s="31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</row>
    <row r="624" spans="1:37" ht="46.5" customHeight="1" x14ac:dyDescent="0.7">
      <c r="A624" s="19"/>
      <c r="B624" s="19"/>
      <c r="C624" s="19"/>
      <c r="D624" s="31"/>
      <c r="E624" s="31"/>
      <c r="F624" s="31"/>
      <c r="G624" s="31"/>
      <c r="H624" s="31"/>
      <c r="I624" s="31"/>
      <c r="J624" s="31"/>
      <c r="K624" s="19"/>
      <c r="L624" s="19"/>
      <c r="M624" s="19"/>
      <c r="N624" s="31"/>
      <c r="O624" s="31"/>
      <c r="P624" s="31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</row>
    <row r="625" spans="1:37" ht="46.5" customHeight="1" x14ac:dyDescent="0.7">
      <c r="A625" s="19"/>
      <c r="B625" s="19"/>
      <c r="C625" s="19"/>
      <c r="D625" s="31"/>
      <c r="E625" s="31"/>
      <c r="F625" s="31"/>
      <c r="G625" s="31"/>
      <c r="H625" s="31"/>
      <c r="I625" s="31"/>
      <c r="J625" s="31"/>
      <c r="K625" s="19"/>
      <c r="L625" s="19"/>
      <c r="M625" s="19"/>
      <c r="N625" s="31"/>
      <c r="O625" s="31"/>
      <c r="P625" s="31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</row>
    <row r="626" spans="1:37" ht="46.5" customHeight="1" x14ac:dyDescent="0.7">
      <c r="A626" s="19"/>
      <c r="B626" s="19"/>
      <c r="C626" s="19"/>
      <c r="D626" s="31"/>
      <c r="E626" s="31"/>
      <c r="F626" s="31"/>
      <c r="G626" s="31"/>
      <c r="H626" s="31"/>
      <c r="I626" s="31"/>
      <c r="J626" s="31"/>
      <c r="K626" s="19"/>
      <c r="L626" s="19"/>
      <c r="M626" s="19"/>
      <c r="N626" s="31"/>
      <c r="O626" s="31"/>
      <c r="P626" s="31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</row>
    <row r="627" spans="1:37" ht="46.5" customHeight="1" x14ac:dyDescent="0.7">
      <c r="A627" s="19"/>
      <c r="B627" s="19"/>
      <c r="C627" s="19"/>
      <c r="D627" s="31"/>
      <c r="E627" s="31"/>
      <c r="F627" s="31"/>
      <c r="G627" s="31"/>
      <c r="H627" s="31"/>
      <c r="I627" s="31"/>
      <c r="J627" s="31"/>
      <c r="K627" s="19"/>
      <c r="L627" s="19"/>
      <c r="M627" s="19"/>
      <c r="N627" s="31"/>
      <c r="O627" s="31"/>
      <c r="P627" s="31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</row>
    <row r="628" spans="1:37" ht="46.5" customHeight="1" x14ac:dyDescent="0.7">
      <c r="A628" s="19"/>
      <c r="B628" s="19"/>
      <c r="C628" s="19"/>
      <c r="D628" s="31"/>
      <c r="E628" s="31"/>
      <c r="F628" s="31"/>
      <c r="G628" s="31"/>
      <c r="H628" s="31"/>
      <c r="I628" s="31"/>
      <c r="J628" s="31"/>
      <c r="K628" s="19"/>
      <c r="L628" s="19"/>
      <c r="M628" s="19"/>
      <c r="N628" s="31"/>
      <c r="O628" s="31"/>
      <c r="P628" s="31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</row>
    <row r="629" spans="1:37" ht="46.5" customHeight="1" x14ac:dyDescent="0.7">
      <c r="A629" s="19"/>
      <c r="B629" s="19"/>
      <c r="C629" s="19"/>
      <c r="D629" s="31"/>
      <c r="E629" s="31"/>
      <c r="F629" s="31"/>
      <c r="G629" s="31"/>
      <c r="H629" s="31"/>
      <c r="I629" s="31"/>
      <c r="J629" s="31"/>
      <c r="K629" s="19"/>
      <c r="L629" s="19"/>
      <c r="M629" s="19"/>
      <c r="N629" s="31"/>
      <c r="O629" s="31"/>
      <c r="P629" s="31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</row>
    <row r="630" spans="1:37" ht="46.5" customHeight="1" x14ac:dyDescent="0.7">
      <c r="A630" s="19"/>
      <c r="B630" s="19"/>
      <c r="C630" s="19"/>
      <c r="D630" s="31"/>
      <c r="E630" s="31"/>
      <c r="F630" s="31"/>
      <c r="G630" s="31"/>
      <c r="H630" s="31"/>
      <c r="I630" s="31"/>
      <c r="J630" s="31"/>
      <c r="K630" s="19"/>
      <c r="L630" s="19"/>
      <c r="M630" s="19"/>
      <c r="N630" s="31"/>
      <c r="O630" s="31"/>
      <c r="P630" s="31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</row>
    <row r="631" spans="1:37" ht="46.5" customHeight="1" x14ac:dyDescent="0.7">
      <c r="A631" s="19"/>
      <c r="B631" s="19"/>
      <c r="C631" s="19"/>
      <c r="D631" s="31"/>
      <c r="E631" s="31"/>
      <c r="F631" s="31"/>
      <c r="G631" s="31"/>
      <c r="H631" s="31"/>
      <c r="I631" s="31"/>
      <c r="J631" s="31"/>
      <c r="K631" s="19"/>
      <c r="L631" s="19"/>
      <c r="M631" s="19"/>
      <c r="N631" s="31"/>
      <c r="O631" s="31"/>
      <c r="P631" s="31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</row>
    <row r="632" spans="1:37" ht="46.5" customHeight="1" x14ac:dyDescent="0.7">
      <c r="A632" s="19"/>
      <c r="B632" s="19"/>
      <c r="C632" s="19"/>
      <c r="D632" s="31"/>
      <c r="E632" s="31"/>
      <c r="F632" s="31"/>
      <c r="G632" s="31"/>
      <c r="H632" s="31"/>
      <c r="I632" s="31"/>
      <c r="J632" s="31"/>
      <c r="K632" s="19"/>
      <c r="L632" s="19"/>
      <c r="M632" s="19"/>
      <c r="N632" s="31"/>
      <c r="O632" s="31"/>
      <c r="P632" s="31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</row>
    <row r="633" spans="1:37" ht="46.5" customHeight="1" x14ac:dyDescent="0.7">
      <c r="A633" s="19"/>
      <c r="B633" s="19"/>
      <c r="C633" s="19"/>
      <c r="D633" s="31"/>
      <c r="E633" s="31"/>
      <c r="F633" s="31"/>
      <c r="G633" s="31"/>
      <c r="H633" s="31"/>
      <c r="I633" s="31"/>
      <c r="J633" s="31"/>
      <c r="K633" s="19"/>
      <c r="L633" s="19"/>
      <c r="M633" s="19"/>
      <c r="N633" s="31"/>
      <c r="O633" s="31"/>
      <c r="P633" s="31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</row>
    <row r="634" spans="1:37" ht="46.5" customHeight="1" x14ac:dyDescent="0.7">
      <c r="A634" s="19"/>
      <c r="B634" s="19"/>
      <c r="C634" s="19"/>
      <c r="D634" s="31"/>
      <c r="E634" s="31"/>
      <c r="F634" s="31"/>
      <c r="G634" s="31"/>
      <c r="H634" s="31"/>
      <c r="I634" s="31"/>
      <c r="J634" s="31"/>
      <c r="K634" s="19"/>
      <c r="L634" s="19"/>
      <c r="M634" s="19"/>
      <c r="N634" s="31"/>
      <c r="O634" s="31"/>
      <c r="P634" s="31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</row>
    <row r="635" spans="1:37" ht="46.5" customHeight="1" x14ac:dyDescent="0.7">
      <c r="A635" s="19"/>
      <c r="B635" s="19"/>
      <c r="C635" s="19"/>
      <c r="D635" s="31"/>
      <c r="E635" s="31"/>
      <c r="F635" s="31"/>
      <c r="G635" s="31"/>
      <c r="H635" s="31"/>
      <c r="I635" s="31"/>
      <c r="J635" s="31"/>
      <c r="K635" s="19"/>
      <c r="L635" s="19"/>
      <c r="M635" s="19"/>
      <c r="N635" s="31"/>
      <c r="O635" s="31"/>
      <c r="P635" s="31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</row>
    <row r="636" spans="1:37" ht="46.5" customHeight="1" x14ac:dyDescent="0.7">
      <c r="A636" s="19"/>
      <c r="B636" s="19"/>
      <c r="C636" s="19"/>
      <c r="D636" s="31"/>
      <c r="E636" s="31"/>
      <c r="F636" s="31"/>
      <c r="G636" s="31"/>
      <c r="H636" s="31"/>
      <c r="I636" s="31"/>
      <c r="J636" s="31"/>
      <c r="K636" s="19"/>
      <c r="L636" s="19"/>
      <c r="M636" s="19"/>
      <c r="N636" s="31"/>
      <c r="O636" s="31"/>
      <c r="P636" s="31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</row>
    <row r="637" spans="1:37" ht="46.5" customHeight="1" x14ac:dyDescent="0.7">
      <c r="A637" s="19"/>
      <c r="B637" s="19"/>
      <c r="C637" s="19"/>
      <c r="D637" s="31"/>
      <c r="E637" s="31"/>
      <c r="F637" s="31"/>
      <c r="G637" s="31"/>
      <c r="H637" s="31"/>
      <c r="I637" s="31"/>
      <c r="J637" s="31"/>
      <c r="K637" s="19"/>
      <c r="L637" s="19"/>
      <c r="M637" s="19"/>
      <c r="N637" s="31"/>
      <c r="O637" s="31"/>
      <c r="P637" s="31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</row>
    <row r="638" spans="1:37" ht="46.5" customHeight="1" x14ac:dyDescent="0.7">
      <c r="A638" s="19"/>
      <c r="B638" s="19"/>
      <c r="C638" s="19"/>
      <c r="D638" s="31"/>
      <c r="E638" s="31"/>
      <c r="F638" s="31"/>
      <c r="G638" s="31"/>
      <c r="H638" s="31"/>
      <c r="I638" s="31"/>
      <c r="J638" s="31"/>
      <c r="K638" s="19"/>
      <c r="L638" s="19"/>
      <c r="M638" s="19"/>
      <c r="N638" s="31"/>
      <c r="O638" s="31"/>
      <c r="P638" s="31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</row>
    <row r="639" spans="1:37" ht="46.5" customHeight="1" x14ac:dyDescent="0.7">
      <c r="A639" s="19"/>
      <c r="B639" s="19"/>
      <c r="C639" s="19"/>
      <c r="D639" s="31"/>
      <c r="E639" s="31"/>
      <c r="F639" s="31"/>
      <c r="G639" s="31"/>
      <c r="H639" s="31"/>
      <c r="I639" s="31"/>
      <c r="J639" s="31"/>
      <c r="K639" s="19"/>
      <c r="L639" s="19"/>
      <c r="M639" s="19"/>
      <c r="N639" s="31"/>
      <c r="O639" s="31"/>
      <c r="P639" s="31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</row>
    <row r="640" spans="1:37" ht="46.5" customHeight="1" x14ac:dyDescent="0.7">
      <c r="A640" s="19"/>
      <c r="B640" s="19"/>
      <c r="C640" s="19"/>
      <c r="D640" s="31"/>
      <c r="E640" s="31"/>
      <c r="F640" s="31"/>
      <c r="G640" s="31"/>
      <c r="H640" s="31"/>
      <c r="I640" s="31"/>
      <c r="J640" s="31"/>
      <c r="K640" s="19"/>
      <c r="L640" s="19"/>
      <c r="M640" s="19"/>
      <c r="N640" s="31"/>
      <c r="O640" s="31"/>
      <c r="P640" s="31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</row>
    <row r="641" spans="1:37" ht="46.5" customHeight="1" x14ac:dyDescent="0.7">
      <c r="A641" s="19"/>
      <c r="B641" s="19"/>
      <c r="C641" s="19"/>
      <c r="D641" s="31"/>
      <c r="E641" s="31"/>
      <c r="F641" s="31"/>
      <c r="G641" s="31"/>
      <c r="H641" s="31"/>
      <c r="I641" s="31"/>
      <c r="J641" s="31"/>
      <c r="K641" s="19"/>
      <c r="L641" s="19"/>
      <c r="M641" s="19"/>
      <c r="N641" s="31"/>
      <c r="O641" s="31"/>
      <c r="P641" s="31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</row>
    <row r="642" spans="1:37" ht="46.5" customHeight="1" x14ac:dyDescent="0.7">
      <c r="A642" s="19"/>
      <c r="B642" s="19"/>
      <c r="C642" s="19"/>
      <c r="D642" s="31"/>
      <c r="E642" s="31"/>
      <c r="F642" s="31"/>
      <c r="G642" s="31"/>
      <c r="H642" s="31"/>
      <c r="I642" s="31"/>
      <c r="J642" s="31"/>
      <c r="K642" s="19"/>
      <c r="L642" s="19"/>
      <c r="M642" s="19"/>
      <c r="N642" s="31"/>
      <c r="O642" s="31"/>
      <c r="P642" s="31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</row>
    <row r="643" spans="1:37" ht="46.5" customHeight="1" x14ac:dyDescent="0.7">
      <c r="A643" s="19"/>
      <c r="B643" s="19"/>
      <c r="C643" s="19"/>
      <c r="D643" s="31"/>
      <c r="E643" s="31"/>
      <c r="F643" s="31"/>
      <c r="G643" s="31"/>
      <c r="H643" s="31"/>
      <c r="I643" s="31"/>
      <c r="J643" s="31"/>
      <c r="K643" s="19"/>
      <c r="L643" s="19"/>
      <c r="M643" s="19"/>
      <c r="N643" s="31"/>
      <c r="O643" s="31"/>
      <c r="P643" s="31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</row>
    <row r="644" spans="1:37" ht="46.5" customHeight="1" x14ac:dyDescent="0.7">
      <c r="A644" s="19"/>
      <c r="B644" s="19"/>
      <c r="C644" s="19"/>
      <c r="D644" s="31"/>
      <c r="E644" s="31"/>
      <c r="F644" s="31"/>
      <c r="G644" s="31"/>
      <c r="H644" s="31"/>
      <c r="I644" s="31"/>
      <c r="J644" s="31"/>
      <c r="K644" s="19"/>
      <c r="L644" s="19"/>
      <c r="M644" s="19"/>
      <c r="N644" s="31"/>
      <c r="O644" s="31"/>
      <c r="P644" s="31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</row>
    <row r="645" spans="1:37" ht="46.5" customHeight="1" x14ac:dyDescent="0.7">
      <c r="A645" s="19"/>
      <c r="B645" s="19"/>
      <c r="C645" s="19"/>
      <c r="D645" s="31"/>
      <c r="E645" s="31"/>
      <c r="F645" s="31"/>
      <c r="G645" s="31"/>
      <c r="H645" s="31"/>
      <c r="I645" s="31"/>
      <c r="J645" s="31"/>
      <c r="K645" s="19"/>
      <c r="L645" s="19"/>
      <c r="M645" s="19"/>
      <c r="N645" s="31"/>
      <c r="O645" s="31"/>
      <c r="P645" s="31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</row>
    <row r="646" spans="1:37" ht="46.5" customHeight="1" x14ac:dyDescent="0.7">
      <c r="A646" s="19"/>
      <c r="B646" s="19"/>
      <c r="C646" s="19"/>
      <c r="D646" s="31"/>
      <c r="E646" s="31"/>
      <c r="F646" s="31"/>
      <c r="G646" s="31"/>
      <c r="H646" s="31"/>
      <c r="I646" s="31"/>
      <c r="J646" s="31"/>
      <c r="K646" s="19"/>
      <c r="L646" s="19"/>
      <c r="M646" s="19"/>
      <c r="N646" s="31"/>
      <c r="O646" s="31"/>
      <c r="P646" s="31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</row>
    <row r="647" spans="1:37" ht="46.5" customHeight="1" x14ac:dyDescent="0.7">
      <c r="A647" s="19"/>
      <c r="B647" s="19"/>
      <c r="C647" s="19"/>
      <c r="D647" s="31"/>
      <c r="E647" s="31"/>
      <c r="F647" s="31"/>
      <c r="G647" s="31"/>
      <c r="H647" s="31"/>
      <c r="I647" s="31"/>
      <c r="J647" s="31"/>
      <c r="K647" s="19"/>
      <c r="L647" s="19"/>
      <c r="M647" s="19"/>
      <c r="N647" s="31"/>
      <c r="O647" s="31"/>
      <c r="P647" s="31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</row>
    <row r="648" spans="1:37" ht="46.5" customHeight="1" x14ac:dyDescent="0.7">
      <c r="A648" s="19"/>
      <c r="B648" s="19"/>
      <c r="C648" s="19"/>
      <c r="D648" s="31"/>
      <c r="E648" s="31"/>
      <c r="F648" s="31"/>
      <c r="G648" s="31"/>
      <c r="H648" s="31"/>
      <c r="I648" s="31"/>
      <c r="J648" s="31"/>
      <c r="K648" s="19"/>
      <c r="L648" s="19"/>
      <c r="M648" s="19"/>
      <c r="N648" s="31"/>
      <c r="O648" s="31"/>
      <c r="P648" s="31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</row>
    <row r="649" spans="1:37" ht="46.5" customHeight="1" x14ac:dyDescent="0.7">
      <c r="A649" s="19"/>
      <c r="B649" s="19"/>
      <c r="C649" s="19"/>
      <c r="D649" s="31"/>
      <c r="E649" s="31"/>
      <c r="F649" s="31"/>
      <c r="G649" s="31"/>
      <c r="H649" s="31"/>
      <c r="I649" s="31"/>
      <c r="J649" s="31"/>
      <c r="K649" s="19"/>
      <c r="L649" s="19"/>
      <c r="M649" s="19"/>
      <c r="N649" s="31"/>
      <c r="O649" s="31"/>
      <c r="P649" s="31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</row>
    <row r="650" spans="1:37" ht="46.5" customHeight="1" x14ac:dyDescent="0.7">
      <c r="A650" s="19"/>
      <c r="B650" s="19"/>
      <c r="C650" s="19"/>
      <c r="D650" s="31"/>
      <c r="E650" s="31"/>
      <c r="F650" s="31"/>
      <c r="G650" s="31"/>
      <c r="H650" s="31"/>
      <c r="I650" s="31"/>
      <c r="J650" s="31"/>
      <c r="K650" s="19"/>
      <c r="L650" s="19"/>
      <c r="M650" s="19"/>
      <c r="N650" s="31"/>
      <c r="O650" s="31"/>
      <c r="P650" s="31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</row>
    <row r="651" spans="1:37" ht="46.5" customHeight="1" x14ac:dyDescent="0.7">
      <c r="A651" s="19"/>
      <c r="B651" s="19"/>
      <c r="C651" s="19"/>
      <c r="D651" s="31"/>
      <c r="E651" s="31"/>
      <c r="F651" s="31"/>
      <c r="G651" s="31"/>
      <c r="H651" s="31"/>
      <c r="I651" s="31"/>
      <c r="J651" s="31"/>
      <c r="K651" s="19"/>
      <c r="L651" s="19"/>
      <c r="M651" s="19"/>
      <c r="N651" s="31"/>
      <c r="O651" s="31"/>
      <c r="P651" s="31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</row>
    <row r="652" spans="1:37" ht="46.5" customHeight="1" x14ac:dyDescent="0.7">
      <c r="A652" s="19"/>
      <c r="B652" s="19"/>
      <c r="C652" s="19"/>
      <c r="D652" s="31"/>
      <c r="E652" s="31"/>
      <c r="F652" s="31"/>
      <c r="G652" s="31"/>
      <c r="H652" s="31"/>
      <c r="I652" s="31"/>
      <c r="J652" s="31"/>
      <c r="K652" s="19"/>
      <c r="L652" s="19"/>
      <c r="M652" s="19"/>
      <c r="N652" s="31"/>
      <c r="O652" s="31"/>
      <c r="P652" s="31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</row>
    <row r="653" spans="1:37" ht="46.5" customHeight="1" x14ac:dyDescent="0.7">
      <c r="A653" s="19"/>
      <c r="B653" s="19"/>
      <c r="C653" s="19"/>
      <c r="D653" s="31"/>
      <c r="E653" s="31"/>
      <c r="F653" s="31"/>
      <c r="G653" s="31"/>
      <c r="H653" s="31"/>
      <c r="I653" s="31"/>
      <c r="J653" s="31"/>
      <c r="K653" s="19"/>
      <c r="L653" s="19"/>
      <c r="M653" s="19"/>
      <c r="N653" s="31"/>
      <c r="O653" s="31"/>
      <c r="P653" s="31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</row>
    <row r="654" spans="1:37" ht="46.5" customHeight="1" x14ac:dyDescent="0.7">
      <c r="A654" s="19"/>
      <c r="B654" s="19"/>
      <c r="C654" s="19"/>
      <c r="D654" s="31"/>
      <c r="E654" s="31"/>
      <c r="F654" s="31"/>
      <c r="G654" s="31"/>
      <c r="H654" s="31"/>
      <c r="I654" s="31"/>
      <c r="J654" s="31"/>
      <c r="K654" s="19"/>
      <c r="L654" s="19"/>
      <c r="M654" s="19"/>
      <c r="N654" s="31"/>
      <c r="O654" s="31"/>
      <c r="P654" s="31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</row>
    <row r="655" spans="1:37" ht="46.5" customHeight="1" x14ac:dyDescent="0.7">
      <c r="A655" s="19"/>
      <c r="B655" s="19"/>
      <c r="C655" s="19"/>
      <c r="D655" s="31"/>
      <c r="E655" s="31"/>
      <c r="F655" s="31"/>
      <c r="G655" s="31"/>
      <c r="H655" s="31"/>
      <c r="I655" s="31"/>
      <c r="J655" s="31"/>
      <c r="K655" s="19"/>
      <c r="L655" s="19"/>
      <c r="M655" s="19"/>
      <c r="N655" s="31"/>
      <c r="O655" s="31"/>
      <c r="P655" s="31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</row>
    <row r="656" spans="1:37" ht="46.5" customHeight="1" x14ac:dyDescent="0.7">
      <c r="A656" s="19"/>
      <c r="B656" s="19"/>
      <c r="C656" s="19"/>
      <c r="D656" s="31"/>
      <c r="E656" s="31"/>
      <c r="F656" s="31"/>
      <c r="G656" s="31"/>
      <c r="H656" s="31"/>
      <c r="I656" s="31"/>
      <c r="J656" s="31"/>
      <c r="K656" s="19"/>
      <c r="L656" s="19"/>
      <c r="M656" s="19"/>
      <c r="N656" s="31"/>
      <c r="O656" s="31"/>
      <c r="P656" s="31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</row>
    <row r="657" spans="1:37" ht="46.5" customHeight="1" x14ac:dyDescent="0.7">
      <c r="A657" s="19"/>
      <c r="B657" s="19"/>
      <c r="C657" s="19"/>
      <c r="D657" s="31"/>
      <c r="E657" s="31"/>
      <c r="F657" s="31"/>
      <c r="G657" s="31"/>
      <c r="H657" s="31"/>
      <c r="I657" s="31"/>
      <c r="J657" s="31"/>
      <c r="K657" s="19"/>
      <c r="L657" s="19"/>
      <c r="M657" s="19"/>
      <c r="N657" s="31"/>
      <c r="O657" s="31"/>
      <c r="P657" s="31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</row>
    <row r="658" spans="1:37" ht="46.5" customHeight="1" x14ac:dyDescent="0.7">
      <c r="A658" s="19"/>
      <c r="B658" s="19"/>
      <c r="C658" s="19"/>
      <c r="D658" s="31"/>
      <c r="E658" s="31"/>
      <c r="F658" s="31"/>
      <c r="G658" s="31"/>
      <c r="H658" s="31"/>
      <c r="I658" s="31"/>
      <c r="J658" s="31"/>
      <c r="K658" s="19"/>
      <c r="L658" s="19"/>
      <c r="M658" s="19"/>
      <c r="N658" s="31"/>
      <c r="O658" s="31"/>
      <c r="P658" s="31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</row>
    <row r="659" spans="1:37" ht="46.5" customHeight="1" x14ac:dyDescent="0.7">
      <c r="A659" s="19"/>
      <c r="B659" s="19"/>
      <c r="C659" s="19"/>
      <c r="D659" s="31"/>
      <c r="E659" s="31"/>
      <c r="F659" s="31"/>
      <c r="G659" s="31"/>
      <c r="H659" s="31"/>
      <c r="I659" s="31"/>
      <c r="J659" s="31"/>
      <c r="K659" s="19"/>
      <c r="L659" s="19"/>
      <c r="M659" s="19"/>
      <c r="N659" s="31"/>
      <c r="O659" s="31"/>
      <c r="P659" s="31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</row>
    <row r="660" spans="1:37" ht="46.5" customHeight="1" x14ac:dyDescent="0.7">
      <c r="A660" s="19"/>
      <c r="B660" s="19"/>
      <c r="C660" s="19"/>
      <c r="D660" s="31"/>
      <c r="E660" s="31"/>
      <c r="F660" s="31"/>
      <c r="G660" s="31"/>
      <c r="H660" s="31"/>
      <c r="I660" s="31"/>
      <c r="J660" s="31"/>
      <c r="K660" s="19"/>
      <c r="L660" s="19"/>
      <c r="M660" s="19"/>
      <c r="N660" s="31"/>
      <c r="O660" s="31"/>
      <c r="P660" s="31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</row>
    <row r="661" spans="1:37" ht="46.5" customHeight="1" x14ac:dyDescent="0.7">
      <c r="A661" s="19"/>
      <c r="B661" s="19"/>
      <c r="C661" s="19"/>
      <c r="D661" s="31"/>
      <c r="E661" s="31"/>
      <c r="F661" s="31"/>
      <c r="G661" s="31"/>
      <c r="H661" s="31"/>
      <c r="I661" s="31"/>
      <c r="J661" s="31"/>
      <c r="K661" s="19"/>
      <c r="L661" s="19"/>
      <c r="M661" s="19"/>
      <c r="N661" s="31"/>
      <c r="O661" s="31"/>
      <c r="P661" s="31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</row>
    <row r="662" spans="1:37" ht="46.5" customHeight="1" x14ac:dyDescent="0.7">
      <c r="A662" s="19"/>
      <c r="B662" s="19"/>
      <c r="C662" s="19"/>
      <c r="D662" s="31"/>
      <c r="E662" s="31"/>
      <c r="F662" s="31"/>
      <c r="G662" s="31"/>
      <c r="H662" s="31"/>
      <c r="I662" s="31"/>
      <c r="J662" s="31"/>
      <c r="K662" s="19"/>
      <c r="L662" s="19"/>
      <c r="M662" s="19"/>
      <c r="N662" s="31"/>
      <c r="O662" s="31"/>
      <c r="P662" s="31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</row>
    <row r="663" spans="1:37" ht="46.5" customHeight="1" x14ac:dyDescent="0.7">
      <c r="A663" s="19"/>
      <c r="B663" s="19"/>
      <c r="C663" s="19"/>
      <c r="D663" s="31"/>
      <c r="E663" s="31"/>
      <c r="F663" s="31"/>
      <c r="G663" s="31"/>
      <c r="H663" s="31"/>
      <c r="I663" s="31"/>
      <c r="J663" s="31"/>
      <c r="K663" s="19"/>
      <c r="L663" s="19"/>
      <c r="M663" s="19"/>
      <c r="N663" s="31"/>
      <c r="O663" s="31"/>
      <c r="P663" s="31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</row>
    <row r="664" spans="1:37" ht="46.5" customHeight="1" x14ac:dyDescent="0.7">
      <c r="A664" s="19"/>
      <c r="B664" s="19"/>
      <c r="C664" s="19"/>
      <c r="D664" s="31"/>
      <c r="E664" s="31"/>
      <c r="F664" s="31"/>
      <c r="G664" s="31"/>
      <c r="H664" s="31"/>
      <c r="I664" s="31"/>
      <c r="J664" s="31"/>
      <c r="K664" s="19"/>
      <c r="L664" s="19"/>
      <c r="M664" s="19"/>
      <c r="N664" s="31"/>
      <c r="O664" s="31"/>
      <c r="P664" s="31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</row>
    <row r="665" spans="1:37" ht="46.5" customHeight="1" x14ac:dyDescent="0.7">
      <c r="A665" s="19"/>
      <c r="B665" s="19"/>
      <c r="C665" s="19"/>
      <c r="D665" s="31"/>
      <c r="E665" s="31"/>
      <c r="F665" s="31"/>
      <c r="G665" s="31"/>
      <c r="H665" s="31"/>
      <c r="I665" s="31"/>
      <c r="J665" s="31"/>
      <c r="K665" s="19"/>
      <c r="L665" s="19"/>
      <c r="M665" s="19"/>
      <c r="N665" s="31"/>
      <c r="O665" s="31"/>
      <c r="P665" s="31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</row>
    <row r="666" spans="1:37" ht="46.5" customHeight="1" x14ac:dyDescent="0.7">
      <c r="A666" s="19"/>
      <c r="B666" s="19"/>
      <c r="C666" s="19"/>
      <c r="D666" s="31"/>
      <c r="E666" s="31"/>
      <c r="F666" s="31"/>
      <c r="G666" s="31"/>
      <c r="H666" s="31"/>
      <c r="I666" s="31"/>
      <c r="J666" s="31"/>
      <c r="K666" s="19"/>
      <c r="L666" s="19"/>
      <c r="M666" s="19"/>
      <c r="N666" s="31"/>
      <c r="O666" s="31"/>
      <c r="P666" s="31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</row>
    <row r="667" spans="1:37" ht="46.5" customHeight="1" x14ac:dyDescent="0.7">
      <c r="A667" s="19"/>
      <c r="B667" s="19"/>
      <c r="C667" s="19"/>
      <c r="D667" s="31"/>
      <c r="E667" s="31"/>
      <c r="F667" s="31"/>
      <c r="G667" s="31"/>
      <c r="H667" s="31"/>
      <c r="I667" s="31"/>
      <c r="J667" s="31"/>
      <c r="K667" s="19"/>
      <c r="L667" s="19"/>
      <c r="M667" s="19"/>
      <c r="N667" s="31"/>
      <c r="O667" s="31"/>
      <c r="P667" s="31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</row>
    <row r="668" spans="1:37" ht="46.5" customHeight="1" x14ac:dyDescent="0.7">
      <c r="A668" s="19"/>
      <c r="B668" s="19"/>
      <c r="C668" s="19"/>
      <c r="D668" s="31"/>
      <c r="E668" s="31"/>
      <c r="F668" s="31"/>
      <c r="G668" s="31"/>
      <c r="H668" s="31"/>
      <c r="I668" s="31"/>
      <c r="J668" s="31"/>
      <c r="K668" s="19"/>
      <c r="L668" s="19"/>
      <c r="M668" s="19"/>
      <c r="N668" s="31"/>
      <c r="O668" s="31"/>
      <c r="P668" s="31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</row>
    <row r="669" spans="1:37" ht="46.5" customHeight="1" x14ac:dyDescent="0.7">
      <c r="A669" s="19"/>
      <c r="B669" s="19"/>
      <c r="C669" s="19"/>
      <c r="D669" s="31"/>
      <c r="E669" s="31"/>
      <c r="F669" s="31"/>
      <c r="G669" s="31"/>
      <c r="H669" s="31"/>
      <c r="I669" s="31"/>
      <c r="J669" s="31"/>
      <c r="K669" s="19"/>
      <c r="L669" s="19"/>
      <c r="M669" s="19"/>
      <c r="N669" s="31"/>
      <c r="O669" s="31"/>
      <c r="P669" s="31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</row>
    <row r="670" spans="1:37" ht="46.5" customHeight="1" x14ac:dyDescent="0.7">
      <c r="A670" s="19"/>
      <c r="B670" s="19"/>
      <c r="C670" s="19"/>
      <c r="D670" s="31"/>
      <c r="E670" s="31"/>
      <c r="F670" s="31"/>
      <c r="G670" s="31"/>
      <c r="H670" s="31"/>
      <c r="I670" s="31"/>
      <c r="J670" s="31"/>
      <c r="K670" s="19"/>
      <c r="L670" s="19"/>
      <c r="M670" s="19"/>
      <c r="N670" s="31"/>
      <c r="O670" s="31"/>
      <c r="P670" s="31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</row>
    <row r="671" spans="1:37" ht="46.5" customHeight="1" x14ac:dyDescent="0.7">
      <c r="A671" s="19"/>
      <c r="B671" s="19"/>
      <c r="C671" s="19"/>
      <c r="D671" s="31"/>
      <c r="E671" s="31"/>
      <c r="F671" s="31"/>
      <c r="G671" s="31"/>
      <c r="H671" s="31"/>
      <c r="I671" s="31"/>
      <c r="J671" s="31"/>
      <c r="K671" s="19"/>
      <c r="L671" s="19"/>
      <c r="M671" s="19"/>
      <c r="N671" s="31"/>
      <c r="O671" s="31"/>
      <c r="P671" s="31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</row>
    <row r="672" spans="1:37" ht="46.5" customHeight="1" x14ac:dyDescent="0.7">
      <c r="A672" s="19"/>
      <c r="B672" s="19"/>
      <c r="C672" s="19"/>
      <c r="D672" s="31"/>
      <c r="E672" s="31"/>
      <c r="F672" s="31"/>
      <c r="G672" s="31"/>
      <c r="H672" s="31"/>
      <c r="I672" s="31"/>
      <c r="J672" s="31"/>
      <c r="K672" s="19"/>
      <c r="L672" s="19"/>
      <c r="M672" s="19"/>
      <c r="N672" s="31"/>
      <c r="O672" s="31"/>
      <c r="P672" s="31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</row>
    <row r="673" spans="1:37" ht="46.5" customHeight="1" x14ac:dyDescent="0.7">
      <c r="A673" s="19"/>
      <c r="B673" s="19"/>
      <c r="C673" s="19"/>
      <c r="D673" s="31"/>
      <c r="E673" s="31"/>
      <c r="F673" s="31"/>
      <c r="G673" s="31"/>
      <c r="H673" s="31"/>
      <c r="I673" s="31"/>
      <c r="J673" s="31"/>
      <c r="K673" s="19"/>
      <c r="L673" s="19"/>
      <c r="M673" s="19"/>
      <c r="N673" s="31"/>
      <c r="O673" s="31"/>
      <c r="P673" s="31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</row>
    <row r="674" spans="1:37" ht="46.5" customHeight="1" x14ac:dyDescent="0.7">
      <c r="A674" s="19"/>
      <c r="B674" s="19"/>
      <c r="C674" s="19"/>
      <c r="D674" s="31"/>
      <c r="E674" s="31"/>
      <c r="F674" s="31"/>
      <c r="G674" s="31"/>
      <c r="H674" s="31"/>
      <c r="I674" s="31"/>
      <c r="J674" s="31"/>
      <c r="K674" s="19"/>
      <c r="L674" s="19"/>
      <c r="M674" s="19"/>
      <c r="N674" s="31"/>
      <c r="O674" s="31"/>
      <c r="P674" s="31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</row>
    <row r="675" spans="1:37" ht="46.5" customHeight="1" x14ac:dyDescent="0.7">
      <c r="A675" s="19"/>
      <c r="B675" s="19"/>
      <c r="C675" s="19"/>
      <c r="D675" s="31"/>
      <c r="E675" s="31"/>
      <c r="F675" s="31"/>
      <c r="G675" s="31"/>
      <c r="H675" s="31"/>
      <c r="I675" s="31"/>
      <c r="J675" s="31"/>
      <c r="K675" s="19"/>
      <c r="L675" s="19"/>
      <c r="M675" s="19"/>
      <c r="N675" s="31"/>
      <c r="O675" s="31"/>
      <c r="P675" s="31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</row>
    <row r="676" spans="1:37" ht="46.5" customHeight="1" x14ac:dyDescent="0.7">
      <c r="A676" s="19"/>
      <c r="B676" s="19"/>
      <c r="C676" s="19"/>
      <c r="D676" s="31"/>
      <c r="E676" s="31"/>
      <c r="F676" s="31"/>
      <c r="G676" s="31"/>
      <c r="H676" s="31"/>
      <c r="I676" s="31"/>
      <c r="J676" s="31"/>
      <c r="K676" s="19"/>
      <c r="L676" s="19"/>
      <c r="M676" s="19"/>
      <c r="N676" s="31"/>
      <c r="O676" s="31"/>
      <c r="P676" s="31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</row>
    <row r="677" spans="1:37" ht="46.5" customHeight="1" x14ac:dyDescent="0.7">
      <c r="A677" s="19"/>
      <c r="B677" s="19"/>
      <c r="C677" s="19"/>
      <c r="D677" s="31"/>
      <c r="E677" s="31"/>
      <c r="F677" s="31"/>
      <c r="G677" s="31"/>
      <c r="H677" s="31"/>
      <c r="I677" s="31"/>
      <c r="J677" s="31"/>
      <c r="K677" s="19"/>
      <c r="L677" s="19"/>
      <c r="M677" s="19"/>
      <c r="N677" s="31"/>
      <c r="O677" s="31"/>
      <c r="P677" s="31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</row>
    <row r="678" spans="1:37" ht="46.5" customHeight="1" x14ac:dyDescent="0.7">
      <c r="A678" s="19"/>
      <c r="B678" s="19"/>
      <c r="C678" s="19"/>
      <c r="D678" s="31"/>
      <c r="E678" s="31"/>
      <c r="F678" s="31"/>
      <c r="G678" s="31"/>
      <c r="H678" s="31"/>
      <c r="I678" s="31"/>
      <c r="J678" s="31"/>
      <c r="K678" s="19"/>
      <c r="L678" s="19"/>
      <c r="M678" s="19"/>
      <c r="N678" s="31"/>
      <c r="O678" s="31"/>
      <c r="P678" s="31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</row>
    <row r="679" spans="1:37" ht="46.5" customHeight="1" x14ac:dyDescent="0.7">
      <c r="A679" s="19"/>
      <c r="B679" s="19"/>
      <c r="C679" s="19"/>
      <c r="D679" s="31"/>
      <c r="E679" s="31"/>
      <c r="F679" s="31"/>
      <c r="G679" s="31"/>
      <c r="H679" s="31"/>
      <c r="I679" s="31"/>
      <c r="J679" s="31"/>
      <c r="K679" s="19"/>
      <c r="L679" s="19"/>
      <c r="M679" s="19"/>
      <c r="N679" s="31"/>
      <c r="O679" s="31"/>
      <c r="P679" s="31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</row>
    <row r="680" spans="1:37" ht="46.5" customHeight="1" x14ac:dyDescent="0.7">
      <c r="A680" s="19"/>
      <c r="B680" s="19"/>
      <c r="C680" s="19"/>
      <c r="D680" s="31"/>
      <c r="E680" s="31"/>
      <c r="F680" s="31"/>
      <c r="G680" s="31"/>
      <c r="H680" s="31"/>
      <c r="I680" s="31"/>
      <c r="J680" s="31"/>
      <c r="K680" s="19"/>
      <c r="L680" s="19"/>
      <c r="M680" s="19"/>
      <c r="N680" s="31"/>
      <c r="O680" s="31"/>
      <c r="P680" s="31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</row>
    <row r="681" spans="1:37" ht="46.5" customHeight="1" x14ac:dyDescent="0.7">
      <c r="A681" s="19"/>
      <c r="B681" s="19"/>
      <c r="C681" s="19"/>
      <c r="D681" s="31"/>
      <c r="E681" s="31"/>
      <c r="F681" s="31"/>
      <c r="G681" s="31"/>
      <c r="H681" s="31"/>
      <c r="I681" s="31"/>
      <c r="J681" s="31"/>
      <c r="K681" s="19"/>
      <c r="L681" s="19"/>
      <c r="M681" s="19"/>
      <c r="N681" s="31"/>
      <c r="O681" s="31"/>
      <c r="P681" s="31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</row>
    <row r="682" spans="1:37" ht="46.5" customHeight="1" x14ac:dyDescent="0.7">
      <c r="A682" s="19"/>
      <c r="B682" s="19"/>
      <c r="C682" s="19"/>
      <c r="D682" s="31"/>
      <c r="E682" s="31"/>
      <c r="F682" s="31"/>
      <c r="G682" s="31"/>
      <c r="H682" s="31"/>
      <c r="I682" s="31"/>
      <c r="J682" s="31"/>
      <c r="K682" s="19"/>
      <c r="L682" s="19"/>
      <c r="M682" s="19"/>
      <c r="N682" s="31"/>
      <c r="O682" s="31"/>
      <c r="P682" s="31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</row>
    <row r="683" spans="1:37" ht="46.5" customHeight="1" x14ac:dyDescent="0.7">
      <c r="A683" s="19"/>
      <c r="B683" s="19"/>
      <c r="C683" s="19"/>
      <c r="D683" s="31"/>
      <c r="E683" s="31"/>
      <c r="F683" s="31"/>
      <c r="G683" s="31"/>
      <c r="H683" s="31"/>
      <c r="I683" s="31"/>
      <c r="J683" s="31"/>
      <c r="K683" s="19"/>
      <c r="L683" s="19"/>
      <c r="M683" s="19"/>
      <c r="N683" s="31"/>
      <c r="O683" s="31"/>
      <c r="P683" s="31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</row>
    <row r="684" spans="1:37" ht="46.5" customHeight="1" x14ac:dyDescent="0.7">
      <c r="A684" s="19"/>
      <c r="B684" s="19"/>
      <c r="C684" s="19"/>
      <c r="D684" s="31"/>
      <c r="E684" s="31"/>
      <c r="F684" s="31"/>
      <c r="G684" s="31"/>
      <c r="H684" s="31"/>
      <c r="I684" s="31"/>
      <c r="J684" s="31"/>
      <c r="K684" s="19"/>
      <c r="L684" s="19"/>
      <c r="M684" s="19"/>
      <c r="N684" s="31"/>
      <c r="O684" s="31"/>
      <c r="P684" s="31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</row>
    <row r="685" spans="1:37" ht="46.5" customHeight="1" x14ac:dyDescent="0.7">
      <c r="A685" s="19"/>
      <c r="B685" s="19"/>
      <c r="C685" s="19"/>
      <c r="D685" s="31"/>
      <c r="E685" s="31"/>
      <c r="F685" s="31"/>
      <c r="G685" s="31"/>
      <c r="H685" s="31"/>
      <c r="I685" s="31"/>
      <c r="J685" s="31"/>
      <c r="K685" s="19"/>
      <c r="L685" s="19"/>
      <c r="M685" s="19"/>
      <c r="N685" s="31"/>
      <c r="O685" s="31"/>
      <c r="P685" s="31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</row>
    <row r="686" spans="1:37" ht="46.5" customHeight="1" x14ac:dyDescent="0.7">
      <c r="A686" s="19"/>
      <c r="B686" s="19"/>
      <c r="C686" s="19"/>
      <c r="D686" s="31"/>
      <c r="E686" s="31"/>
      <c r="F686" s="31"/>
      <c r="G686" s="31"/>
      <c r="H686" s="31"/>
      <c r="I686" s="31"/>
      <c r="J686" s="31"/>
      <c r="K686" s="19"/>
      <c r="L686" s="19"/>
      <c r="M686" s="19"/>
      <c r="N686" s="31"/>
      <c r="O686" s="31"/>
      <c r="P686" s="31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</row>
    <row r="687" spans="1:37" ht="46.5" customHeight="1" x14ac:dyDescent="0.7">
      <c r="A687" s="19"/>
      <c r="B687" s="19"/>
      <c r="C687" s="19"/>
      <c r="D687" s="31"/>
      <c r="E687" s="31"/>
      <c r="F687" s="31"/>
      <c r="G687" s="31"/>
      <c r="H687" s="31"/>
      <c r="I687" s="31"/>
      <c r="J687" s="31"/>
      <c r="K687" s="19"/>
      <c r="L687" s="19"/>
      <c r="M687" s="19"/>
      <c r="N687" s="31"/>
      <c r="O687" s="31"/>
      <c r="P687" s="31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</row>
    <row r="688" spans="1:37" ht="46.5" customHeight="1" x14ac:dyDescent="0.7">
      <c r="A688" s="19"/>
      <c r="B688" s="19"/>
      <c r="C688" s="19"/>
      <c r="D688" s="31"/>
      <c r="E688" s="31"/>
      <c r="F688" s="31"/>
      <c r="G688" s="31"/>
      <c r="H688" s="31"/>
      <c r="I688" s="31"/>
      <c r="J688" s="31"/>
      <c r="K688" s="19"/>
      <c r="L688" s="19"/>
      <c r="M688" s="19"/>
      <c r="N688" s="31"/>
      <c r="O688" s="31"/>
      <c r="P688" s="31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</row>
    <row r="689" spans="1:37" ht="46.5" customHeight="1" x14ac:dyDescent="0.7">
      <c r="A689" s="19"/>
      <c r="B689" s="19"/>
      <c r="C689" s="19"/>
      <c r="D689" s="31"/>
      <c r="E689" s="31"/>
      <c r="F689" s="31"/>
      <c r="G689" s="31"/>
      <c r="H689" s="31"/>
      <c r="I689" s="31"/>
      <c r="J689" s="31"/>
      <c r="K689" s="19"/>
      <c r="L689" s="19"/>
      <c r="M689" s="19"/>
      <c r="N689" s="31"/>
      <c r="O689" s="31"/>
      <c r="P689" s="31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</row>
    <row r="690" spans="1:37" ht="46.5" customHeight="1" x14ac:dyDescent="0.7">
      <c r="A690" s="19"/>
      <c r="B690" s="19"/>
      <c r="C690" s="19"/>
      <c r="D690" s="31"/>
      <c r="E690" s="31"/>
      <c r="F690" s="31"/>
      <c r="G690" s="31"/>
      <c r="H690" s="31"/>
      <c r="I690" s="31"/>
      <c r="J690" s="31"/>
      <c r="K690" s="19"/>
      <c r="L690" s="19"/>
      <c r="M690" s="19"/>
      <c r="N690" s="31"/>
      <c r="O690" s="31"/>
      <c r="P690" s="31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</row>
    <row r="691" spans="1:37" ht="46.5" customHeight="1" x14ac:dyDescent="0.7">
      <c r="A691" s="19"/>
      <c r="B691" s="19"/>
      <c r="C691" s="19"/>
      <c r="D691" s="31"/>
      <c r="E691" s="31"/>
      <c r="F691" s="31"/>
      <c r="G691" s="31"/>
      <c r="H691" s="31"/>
      <c r="I691" s="31"/>
      <c r="J691" s="31"/>
      <c r="K691" s="19"/>
      <c r="L691" s="19"/>
      <c r="M691" s="19"/>
      <c r="N691" s="31"/>
      <c r="O691" s="31"/>
      <c r="P691" s="31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</row>
    <row r="692" spans="1:37" ht="46.5" customHeight="1" x14ac:dyDescent="0.7">
      <c r="A692" s="19"/>
      <c r="B692" s="19"/>
      <c r="C692" s="19"/>
      <c r="D692" s="31"/>
      <c r="E692" s="31"/>
      <c r="F692" s="31"/>
      <c r="G692" s="31"/>
      <c r="H692" s="31"/>
      <c r="I692" s="31"/>
      <c r="J692" s="31"/>
      <c r="K692" s="19"/>
      <c r="L692" s="19"/>
      <c r="M692" s="19"/>
      <c r="N692" s="31"/>
      <c r="O692" s="31"/>
      <c r="P692" s="31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</row>
    <row r="693" spans="1:37" ht="46.5" customHeight="1" x14ac:dyDescent="0.7">
      <c r="A693" s="19"/>
      <c r="B693" s="19"/>
      <c r="C693" s="19"/>
      <c r="D693" s="31"/>
      <c r="E693" s="31"/>
      <c r="F693" s="31"/>
      <c r="G693" s="31"/>
      <c r="H693" s="31"/>
      <c r="I693" s="31"/>
      <c r="J693" s="31"/>
      <c r="K693" s="19"/>
      <c r="L693" s="19"/>
      <c r="M693" s="19"/>
      <c r="N693" s="31"/>
      <c r="O693" s="31"/>
      <c r="P693" s="31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</row>
    <row r="694" spans="1:37" ht="46.5" customHeight="1" x14ac:dyDescent="0.7">
      <c r="A694" s="19"/>
      <c r="B694" s="19"/>
      <c r="C694" s="19"/>
      <c r="D694" s="31"/>
      <c r="E694" s="31"/>
      <c r="F694" s="31"/>
      <c r="G694" s="31"/>
      <c r="H694" s="31"/>
      <c r="I694" s="31"/>
      <c r="J694" s="31"/>
      <c r="K694" s="19"/>
      <c r="L694" s="19"/>
      <c r="M694" s="19"/>
      <c r="N694" s="31"/>
      <c r="O694" s="31"/>
      <c r="P694" s="31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</row>
    <row r="695" spans="1:37" ht="46.5" customHeight="1" x14ac:dyDescent="0.7">
      <c r="A695" s="19"/>
      <c r="B695" s="19"/>
      <c r="C695" s="19"/>
      <c r="D695" s="31"/>
      <c r="E695" s="31"/>
      <c r="F695" s="31"/>
      <c r="G695" s="31"/>
      <c r="H695" s="31"/>
      <c r="I695" s="31"/>
      <c r="J695" s="31"/>
      <c r="K695" s="19"/>
      <c r="L695" s="19"/>
      <c r="M695" s="19"/>
      <c r="N695" s="31"/>
      <c r="O695" s="31"/>
      <c r="P695" s="31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</row>
    <row r="696" spans="1:37" ht="46.5" customHeight="1" x14ac:dyDescent="0.7">
      <c r="A696" s="19"/>
      <c r="B696" s="19"/>
      <c r="C696" s="19"/>
      <c r="D696" s="31"/>
      <c r="E696" s="31"/>
      <c r="F696" s="31"/>
      <c r="G696" s="31"/>
      <c r="H696" s="31"/>
      <c r="I696" s="31"/>
      <c r="J696" s="31"/>
      <c r="K696" s="19"/>
      <c r="L696" s="19"/>
      <c r="M696" s="19"/>
      <c r="N696" s="31"/>
      <c r="O696" s="31"/>
      <c r="P696" s="31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</row>
    <row r="697" spans="1:37" ht="46.5" customHeight="1" x14ac:dyDescent="0.7">
      <c r="A697" s="19"/>
      <c r="B697" s="19"/>
      <c r="C697" s="19"/>
      <c r="D697" s="31"/>
      <c r="E697" s="31"/>
      <c r="F697" s="31"/>
      <c r="G697" s="31"/>
      <c r="H697" s="31"/>
      <c r="I697" s="31"/>
      <c r="J697" s="31"/>
      <c r="K697" s="19"/>
      <c r="L697" s="19"/>
      <c r="M697" s="19"/>
      <c r="N697" s="31"/>
      <c r="O697" s="31"/>
      <c r="P697" s="31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</row>
    <row r="698" spans="1:37" ht="46.5" customHeight="1" x14ac:dyDescent="0.7">
      <c r="A698" s="19"/>
      <c r="B698" s="19"/>
      <c r="C698" s="19"/>
      <c r="D698" s="31"/>
      <c r="E698" s="31"/>
      <c r="F698" s="31"/>
      <c r="G698" s="31"/>
      <c r="H698" s="31"/>
      <c r="I698" s="31"/>
      <c r="J698" s="31"/>
      <c r="K698" s="19"/>
      <c r="L698" s="19"/>
      <c r="M698" s="19"/>
      <c r="N698" s="31"/>
      <c r="O698" s="31"/>
      <c r="P698" s="31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</row>
    <row r="699" spans="1:37" ht="46.5" customHeight="1" x14ac:dyDescent="0.7">
      <c r="A699" s="19"/>
      <c r="B699" s="19"/>
      <c r="C699" s="19"/>
      <c r="D699" s="31"/>
      <c r="E699" s="31"/>
      <c r="F699" s="31"/>
      <c r="G699" s="31"/>
      <c r="H699" s="31"/>
      <c r="I699" s="31"/>
      <c r="J699" s="31"/>
      <c r="K699" s="19"/>
      <c r="L699" s="19"/>
      <c r="M699" s="19"/>
      <c r="N699" s="31"/>
      <c r="O699" s="31"/>
      <c r="P699" s="31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</row>
    <row r="700" spans="1:37" ht="46.5" customHeight="1" x14ac:dyDescent="0.7">
      <c r="A700" s="19"/>
      <c r="B700" s="19"/>
      <c r="C700" s="19"/>
      <c r="D700" s="31"/>
      <c r="E700" s="31"/>
      <c r="F700" s="31"/>
      <c r="G700" s="31"/>
      <c r="H700" s="31"/>
      <c r="I700" s="31"/>
      <c r="J700" s="31"/>
      <c r="K700" s="19"/>
      <c r="L700" s="19"/>
      <c r="M700" s="19"/>
      <c r="N700" s="31"/>
      <c r="O700" s="31"/>
      <c r="P700" s="31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</row>
    <row r="701" spans="1:37" ht="46.5" customHeight="1" x14ac:dyDescent="0.7">
      <c r="A701" s="19"/>
      <c r="B701" s="19"/>
      <c r="C701" s="19"/>
      <c r="D701" s="31"/>
      <c r="E701" s="31"/>
      <c r="F701" s="31"/>
      <c r="G701" s="31"/>
      <c r="H701" s="31"/>
      <c r="I701" s="31"/>
      <c r="J701" s="31"/>
      <c r="K701" s="19"/>
      <c r="L701" s="19"/>
      <c r="M701" s="19"/>
      <c r="N701" s="31"/>
      <c r="O701" s="31"/>
      <c r="P701" s="31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</row>
    <row r="702" spans="1:37" ht="46.5" customHeight="1" x14ac:dyDescent="0.7">
      <c r="A702" s="19"/>
      <c r="B702" s="19"/>
      <c r="C702" s="19"/>
      <c r="D702" s="31"/>
      <c r="E702" s="31"/>
      <c r="F702" s="31"/>
      <c r="G702" s="31"/>
      <c r="H702" s="31"/>
      <c r="I702" s="31"/>
      <c r="J702" s="31"/>
      <c r="K702" s="19"/>
      <c r="L702" s="19"/>
      <c r="M702" s="19"/>
      <c r="N702" s="31"/>
      <c r="O702" s="31"/>
      <c r="P702" s="31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</row>
    <row r="703" spans="1:37" ht="46.5" customHeight="1" x14ac:dyDescent="0.7">
      <c r="A703" s="19"/>
      <c r="B703" s="19"/>
      <c r="C703" s="19"/>
      <c r="D703" s="31"/>
      <c r="E703" s="31"/>
      <c r="F703" s="31"/>
      <c r="G703" s="31"/>
      <c r="H703" s="31"/>
      <c r="I703" s="31"/>
      <c r="J703" s="31"/>
      <c r="K703" s="19"/>
      <c r="L703" s="19"/>
      <c r="M703" s="19"/>
      <c r="N703" s="31"/>
      <c r="O703" s="31"/>
      <c r="P703" s="31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</row>
    <row r="704" spans="1:37" ht="46.5" customHeight="1" x14ac:dyDescent="0.7">
      <c r="A704" s="19"/>
      <c r="B704" s="19"/>
      <c r="C704" s="19"/>
      <c r="D704" s="31"/>
      <c r="E704" s="31"/>
      <c r="F704" s="31"/>
      <c r="G704" s="31"/>
      <c r="H704" s="31"/>
      <c r="I704" s="31"/>
      <c r="J704" s="31"/>
      <c r="K704" s="19"/>
      <c r="L704" s="19"/>
      <c r="M704" s="19"/>
      <c r="N704" s="31"/>
      <c r="O704" s="31"/>
      <c r="P704" s="31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</row>
    <row r="705" spans="1:37" ht="46.5" customHeight="1" x14ac:dyDescent="0.7">
      <c r="A705" s="19"/>
      <c r="B705" s="19"/>
      <c r="C705" s="19"/>
      <c r="D705" s="31"/>
      <c r="E705" s="31"/>
      <c r="F705" s="31"/>
      <c r="G705" s="31"/>
      <c r="H705" s="31"/>
      <c r="I705" s="31"/>
      <c r="J705" s="31"/>
      <c r="K705" s="19"/>
      <c r="L705" s="19"/>
      <c r="M705" s="19"/>
      <c r="N705" s="31"/>
      <c r="O705" s="31"/>
      <c r="P705" s="31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</row>
    <row r="706" spans="1:37" ht="46.5" customHeight="1" x14ac:dyDescent="0.7">
      <c r="A706" s="19"/>
      <c r="B706" s="19"/>
      <c r="C706" s="19"/>
      <c r="D706" s="31"/>
      <c r="E706" s="31"/>
      <c r="F706" s="31"/>
      <c r="G706" s="31"/>
      <c r="H706" s="31"/>
      <c r="I706" s="31"/>
      <c r="J706" s="31"/>
      <c r="K706" s="19"/>
      <c r="L706" s="19"/>
      <c r="M706" s="19"/>
      <c r="N706" s="31"/>
      <c r="O706" s="31"/>
      <c r="P706" s="31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</row>
    <row r="707" spans="1:37" ht="46.5" customHeight="1" x14ac:dyDescent="0.7">
      <c r="A707" s="19"/>
      <c r="B707" s="19"/>
      <c r="C707" s="19"/>
      <c r="D707" s="31"/>
      <c r="E707" s="31"/>
      <c r="F707" s="31"/>
      <c r="G707" s="31"/>
      <c r="H707" s="31"/>
      <c r="I707" s="31"/>
      <c r="J707" s="31"/>
      <c r="K707" s="19"/>
      <c r="L707" s="19"/>
      <c r="M707" s="19"/>
      <c r="N707" s="31"/>
      <c r="O707" s="31"/>
      <c r="P707" s="31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</row>
    <row r="708" spans="1:37" ht="46.5" customHeight="1" x14ac:dyDescent="0.7">
      <c r="A708" s="19"/>
      <c r="B708" s="19"/>
      <c r="C708" s="19"/>
      <c r="D708" s="31"/>
      <c r="E708" s="31"/>
      <c r="F708" s="31"/>
      <c r="G708" s="31"/>
      <c r="H708" s="31"/>
      <c r="I708" s="31"/>
      <c r="J708" s="31"/>
      <c r="K708" s="19"/>
      <c r="L708" s="19"/>
      <c r="M708" s="19"/>
      <c r="N708" s="31"/>
      <c r="O708" s="31"/>
      <c r="P708" s="31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</row>
    <row r="709" spans="1:37" ht="46.5" customHeight="1" x14ac:dyDescent="0.7">
      <c r="A709" s="19"/>
      <c r="B709" s="19"/>
      <c r="C709" s="19"/>
      <c r="D709" s="31"/>
      <c r="E709" s="31"/>
      <c r="F709" s="31"/>
      <c r="G709" s="31"/>
      <c r="H709" s="31"/>
      <c r="I709" s="31"/>
      <c r="J709" s="31"/>
      <c r="K709" s="19"/>
      <c r="L709" s="19"/>
      <c r="M709" s="19"/>
      <c r="N709" s="31"/>
      <c r="O709" s="31"/>
      <c r="P709" s="31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</row>
    <row r="710" spans="1:37" ht="46.5" customHeight="1" x14ac:dyDescent="0.7">
      <c r="A710" s="19"/>
      <c r="B710" s="19"/>
      <c r="C710" s="19"/>
      <c r="D710" s="31"/>
      <c r="E710" s="31"/>
      <c r="F710" s="31"/>
      <c r="G710" s="31"/>
      <c r="H710" s="31"/>
      <c r="I710" s="31"/>
      <c r="J710" s="31"/>
      <c r="K710" s="19"/>
      <c r="L710" s="19"/>
      <c r="M710" s="19"/>
      <c r="N710" s="31"/>
      <c r="O710" s="31"/>
      <c r="P710" s="31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</row>
    <row r="711" spans="1:37" ht="46.5" customHeight="1" x14ac:dyDescent="0.7">
      <c r="A711" s="19"/>
      <c r="B711" s="19"/>
      <c r="C711" s="19"/>
      <c r="D711" s="31"/>
      <c r="E711" s="31"/>
      <c r="F711" s="31"/>
      <c r="G711" s="31"/>
      <c r="H711" s="31"/>
      <c r="I711" s="31"/>
      <c r="J711" s="31"/>
      <c r="K711" s="19"/>
      <c r="L711" s="19"/>
      <c r="M711" s="19"/>
      <c r="N711" s="31"/>
      <c r="O711" s="31"/>
      <c r="P711" s="31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</row>
    <row r="712" spans="1:37" ht="46.5" customHeight="1" x14ac:dyDescent="0.7">
      <c r="A712" s="19"/>
      <c r="B712" s="19"/>
      <c r="C712" s="19"/>
      <c r="D712" s="31"/>
      <c r="E712" s="31"/>
      <c r="F712" s="31"/>
      <c r="G712" s="31"/>
      <c r="H712" s="31"/>
      <c r="I712" s="31"/>
      <c r="J712" s="31"/>
      <c r="K712" s="19"/>
      <c r="L712" s="19"/>
      <c r="M712" s="19"/>
      <c r="N712" s="31"/>
      <c r="O712" s="31"/>
      <c r="P712" s="31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</row>
    <row r="713" spans="1:37" ht="46.5" customHeight="1" x14ac:dyDescent="0.7">
      <c r="A713" s="19"/>
      <c r="B713" s="19"/>
      <c r="C713" s="19"/>
      <c r="D713" s="31"/>
      <c r="E713" s="31"/>
      <c r="F713" s="31"/>
      <c r="G713" s="31"/>
      <c r="H713" s="31"/>
      <c r="I713" s="31"/>
      <c r="J713" s="31"/>
      <c r="K713" s="19"/>
      <c r="L713" s="19"/>
      <c r="M713" s="19"/>
      <c r="N713" s="31"/>
      <c r="O713" s="31"/>
      <c r="P713" s="31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</row>
    <row r="714" spans="1:37" ht="46.5" customHeight="1" x14ac:dyDescent="0.7">
      <c r="A714" s="19"/>
      <c r="B714" s="19"/>
      <c r="C714" s="19"/>
      <c r="D714" s="31"/>
      <c r="E714" s="31"/>
      <c r="F714" s="31"/>
      <c r="G714" s="31"/>
      <c r="H714" s="31"/>
      <c r="I714" s="31"/>
      <c r="J714" s="31"/>
      <c r="K714" s="19"/>
      <c r="L714" s="19"/>
      <c r="M714" s="19"/>
      <c r="N714" s="31"/>
      <c r="O714" s="31"/>
      <c r="P714" s="31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</row>
    <row r="715" spans="1:37" ht="46.5" customHeight="1" x14ac:dyDescent="0.7">
      <c r="A715" s="19"/>
      <c r="B715" s="19"/>
      <c r="C715" s="19"/>
      <c r="D715" s="31"/>
      <c r="E715" s="31"/>
      <c r="F715" s="31"/>
      <c r="G715" s="31"/>
      <c r="H715" s="31"/>
      <c r="I715" s="31"/>
      <c r="J715" s="31"/>
      <c r="K715" s="19"/>
      <c r="L715" s="19"/>
      <c r="M715" s="19"/>
      <c r="N715" s="31"/>
      <c r="O715" s="31"/>
      <c r="P715" s="31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</row>
    <row r="716" spans="1:37" ht="46.5" customHeight="1" x14ac:dyDescent="0.7">
      <c r="A716" s="19"/>
      <c r="B716" s="19"/>
      <c r="C716" s="19"/>
      <c r="D716" s="31"/>
      <c r="E716" s="31"/>
      <c r="F716" s="31"/>
      <c r="G716" s="31"/>
      <c r="H716" s="31"/>
      <c r="I716" s="31"/>
      <c r="J716" s="31"/>
      <c r="K716" s="19"/>
      <c r="L716" s="19"/>
      <c r="M716" s="19"/>
      <c r="N716" s="31"/>
      <c r="O716" s="31"/>
      <c r="P716" s="31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</row>
    <row r="717" spans="1:37" ht="46.5" customHeight="1" x14ac:dyDescent="0.7">
      <c r="A717" s="19"/>
      <c r="B717" s="19"/>
      <c r="C717" s="19"/>
      <c r="D717" s="31"/>
      <c r="E717" s="31"/>
      <c r="F717" s="31"/>
      <c r="G717" s="31"/>
      <c r="H717" s="31"/>
      <c r="I717" s="31"/>
      <c r="J717" s="31"/>
      <c r="K717" s="19"/>
      <c r="L717" s="19"/>
      <c r="M717" s="19"/>
      <c r="N717" s="31"/>
      <c r="O717" s="31"/>
      <c r="P717" s="31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</row>
    <row r="718" spans="1:37" ht="46.5" customHeight="1" x14ac:dyDescent="0.7">
      <c r="A718" s="19"/>
      <c r="B718" s="19"/>
      <c r="C718" s="19"/>
      <c r="D718" s="31"/>
      <c r="E718" s="31"/>
      <c r="F718" s="31"/>
      <c r="G718" s="31"/>
      <c r="H718" s="31"/>
      <c r="I718" s="31"/>
      <c r="J718" s="31"/>
      <c r="K718" s="19"/>
      <c r="L718" s="19"/>
      <c r="M718" s="19"/>
      <c r="N718" s="31"/>
      <c r="O718" s="31"/>
      <c r="P718" s="31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</row>
    <row r="719" spans="1:37" ht="46.5" customHeight="1" x14ac:dyDescent="0.7">
      <c r="A719" s="19"/>
      <c r="B719" s="19"/>
      <c r="C719" s="19"/>
      <c r="D719" s="31"/>
      <c r="E719" s="31"/>
      <c r="F719" s="31"/>
      <c r="G719" s="31"/>
      <c r="H719" s="31"/>
      <c r="I719" s="31"/>
      <c r="J719" s="31"/>
      <c r="K719" s="19"/>
      <c r="L719" s="19"/>
      <c r="M719" s="19"/>
      <c r="N719" s="31"/>
      <c r="O719" s="31"/>
      <c r="P719" s="31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</row>
    <row r="720" spans="1:37" ht="46.5" customHeight="1" x14ac:dyDescent="0.7">
      <c r="A720" s="19"/>
      <c r="B720" s="19"/>
      <c r="C720" s="19"/>
      <c r="D720" s="31"/>
      <c r="E720" s="31"/>
      <c r="F720" s="31"/>
      <c r="G720" s="31"/>
      <c r="H720" s="31"/>
      <c r="I720" s="31"/>
      <c r="J720" s="31"/>
      <c r="K720" s="19"/>
      <c r="L720" s="19"/>
      <c r="M720" s="19"/>
      <c r="N720" s="31"/>
      <c r="O720" s="31"/>
      <c r="P720" s="31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</row>
    <row r="721" spans="1:37" ht="46.5" customHeight="1" x14ac:dyDescent="0.7">
      <c r="A721" s="19"/>
      <c r="B721" s="19"/>
      <c r="C721" s="19"/>
      <c r="D721" s="31"/>
      <c r="E721" s="31"/>
      <c r="F721" s="31"/>
      <c r="G721" s="31"/>
      <c r="H721" s="31"/>
      <c r="I721" s="31"/>
      <c r="J721" s="31"/>
      <c r="K721" s="19"/>
      <c r="L721" s="19"/>
      <c r="M721" s="19"/>
      <c r="N721" s="31"/>
      <c r="O721" s="31"/>
      <c r="P721" s="31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</row>
    <row r="722" spans="1:37" ht="46.5" customHeight="1" x14ac:dyDescent="0.7">
      <c r="A722" s="19"/>
      <c r="B722" s="19"/>
      <c r="C722" s="19"/>
      <c r="D722" s="31"/>
      <c r="E722" s="31"/>
      <c r="F722" s="31"/>
      <c r="G722" s="31"/>
      <c r="H722" s="31"/>
      <c r="I722" s="31"/>
      <c r="J722" s="31"/>
      <c r="K722" s="19"/>
      <c r="L722" s="19"/>
      <c r="M722" s="19"/>
      <c r="N722" s="31"/>
      <c r="O722" s="31"/>
      <c r="P722" s="31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</row>
    <row r="723" spans="1:37" ht="46.5" customHeight="1" x14ac:dyDescent="0.7">
      <c r="A723" s="19"/>
      <c r="B723" s="19"/>
      <c r="C723" s="19"/>
      <c r="D723" s="31"/>
      <c r="E723" s="31"/>
      <c r="F723" s="31"/>
      <c r="G723" s="31"/>
      <c r="H723" s="31"/>
      <c r="I723" s="31"/>
      <c r="J723" s="31"/>
      <c r="K723" s="19"/>
      <c r="L723" s="19"/>
      <c r="M723" s="19"/>
      <c r="N723" s="31"/>
      <c r="O723" s="31"/>
      <c r="P723" s="31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</row>
    <row r="724" spans="1:37" ht="46.5" customHeight="1" x14ac:dyDescent="0.7">
      <c r="A724" s="19"/>
      <c r="B724" s="19"/>
      <c r="C724" s="19"/>
      <c r="D724" s="31"/>
      <c r="E724" s="31"/>
      <c r="F724" s="31"/>
      <c r="G724" s="31"/>
      <c r="H724" s="31"/>
      <c r="I724" s="31"/>
      <c r="J724" s="31"/>
      <c r="K724" s="19"/>
      <c r="L724" s="19"/>
      <c r="M724" s="19"/>
      <c r="N724" s="31"/>
      <c r="O724" s="31"/>
      <c r="P724" s="31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</row>
    <row r="725" spans="1:37" ht="46.5" customHeight="1" x14ac:dyDescent="0.7">
      <c r="A725" s="19"/>
      <c r="B725" s="19"/>
      <c r="C725" s="19"/>
      <c r="D725" s="31"/>
      <c r="E725" s="31"/>
      <c r="F725" s="31"/>
      <c r="G725" s="31"/>
      <c r="H725" s="31"/>
      <c r="I725" s="31"/>
      <c r="J725" s="31"/>
      <c r="K725" s="19"/>
      <c r="L725" s="19"/>
      <c r="M725" s="19"/>
      <c r="N725" s="31"/>
      <c r="O725" s="31"/>
      <c r="P725" s="31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</row>
    <row r="726" spans="1:37" ht="46.5" customHeight="1" x14ac:dyDescent="0.7">
      <c r="A726" s="19"/>
      <c r="B726" s="19"/>
      <c r="C726" s="19"/>
      <c r="D726" s="31"/>
      <c r="E726" s="31"/>
      <c r="F726" s="31"/>
      <c r="G726" s="31"/>
      <c r="H726" s="31"/>
      <c r="I726" s="31"/>
      <c r="J726" s="31"/>
      <c r="K726" s="19"/>
      <c r="L726" s="19"/>
      <c r="M726" s="19"/>
      <c r="N726" s="31"/>
      <c r="O726" s="31"/>
      <c r="P726" s="31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</row>
    <row r="727" spans="1:37" ht="46.5" customHeight="1" x14ac:dyDescent="0.7">
      <c r="A727" s="19"/>
      <c r="B727" s="19"/>
      <c r="C727" s="19"/>
      <c r="D727" s="31"/>
      <c r="E727" s="31"/>
      <c r="F727" s="31"/>
      <c r="G727" s="31"/>
      <c r="H727" s="31"/>
      <c r="I727" s="31"/>
      <c r="J727" s="31"/>
      <c r="K727" s="19"/>
      <c r="L727" s="19"/>
      <c r="M727" s="19"/>
      <c r="N727" s="31"/>
      <c r="O727" s="31"/>
      <c r="P727" s="31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</row>
    <row r="728" spans="1:37" ht="46.5" customHeight="1" x14ac:dyDescent="0.7">
      <c r="A728" s="19"/>
      <c r="B728" s="19"/>
      <c r="C728" s="19"/>
      <c r="D728" s="31"/>
      <c r="E728" s="31"/>
      <c r="F728" s="31"/>
      <c r="G728" s="31"/>
      <c r="H728" s="31"/>
      <c r="I728" s="31"/>
      <c r="J728" s="31"/>
      <c r="K728" s="19"/>
      <c r="L728" s="19"/>
      <c r="M728" s="19"/>
      <c r="N728" s="31"/>
      <c r="O728" s="31"/>
      <c r="P728" s="31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</row>
    <row r="729" spans="1:37" ht="46.5" customHeight="1" x14ac:dyDescent="0.7">
      <c r="A729" s="19"/>
      <c r="B729" s="19"/>
      <c r="C729" s="19"/>
      <c r="D729" s="31"/>
      <c r="E729" s="31"/>
      <c r="F729" s="31"/>
      <c r="G729" s="31"/>
      <c r="H729" s="31"/>
      <c r="I729" s="31"/>
      <c r="J729" s="31"/>
      <c r="K729" s="19"/>
      <c r="L729" s="19"/>
      <c r="M729" s="19"/>
      <c r="N729" s="31"/>
      <c r="O729" s="31"/>
      <c r="P729" s="31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</row>
    <row r="730" spans="1:37" ht="46.5" customHeight="1" x14ac:dyDescent="0.7">
      <c r="A730" s="19"/>
      <c r="B730" s="19"/>
      <c r="C730" s="19"/>
      <c r="D730" s="31"/>
      <c r="E730" s="31"/>
      <c r="F730" s="31"/>
      <c r="G730" s="31"/>
      <c r="H730" s="31"/>
      <c r="I730" s="31"/>
      <c r="J730" s="31"/>
      <c r="K730" s="19"/>
      <c r="L730" s="19"/>
      <c r="M730" s="19"/>
      <c r="N730" s="31"/>
      <c r="O730" s="31"/>
      <c r="P730" s="31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</row>
    <row r="731" spans="1:37" ht="46.5" customHeight="1" x14ac:dyDescent="0.7">
      <c r="A731" s="19"/>
      <c r="B731" s="19"/>
      <c r="C731" s="19"/>
      <c r="D731" s="31"/>
      <c r="E731" s="31"/>
      <c r="F731" s="31"/>
      <c r="G731" s="31"/>
      <c r="H731" s="31"/>
      <c r="I731" s="31"/>
      <c r="J731" s="31"/>
      <c r="K731" s="19"/>
      <c r="L731" s="19"/>
      <c r="M731" s="19"/>
      <c r="N731" s="31"/>
      <c r="O731" s="31"/>
      <c r="P731" s="31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</row>
    <row r="732" spans="1:37" ht="46.5" customHeight="1" x14ac:dyDescent="0.7">
      <c r="A732" s="19"/>
      <c r="B732" s="19"/>
      <c r="C732" s="19"/>
      <c r="D732" s="31"/>
      <c r="E732" s="31"/>
      <c r="F732" s="31"/>
      <c r="G732" s="31"/>
      <c r="H732" s="31"/>
      <c r="I732" s="31"/>
      <c r="J732" s="31"/>
      <c r="K732" s="19"/>
      <c r="L732" s="19"/>
      <c r="M732" s="19"/>
      <c r="N732" s="31"/>
      <c r="O732" s="31"/>
      <c r="P732" s="31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</row>
    <row r="733" spans="1:37" ht="46.5" customHeight="1" x14ac:dyDescent="0.7">
      <c r="A733" s="19"/>
      <c r="B733" s="19"/>
      <c r="C733" s="19"/>
      <c r="D733" s="31"/>
      <c r="E733" s="31"/>
      <c r="F733" s="31"/>
      <c r="G733" s="31"/>
      <c r="H733" s="31"/>
      <c r="I733" s="31"/>
      <c r="J733" s="31"/>
      <c r="K733" s="19"/>
      <c r="L733" s="19"/>
      <c r="M733" s="19"/>
      <c r="N733" s="31"/>
      <c r="O733" s="31"/>
      <c r="P733" s="31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</row>
    <row r="734" spans="1:37" ht="46.5" customHeight="1" x14ac:dyDescent="0.7">
      <c r="A734" s="19"/>
      <c r="B734" s="19"/>
      <c r="C734" s="19"/>
      <c r="D734" s="31"/>
      <c r="E734" s="31"/>
      <c r="F734" s="31"/>
      <c r="G734" s="31"/>
      <c r="H734" s="31"/>
      <c r="I734" s="31"/>
      <c r="J734" s="31"/>
      <c r="K734" s="19"/>
      <c r="L734" s="19"/>
      <c r="M734" s="19"/>
      <c r="N734" s="31"/>
      <c r="O734" s="31"/>
      <c r="P734" s="31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</row>
    <row r="735" spans="1:37" ht="46.5" customHeight="1" x14ac:dyDescent="0.7">
      <c r="A735" s="19"/>
      <c r="B735" s="19"/>
      <c r="C735" s="19"/>
      <c r="D735" s="31"/>
      <c r="E735" s="31"/>
      <c r="F735" s="31"/>
      <c r="G735" s="31"/>
      <c r="H735" s="31"/>
      <c r="I735" s="31"/>
      <c r="J735" s="31"/>
      <c r="K735" s="19"/>
      <c r="L735" s="19"/>
      <c r="M735" s="19"/>
      <c r="N735" s="31"/>
      <c r="O735" s="31"/>
      <c r="P735" s="31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</row>
    <row r="736" spans="1:37" ht="46.5" customHeight="1" x14ac:dyDescent="0.7">
      <c r="A736" s="19"/>
      <c r="B736" s="19"/>
      <c r="C736" s="19"/>
      <c r="D736" s="31"/>
      <c r="E736" s="31"/>
      <c r="F736" s="31"/>
      <c r="G736" s="31"/>
      <c r="H736" s="31"/>
      <c r="I736" s="31"/>
      <c r="J736" s="31"/>
      <c r="K736" s="19"/>
      <c r="L736" s="19"/>
      <c r="M736" s="19"/>
      <c r="N736" s="31"/>
      <c r="O736" s="31"/>
      <c r="P736" s="31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</row>
    <row r="737" spans="1:37" ht="46.5" customHeight="1" x14ac:dyDescent="0.7">
      <c r="A737" s="19"/>
      <c r="B737" s="19"/>
      <c r="C737" s="19"/>
      <c r="D737" s="31"/>
      <c r="E737" s="31"/>
      <c r="F737" s="31"/>
      <c r="G737" s="31"/>
      <c r="H737" s="31"/>
      <c r="I737" s="31"/>
      <c r="J737" s="31"/>
      <c r="K737" s="19"/>
      <c r="L737" s="19"/>
      <c r="M737" s="19"/>
      <c r="N737" s="31"/>
      <c r="O737" s="31"/>
      <c r="P737" s="31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</row>
    <row r="738" spans="1:37" ht="46.5" customHeight="1" x14ac:dyDescent="0.7">
      <c r="A738" s="19"/>
      <c r="B738" s="19"/>
      <c r="C738" s="19"/>
      <c r="D738" s="31"/>
      <c r="E738" s="31"/>
      <c r="F738" s="31"/>
      <c r="G738" s="31"/>
      <c r="H738" s="31"/>
      <c r="I738" s="31"/>
      <c r="J738" s="31"/>
      <c r="K738" s="19"/>
      <c r="L738" s="19"/>
      <c r="M738" s="19"/>
      <c r="N738" s="31"/>
      <c r="O738" s="31"/>
      <c r="P738" s="31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</row>
    <row r="739" spans="1:37" ht="46.5" customHeight="1" x14ac:dyDescent="0.7">
      <c r="A739" s="19"/>
      <c r="B739" s="19"/>
      <c r="C739" s="19"/>
      <c r="D739" s="31"/>
      <c r="E739" s="31"/>
      <c r="F739" s="31"/>
      <c r="G739" s="31"/>
      <c r="H739" s="31"/>
      <c r="I739" s="31"/>
      <c r="J739" s="31"/>
      <c r="K739" s="19"/>
      <c r="L739" s="19"/>
      <c r="M739" s="19"/>
      <c r="N739" s="31"/>
      <c r="O739" s="31"/>
      <c r="P739" s="31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</row>
    <row r="740" spans="1:37" ht="46.5" customHeight="1" x14ac:dyDescent="0.7">
      <c r="A740" s="19"/>
      <c r="B740" s="19"/>
      <c r="C740" s="19"/>
      <c r="D740" s="31"/>
      <c r="E740" s="31"/>
      <c r="F740" s="31"/>
      <c r="G740" s="31"/>
      <c r="H740" s="31"/>
      <c r="I740" s="31"/>
      <c r="J740" s="31"/>
      <c r="K740" s="19"/>
      <c r="L740" s="19"/>
      <c r="M740" s="19"/>
      <c r="N740" s="31"/>
      <c r="O740" s="31"/>
      <c r="P740" s="31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</row>
    <row r="741" spans="1:37" ht="46.5" customHeight="1" x14ac:dyDescent="0.7">
      <c r="A741" s="19"/>
      <c r="B741" s="19"/>
      <c r="C741" s="19"/>
      <c r="D741" s="31"/>
      <c r="E741" s="31"/>
      <c r="F741" s="31"/>
      <c r="G741" s="31"/>
      <c r="H741" s="31"/>
      <c r="I741" s="31"/>
      <c r="J741" s="31"/>
      <c r="K741" s="19"/>
      <c r="L741" s="19"/>
      <c r="M741" s="19"/>
      <c r="N741" s="31"/>
      <c r="O741" s="31"/>
      <c r="P741" s="31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</row>
    <row r="742" spans="1:37" ht="46.5" customHeight="1" x14ac:dyDescent="0.7">
      <c r="A742" s="19"/>
      <c r="B742" s="19"/>
      <c r="C742" s="19"/>
      <c r="D742" s="31"/>
      <c r="E742" s="31"/>
      <c r="F742" s="31"/>
      <c r="G742" s="31"/>
      <c r="H742" s="31"/>
      <c r="I742" s="31"/>
      <c r="J742" s="31"/>
      <c r="K742" s="19"/>
      <c r="L742" s="19"/>
      <c r="M742" s="19"/>
      <c r="N742" s="31"/>
      <c r="O742" s="31"/>
      <c r="P742" s="31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</row>
    <row r="743" spans="1:37" ht="46.5" customHeight="1" x14ac:dyDescent="0.7">
      <c r="A743" s="19"/>
      <c r="B743" s="19"/>
      <c r="C743" s="19"/>
      <c r="D743" s="31"/>
      <c r="E743" s="31"/>
      <c r="F743" s="31"/>
      <c r="G743" s="31"/>
      <c r="H743" s="31"/>
      <c r="I743" s="31"/>
      <c r="J743" s="31"/>
      <c r="K743" s="19"/>
      <c r="L743" s="19"/>
      <c r="M743" s="19"/>
      <c r="N743" s="31"/>
      <c r="O743" s="31"/>
      <c r="P743" s="31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</row>
    <row r="744" spans="1:37" ht="46.5" customHeight="1" x14ac:dyDescent="0.7">
      <c r="A744" s="19"/>
      <c r="B744" s="19"/>
      <c r="C744" s="19"/>
      <c r="D744" s="31"/>
      <c r="E744" s="31"/>
      <c r="F744" s="31"/>
      <c r="G744" s="31"/>
      <c r="H744" s="31"/>
      <c r="I744" s="31"/>
      <c r="J744" s="31"/>
      <c r="K744" s="19"/>
      <c r="L744" s="19"/>
      <c r="M744" s="19"/>
      <c r="N744" s="31"/>
      <c r="O744" s="31"/>
      <c r="P744" s="31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</row>
    <row r="745" spans="1:37" ht="46.5" customHeight="1" x14ac:dyDescent="0.7">
      <c r="A745" s="19"/>
      <c r="B745" s="19"/>
      <c r="C745" s="19"/>
      <c r="D745" s="31"/>
      <c r="E745" s="31"/>
      <c r="F745" s="31"/>
      <c r="G745" s="31"/>
      <c r="H745" s="31"/>
      <c r="I745" s="31"/>
      <c r="J745" s="31"/>
      <c r="K745" s="19"/>
      <c r="L745" s="19"/>
      <c r="M745" s="19"/>
      <c r="N745" s="31"/>
      <c r="O745" s="31"/>
      <c r="P745" s="31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</row>
    <row r="746" spans="1:37" ht="46.5" customHeight="1" x14ac:dyDescent="0.7">
      <c r="A746" s="19"/>
      <c r="B746" s="19"/>
      <c r="C746" s="19"/>
      <c r="D746" s="31"/>
      <c r="E746" s="31"/>
      <c r="F746" s="31"/>
      <c r="G746" s="31"/>
      <c r="H746" s="31"/>
      <c r="I746" s="31"/>
      <c r="J746" s="31"/>
      <c r="K746" s="19"/>
      <c r="L746" s="19"/>
      <c r="M746" s="19"/>
      <c r="N746" s="31"/>
      <c r="O746" s="31"/>
      <c r="P746" s="31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</row>
    <row r="747" spans="1:37" ht="46.5" customHeight="1" x14ac:dyDescent="0.7">
      <c r="A747" s="19"/>
      <c r="B747" s="19"/>
      <c r="C747" s="19"/>
      <c r="D747" s="31"/>
      <c r="E747" s="31"/>
      <c r="F747" s="31"/>
      <c r="G747" s="31"/>
      <c r="H747" s="31"/>
      <c r="I747" s="31"/>
      <c r="J747" s="31"/>
      <c r="K747" s="19"/>
      <c r="L747" s="19"/>
      <c r="M747" s="19"/>
      <c r="N747" s="31"/>
      <c r="O747" s="31"/>
      <c r="P747" s="31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</row>
    <row r="748" spans="1:37" ht="46.5" customHeight="1" x14ac:dyDescent="0.7">
      <c r="A748" s="19"/>
      <c r="B748" s="19"/>
      <c r="C748" s="19"/>
      <c r="D748" s="31"/>
      <c r="E748" s="31"/>
      <c r="F748" s="31"/>
      <c r="G748" s="31"/>
      <c r="H748" s="31"/>
      <c r="I748" s="31"/>
      <c r="J748" s="31"/>
      <c r="K748" s="19"/>
      <c r="L748" s="19"/>
      <c r="M748" s="19"/>
      <c r="N748" s="31"/>
      <c r="O748" s="31"/>
      <c r="P748" s="31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</row>
    <row r="749" spans="1:37" ht="46.5" customHeight="1" x14ac:dyDescent="0.7">
      <c r="A749" s="19"/>
      <c r="B749" s="19"/>
      <c r="C749" s="19"/>
      <c r="D749" s="31"/>
      <c r="E749" s="31"/>
      <c r="F749" s="31"/>
      <c r="G749" s="31"/>
      <c r="H749" s="31"/>
      <c r="I749" s="31"/>
      <c r="J749" s="31"/>
      <c r="K749" s="19"/>
      <c r="L749" s="19"/>
      <c r="M749" s="19"/>
      <c r="N749" s="31"/>
      <c r="O749" s="31"/>
      <c r="P749" s="31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</row>
    <row r="750" spans="1:37" ht="46.5" customHeight="1" x14ac:dyDescent="0.7">
      <c r="A750" s="19"/>
      <c r="B750" s="19"/>
      <c r="C750" s="19"/>
      <c r="D750" s="31"/>
      <c r="E750" s="31"/>
      <c r="F750" s="31"/>
      <c r="G750" s="31"/>
      <c r="H750" s="31"/>
      <c r="I750" s="31"/>
      <c r="J750" s="31"/>
      <c r="K750" s="19"/>
      <c r="L750" s="19"/>
      <c r="M750" s="19"/>
      <c r="N750" s="31"/>
      <c r="O750" s="31"/>
      <c r="P750" s="31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</row>
    <row r="751" spans="1:37" ht="46.5" customHeight="1" x14ac:dyDescent="0.7">
      <c r="A751" s="19"/>
      <c r="B751" s="19"/>
      <c r="C751" s="19"/>
      <c r="D751" s="31"/>
      <c r="E751" s="31"/>
      <c r="F751" s="31"/>
      <c r="G751" s="31"/>
      <c r="H751" s="31"/>
      <c r="I751" s="31"/>
      <c r="J751" s="31"/>
      <c r="K751" s="19"/>
      <c r="L751" s="19"/>
      <c r="M751" s="19"/>
      <c r="N751" s="31"/>
      <c r="O751" s="31"/>
      <c r="P751" s="31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</row>
    <row r="752" spans="1:37" ht="46.5" customHeight="1" x14ac:dyDescent="0.7">
      <c r="A752" s="19"/>
      <c r="B752" s="19"/>
      <c r="C752" s="19"/>
      <c r="D752" s="31"/>
      <c r="E752" s="31"/>
      <c r="F752" s="31"/>
      <c r="G752" s="31"/>
      <c r="H752" s="31"/>
      <c r="I752" s="31"/>
      <c r="J752" s="31"/>
      <c r="K752" s="19"/>
      <c r="L752" s="19"/>
      <c r="M752" s="19"/>
      <c r="N752" s="31"/>
      <c r="O752" s="31"/>
      <c r="P752" s="31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</row>
    <row r="753" spans="1:37" ht="46.5" customHeight="1" x14ac:dyDescent="0.7">
      <c r="A753" s="19"/>
      <c r="B753" s="19"/>
      <c r="C753" s="19"/>
      <c r="D753" s="31"/>
      <c r="E753" s="31"/>
      <c r="F753" s="31"/>
      <c r="G753" s="31"/>
      <c r="H753" s="31"/>
      <c r="I753" s="31"/>
      <c r="J753" s="31"/>
      <c r="K753" s="19"/>
      <c r="L753" s="19"/>
      <c r="M753" s="19"/>
      <c r="N753" s="31"/>
      <c r="O753" s="31"/>
      <c r="P753" s="31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</row>
    <row r="754" spans="1:37" ht="46.5" customHeight="1" x14ac:dyDescent="0.7">
      <c r="A754" s="19"/>
      <c r="B754" s="19"/>
      <c r="C754" s="19"/>
      <c r="D754" s="31"/>
      <c r="E754" s="31"/>
      <c r="F754" s="31"/>
      <c r="G754" s="31"/>
      <c r="H754" s="31"/>
      <c r="I754" s="31"/>
      <c r="J754" s="31"/>
      <c r="K754" s="19"/>
      <c r="L754" s="19"/>
      <c r="M754" s="19"/>
      <c r="N754" s="31"/>
      <c r="O754" s="31"/>
      <c r="P754" s="31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</row>
    <row r="755" spans="1:37" ht="46.5" customHeight="1" x14ac:dyDescent="0.7">
      <c r="A755" s="19"/>
      <c r="B755" s="19"/>
      <c r="C755" s="19"/>
      <c r="D755" s="31"/>
      <c r="E755" s="31"/>
      <c r="F755" s="31"/>
      <c r="G755" s="31"/>
      <c r="H755" s="31"/>
      <c r="I755" s="31"/>
      <c r="J755" s="31"/>
      <c r="K755" s="19"/>
      <c r="L755" s="19"/>
      <c r="M755" s="19"/>
      <c r="N755" s="31"/>
      <c r="O755" s="31"/>
      <c r="P755" s="31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</row>
    <row r="756" spans="1:37" ht="46.5" customHeight="1" x14ac:dyDescent="0.7">
      <c r="A756" s="19"/>
      <c r="B756" s="19"/>
      <c r="C756" s="19"/>
      <c r="D756" s="31"/>
      <c r="E756" s="31"/>
      <c r="F756" s="31"/>
      <c r="G756" s="31"/>
      <c r="H756" s="31"/>
      <c r="I756" s="31"/>
      <c r="J756" s="31"/>
      <c r="K756" s="19"/>
      <c r="L756" s="19"/>
      <c r="M756" s="19"/>
      <c r="N756" s="31"/>
      <c r="O756" s="31"/>
      <c r="P756" s="31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</row>
    <row r="757" spans="1:37" ht="46.5" customHeight="1" x14ac:dyDescent="0.7">
      <c r="A757" s="19"/>
      <c r="B757" s="19"/>
      <c r="C757" s="19"/>
      <c r="D757" s="31"/>
      <c r="E757" s="31"/>
      <c r="F757" s="31"/>
      <c r="G757" s="31"/>
      <c r="H757" s="31"/>
      <c r="I757" s="31"/>
      <c r="J757" s="31"/>
      <c r="K757" s="19"/>
      <c r="L757" s="19"/>
      <c r="M757" s="19"/>
      <c r="N757" s="31"/>
      <c r="O757" s="31"/>
      <c r="P757" s="31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</row>
    <row r="758" spans="1:37" ht="46.5" customHeight="1" x14ac:dyDescent="0.7">
      <c r="A758" s="19"/>
      <c r="B758" s="19"/>
      <c r="C758" s="19"/>
      <c r="D758" s="31"/>
      <c r="E758" s="31"/>
      <c r="F758" s="31"/>
      <c r="G758" s="31"/>
      <c r="H758" s="31"/>
      <c r="I758" s="31"/>
      <c r="J758" s="31"/>
      <c r="K758" s="19"/>
      <c r="L758" s="19"/>
      <c r="M758" s="19"/>
      <c r="N758" s="31"/>
      <c r="O758" s="31"/>
      <c r="P758" s="31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</row>
    <row r="759" spans="1:37" ht="46.5" customHeight="1" x14ac:dyDescent="0.7">
      <c r="A759" s="19"/>
      <c r="B759" s="19"/>
      <c r="C759" s="19"/>
      <c r="D759" s="31"/>
      <c r="E759" s="31"/>
      <c r="F759" s="31"/>
      <c r="G759" s="31"/>
      <c r="H759" s="31"/>
      <c r="I759" s="31"/>
      <c r="J759" s="31"/>
      <c r="K759" s="19"/>
      <c r="L759" s="19"/>
      <c r="M759" s="19"/>
      <c r="N759" s="31"/>
      <c r="O759" s="31"/>
      <c r="P759" s="31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</row>
    <row r="760" spans="1:37" ht="46.5" customHeight="1" x14ac:dyDescent="0.7">
      <c r="A760" s="19"/>
      <c r="B760" s="19"/>
      <c r="C760" s="19"/>
      <c r="D760" s="31"/>
      <c r="E760" s="31"/>
      <c r="F760" s="31"/>
      <c r="G760" s="31"/>
      <c r="H760" s="31"/>
      <c r="I760" s="31"/>
      <c r="J760" s="31"/>
      <c r="K760" s="19"/>
      <c r="L760" s="19"/>
      <c r="M760" s="19"/>
      <c r="N760" s="31"/>
      <c r="O760" s="31"/>
      <c r="P760" s="31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</row>
    <row r="761" spans="1:37" ht="46.5" customHeight="1" x14ac:dyDescent="0.7">
      <c r="A761" s="19"/>
      <c r="B761" s="19"/>
      <c r="C761" s="19"/>
      <c r="D761" s="31"/>
      <c r="E761" s="31"/>
      <c r="F761" s="31"/>
      <c r="G761" s="31"/>
      <c r="H761" s="31"/>
      <c r="I761" s="31"/>
      <c r="J761" s="31"/>
      <c r="K761" s="19"/>
      <c r="L761" s="19"/>
      <c r="M761" s="19"/>
      <c r="N761" s="31"/>
      <c r="O761" s="31"/>
      <c r="P761" s="31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</row>
    <row r="762" spans="1:37" ht="46.5" customHeight="1" x14ac:dyDescent="0.7">
      <c r="A762" s="19"/>
      <c r="B762" s="19"/>
      <c r="C762" s="19"/>
      <c r="D762" s="31"/>
      <c r="E762" s="31"/>
      <c r="F762" s="31"/>
      <c r="G762" s="31"/>
      <c r="H762" s="31"/>
      <c r="I762" s="31"/>
      <c r="J762" s="31"/>
      <c r="K762" s="19"/>
      <c r="L762" s="19"/>
      <c r="M762" s="19"/>
      <c r="N762" s="31"/>
      <c r="O762" s="31"/>
      <c r="P762" s="31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</row>
    <row r="763" spans="1:37" ht="46.5" customHeight="1" x14ac:dyDescent="0.7">
      <c r="A763" s="19"/>
      <c r="B763" s="19"/>
      <c r="C763" s="19"/>
      <c r="D763" s="31"/>
      <c r="E763" s="31"/>
      <c r="F763" s="31"/>
      <c r="G763" s="31"/>
      <c r="H763" s="31"/>
      <c r="I763" s="31"/>
      <c r="J763" s="31"/>
      <c r="K763" s="19"/>
      <c r="L763" s="19"/>
      <c r="M763" s="19"/>
      <c r="N763" s="31"/>
      <c r="O763" s="31"/>
      <c r="P763" s="31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</row>
    <row r="764" spans="1:37" ht="46.5" customHeight="1" x14ac:dyDescent="0.7">
      <c r="A764" s="19"/>
      <c r="B764" s="19"/>
      <c r="C764" s="19"/>
      <c r="D764" s="31"/>
      <c r="E764" s="31"/>
      <c r="F764" s="31"/>
      <c r="G764" s="31"/>
      <c r="H764" s="31"/>
      <c r="I764" s="31"/>
      <c r="J764" s="31"/>
      <c r="K764" s="19"/>
      <c r="L764" s="19"/>
      <c r="M764" s="19"/>
      <c r="N764" s="31"/>
      <c r="O764" s="31"/>
      <c r="P764" s="31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</row>
    <row r="765" spans="1:37" ht="46.5" customHeight="1" x14ac:dyDescent="0.7">
      <c r="A765" s="19"/>
      <c r="B765" s="19"/>
      <c r="C765" s="19"/>
      <c r="D765" s="31"/>
      <c r="E765" s="31"/>
      <c r="F765" s="31"/>
      <c r="G765" s="31"/>
      <c r="H765" s="31"/>
      <c r="I765" s="31"/>
      <c r="J765" s="31"/>
      <c r="K765" s="19"/>
      <c r="L765" s="19"/>
      <c r="M765" s="19"/>
      <c r="N765" s="31"/>
      <c r="O765" s="31"/>
      <c r="P765" s="31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</row>
    <row r="766" spans="1:37" ht="46.5" customHeight="1" x14ac:dyDescent="0.7">
      <c r="A766" s="19"/>
      <c r="B766" s="19"/>
      <c r="C766" s="19"/>
      <c r="D766" s="31"/>
      <c r="E766" s="31"/>
      <c r="F766" s="31"/>
      <c r="G766" s="31"/>
      <c r="H766" s="31"/>
      <c r="I766" s="31"/>
      <c r="J766" s="31"/>
      <c r="K766" s="19"/>
      <c r="L766" s="19"/>
      <c r="M766" s="19"/>
      <c r="N766" s="31"/>
      <c r="O766" s="31"/>
      <c r="P766" s="31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</row>
    <row r="767" spans="1:37" ht="46.5" customHeight="1" x14ac:dyDescent="0.7">
      <c r="A767" s="19"/>
      <c r="B767" s="19"/>
      <c r="C767" s="19"/>
      <c r="D767" s="31"/>
      <c r="E767" s="31"/>
      <c r="F767" s="31"/>
      <c r="G767" s="31"/>
      <c r="H767" s="31"/>
      <c r="I767" s="31"/>
      <c r="J767" s="31"/>
      <c r="K767" s="19"/>
      <c r="L767" s="19"/>
      <c r="M767" s="19"/>
      <c r="N767" s="31"/>
      <c r="O767" s="31"/>
      <c r="P767" s="31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</row>
    <row r="768" spans="1:37" ht="46.5" customHeight="1" x14ac:dyDescent="0.7">
      <c r="A768" s="19"/>
      <c r="B768" s="19"/>
      <c r="C768" s="19"/>
      <c r="D768" s="31"/>
      <c r="E768" s="31"/>
      <c r="F768" s="31"/>
      <c r="G768" s="31"/>
      <c r="H768" s="31"/>
      <c r="I768" s="31"/>
      <c r="J768" s="31"/>
      <c r="K768" s="19"/>
      <c r="L768" s="19"/>
      <c r="M768" s="19"/>
      <c r="N768" s="31"/>
      <c r="O768" s="31"/>
      <c r="P768" s="31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</row>
    <row r="769" spans="1:37" ht="46.5" customHeight="1" x14ac:dyDescent="0.7">
      <c r="A769" s="19"/>
      <c r="B769" s="19"/>
      <c r="C769" s="19"/>
      <c r="D769" s="31"/>
      <c r="E769" s="31"/>
      <c r="F769" s="31"/>
      <c r="G769" s="31"/>
      <c r="H769" s="31"/>
      <c r="I769" s="31"/>
      <c r="J769" s="31"/>
      <c r="K769" s="19"/>
      <c r="L769" s="19"/>
      <c r="M769" s="19"/>
      <c r="N769" s="31"/>
      <c r="O769" s="31"/>
      <c r="P769" s="31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</row>
    <row r="770" spans="1:37" ht="46.5" customHeight="1" x14ac:dyDescent="0.7">
      <c r="A770" s="19"/>
      <c r="B770" s="19"/>
      <c r="C770" s="19"/>
      <c r="D770" s="31"/>
      <c r="E770" s="31"/>
      <c r="F770" s="31"/>
      <c r="G770" s="31"/>
      <c r="H770" s="31"/>
      <c r="I770" s="31"/>
      <c r="J770" s="31"/>
      <c r="K770" s="19"/>
      <c r="L770" s="19"/>
      <c r="M770" s="19"/>
      <c r="N770" s="31"/>
      <c r="O770" s="31"/>
      <c r="P770" s="31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</row>
    <row r="771" spans="1:37" ht="46.5" customHeight="1" x14ac:dyDescent="0.7">
      <c r="A771" s="19"/>
      <c r="B771" s="19"/>
      <c r="C771" s="19"/>
      <c r="D771" s="31"/>
      <c r="E771" s="31"/>
      <c r="F771" s="31"/>
      <c r="G771" s="31"/>
      <c r="H771" s="31"/>
      <c r="I771" s="31"/>
      <c r="J771" s="31"/>
      <c r="K771" s="19"/>
      <c r="L771" s="19"/>
      <c r="M771" s="19"/>
      <c r="N771" s="31"/>
      <c r="O771" s="31"/>
      <c r="P771" s="31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</row>
    <row r="772" spans="1:37" ht="46.5" customHeight="1" x14ac:dyDescent="0.7">
      <c r="A772" s="19"/>
      <c r="B772" s="19"/>
      <c r="C772" s="19"/>
      <c r="D772" s="31"/>
      <c r="E772" s="31"/>
      <c r="F772" s="31"/>
      <c r="G772" s="31"/>
      <c r="H772" s="31"/>
      <c r="I772" s="31"/>
      <c r="J772" s="31"/>
      <c r="K772" s="19"/>
      <c r="L772" s="19"/>
      <c r="M772" s="19"/>
      <c r="N772" s="31"/>
      <c r="O772" s="31"/>
      <c r="P772" s="31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</row>
    <row r="773" spans="1:37" ht="46.5" customHeight="1" x14ac:dyDescent="0.7">
      <c r="A773" s="19"/>
      <c r="B773" s="19"/>
      <c r="C773" s="19"/>
      <c r="D773" s="31"/>
      <c r="E773" s="31"/>
      <c r="F773" s="31"/>
      <c r="G773" s="31"/>
      <c r="H773" s="31"/>
      <c r="I773" s="31"/>
      <c r="J773" s="31"/>
      <c r="K773" s="19"/>
      <c r="L773" s="19"/>
      <c r="M773" s="19"/>
      <c r="N773" s="31"/>
      <c r="O773" s="31"/>
      <c r="P773" s="31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</row>
    <row r="774" spans="1:37" ht="46.5" customHeight="1" x14ac:dyDescent="0.7">
      <c r="A774" s="19"/>
      <c r="B774" s="19"/>
      <c r="C774" s="19"/>
      <c r="D774" s="31"/>
      <c r="E774" s="31"/>
      <c r="F774" s="31"/>
      <c r="G774" s="31"/>
      <c r="H774" s="31"/>
      <c r="I774" s="31"/>
      <c r="J774" s="31"/>
      <c r="K774" s="19"/>
      <c r="L774" s="19"/>
      <c r="M774" s="19"/>
      <c r="N774" s="31"/>
      <c r="O774" s="31"/>
      <c r="P774" s="31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</row>
    <row r="775" spans="1:37" ht="46.5" customHeight="1" x14ac:dyDescent="0.7">
      <c r="A775" s="19"/>
      <c r="B775" s="19"/>
      <c r="C775" s="19"/>
      <c r="D775" s="31"/>
      <c r="E775" s="31"/>
      <c r="F775" s="31"/>
      <c r="G775" s="31"/>
      <c r="H775" s="31"/>
      <c r="I775" s="31"/>
      <c r="J775" s="31"/>
      <c r="K775" s="19"/>
      <c r="L775" s="19"/>
      <c r="M775" s="19"/>
      <c r="N775" s="31"/>
      <c r="O775" s="31"/>
      <c r="P775" s="31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</row>
    <row r="776" spans="1:37" ht="46.5" customHeight="1" x14ac:dyDescent="0.7">
      <c r="A776" s="19"/>
      <c r="B776" s="19"/>
      <c r="C776" s="19"/>
      <c r="D776" s="31"/>
      <c r="E776" s="31"/>
      <c r="F776" s="31"/>
      <c r="G776" s="31"/>
      <c r="H776" s="31"/>
      <c r="I776" s="31"/>
      <c r="J776" s="31"/>
      <c r="K776" s="19"/>
      <c r="L776" s="19"/>
      <c r="M776" s="19"/>
      <c r="N776" s="31"/>
      <c r="O776" s="31"/>
      <c r="P776" s="31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</row>
    <row r="777" spans="1:37" ht="46.5" customHeight="1" x14ac:dyDescent="0.7">
      <c r="A777" s="19"/>
      <c r="B777" s="19"/>
      <c r="C777" s="19"/>
      <c r="D777" s="31"/>
      <c r="E777" s="31"/>
      <c r="F777" s="31"/>
      <c r="G777" s="31"/>
      <c r="H777" s="31"/>
      <c r="I777" s="31"/>
      <c r="J777" s="31"/>
      <c r="K777" s="19"/>
      <c r="L777" s="19"/>
      <c r="M777" s="19"/>
      <c r="N777" s="31"/>
      <c r="O777" s="31"/>
      <c r="P777" s="31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</row>
    <row r="778" spans="1:37" ht="46.5" customHeight="1" x14ac:dyDescent="0.7">
      <c r="A778" s="19"/>
      <c r="B778" s="19"/>
      <c r="C778" s="19"/>
      <c r="D778" s="31"/>
      <c r="E778" s="31"/>
      <c r="F778" s="31"/>
      <c r="G778" s="31"/>
      <c r="H778" s="31"/>
      <c r="I778" s="31"/>
      <c r="J778" s="31"/>
      <c r="K778" s="19"/>
      <c r="L778" s="19"/>
      <c r="M778" s="19"/>
      <c r="N778" s="31"/>
      <c r="O778" s="31"/>
      <c r="P778" s="31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</row>
    <row r="779" spans="1:37" ht="46.5" customHeight="1" x14ac:dyDescent="0.7">
      <c r="A779" s="19"/>
      <c r="B779" s="19"/>
      <c r="C779" s="19"/>
      <c r="D779" s="31"/>
      <c r="E779" s="31"/>
      <c r="F779" s="31"/>
      <c r="G779" s="31"/>
      <c r="H779" s="31"/>
      <c r="I779" s="31"/>
      <c r="J779" s="31"/>
      <c r="K779" s="19"/>
      <c r="L779" s="19"/>
      <c r="M779" s="19"/>
      <c r="N779" s="31"/>
      <c r="O779" s="31"/>
      <c r="P779" s="31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</row>
    <row r="780" spans="1:37" ht="46.5" customHeight="1" x14ac:dyDescent="0.7">
      <c r="A780" s="19"/>
      <c r="B780" s="19"/>
      <c r="C780" s="19"/>
      <c r="D780" s="31"/>
      <c r="E780" s="31"/>
      <c r="F780" s="31"/>
      <c r="G780" s="31"/>
      <c r="H780" s="31"/>
      <c r="I780" s="31"/>
      <c r="J780" s="31"/>
      <c r="K780" s="19"/>
      <c r="L780" s="19"/>
      <c r="M780" s="19"/>
      <c r="N780" s="31"/>
      <c r="O780" s="31"/>
      <c r="P780" s="31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</row>
    <row r="781" spans="1:37" ht="46.5" customHeight="1" x14ac:dyDescent="0.7">
      <c r="A781" s="19"/>
      <c r="B781" s="19"/>
      <c r="C781" s="19"/>
      <c r="D781" s="31"/>
      <c r="E781" s="31"/>
      <c r="F781" s="31"/>
      <c r="G781" s="31"/>
      <c r="H781" s="31"/>
      <c r="I781" s="31"/>
      <c r="J781" s="31"/>
      <c r="K781" s="19"/>
      <c r="L781" s="19"/>
      <c r="M781" s="19"/>
      <c r="N781" s="31"/>
      <c r="O781" s="31"/>
      <c r="P781" s="31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</row>
    <row r="782" spans="1:37" ht="46.5" customHeight="1" x14ac:dyDescent="0.7">
      <c r="A782" s="19"/>
      <c r="B782" s="19"/>
      <c r="C782" s="19"/>
      <c r="D782" s="31"/>
      <c r="E782" s="31"/>
      <c r="F782" s="31"/>
      <c r="G782" s="31"/>
      <c r="H782" s="31"/>
      <c r="I782" s="31"/>
      <c r="J782" s="31"/>
      <c r="K782" s="19"/>
      <c r="L782" s="19"/>
      <c r="M782" s="19"/>
      <c r="N782" s="31"/>
      <c r="O782" s="31"/>
      <c r="P782" s="31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</row>
    <row r="783" spans="1:37" ht="46.5" customHeight="1" x14ac:dyDescent="0.7">
      <c r="A783" s="19"/>
      <c r="B783" s="19"/>
      <c r="C783" s="19"/>
      <c r="D783" s="31"/>
      <c r="E783" s="31"/>
      <c r="F783" s="31"/>
      <c r="G783" s="31"/>
      <c r="H783" s="31"/>
      <c r="I783" s="31"/>
      <c r="J783" s="31"/>
      <c r="K783" s="19"/>
      <c r="L783" s="19"/>
      <c r="M783" s="19"/>
      <c r="N783" s="31"/>
      <c r="O783" s="31"/>
      <c r="P783" s="31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</row>
    <row r="784" spans="1:37" ht="46.5" customHeight="1" x14ac:dyDescent="0.7">
      <c r="A784" s="19"/>
      <c r="B784" s="19"/>
      <c r="C784" s="19"/>
      <c r="D784" s="31"/>
      <c r="E784" s="31"/>
      <c r="F784" s="31"/>
      <c r="G784" s="31"/>
      <c r="H784" s="31"/>
      <c r="I784" s="31"/>
      <c r="J784" s="31"/>
      <c r="K784" s="19"/>
      <c r="L784" s="19"/>
      <c r="M784" s="19"/>
      <c r="N784" s="31"/>
      <c r="O784" s="31"/>
      <c r="P784" s="31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</row>
    <row r="785" spans="1:37" ht="46.5" customHeight="1" x14ac:dyDescent="0.7">
      <c r="A785" s="19"/>
      <c r="B785" s="19"/>
      <c r="C785" s="19"/>
      <c r="D785" s="31"/>
      <c r="E785" s="31"/>
      <c r="F785" s="31"/>
      <c r="G785" s="31"/>
      <c r="H785" s="31"/>
      <c r="I785" s="31"/>
      <c r="J785" s="31"/>
      <c r="K785" s="19"/>
      <c r="L785" s="19"/>
      <c r="M785" s="19"/>
      <c r="N785" s="31"/>
      <c r="O785" s="31"/>
      <c r="P785" s="31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</row>
    <row r="786" spans="1:37" ht="46.5" customHeight="1" x14ac:dyDescent="0.7">
      <c r="A786" s="19"/>
      <c r="B786" s="19"/>
      <c r="C786" s="19"/>
      <c r="D786" s="31"/>
      <c r="E786" s="31"/>
      <c r="F786" s="31"/>
      <c r="G786" s="31"/>
      <c r="H786" s="31"/>
      <c r="I786" s="31"/>
      <c r="J786" s="31"/>
      <c r="K786" s="19"/>
      <c r="L786" s="19"/>
      <c r="M786" s="19"/>
      <c r="N786" s="31"/>
      <c r="O786" s="31"/>
      <c r="P786" s="31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</row>
    <row r="787" spans="1:37" ht="46.5" customHeight="1" x14ac:dyDescent="0.7">
      <c r="A787" s="19"/>
      <c r="B787" s="19"/>
      <c r="C787" s="19"/>
      <c r="D787" s="31"/>
      <c r="E787" s="31"/>
      <c r="F787" s="31"/>
      <c r="G787" s="31"/>
      <c r="H787" s="31"/>
      <c r="I787" s="31"/>
      <c r="J787" s="31"/>
      <c r="K787" s="19"/>
      <c r="L787" s="19"/>
      <c r="M787" s="19"/>
      <c r="N787" s="31"/>
      <c r="O787" s="31"/>
      <c r="P787" s="31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</row>
    <row r="788" spans="1:37" ht="46.5" customHeight="1" x14ac:dyDescent="0.7">
      <c r="A788" s="19"/>
      <c r="B788" s="19"/>
      <c r="C788" s="19"/>
      <c r="D788" s="31"/>
      <c r="E788" s="31"/>
      <c r="F788" s="31"/>
      <c r="G788" s="31"/>
      <c r="H788" s="31"/>
      <c r="I788" s="31"/>
      <c r="J788" s="31"/>
      <c r="K788" s="19"/>
      <c r="L788" s="19"/>
      <c r="M788" s="19"/>
      <c r="N788" s="31"/>
      <c r="O788" s="31"/>
      <c r="P788" s="31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</row>
    <row r="789" spans="1:37" ht="46.5" customHeight="1" x14ac:dyDescent="0.7">
      <c r="A789" s="19"/>
      <c r="B789" s="19"/>
      <c r="C789" s="19"/>
      <c r="D789" s="31"/>
      <c r="E789" s="31"/>
      <c r="F789" s="31"/>
      <c r="G789" s="31"/>
      <c r="H789" s="31"/>
      <c r="I789" s="31"/>
      <c r="J789" s="31"/>
      <c r="K789" s="19"/>
      <c r="L789" s="19"/>
      <c r="M789" s="19"/>
      <c r="N789" s="31"/>
      <c r="O789" s="31"/>
      <c r="P789" s="31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</row>
    <row r="790" spans="1:37" ht="46.5" customHeight="1" x14ac:dyDescent="0.7">
      <c r="A790" s="19"/>
      <c r="B790" s="19"/>
      <c r="C790" s="19"/>
      <c r="D790" s="31"/>
      <c r="E790" s="31"/>
      <c r="F790" s="31"/>
      <c r="G790" s="31"/>
      <c r="H790" s="31"/>
      <c r="I790" s="31"/>
      <c r="J790" s="31"/>
      <c r="K790" s="19"/>
      <c r="L790" s="19"/>
      <c r="M790" s="19"/>
      <c r="N790" s="31"/>
      <c r="O790" s="31"/>
      <c r="P790" s="31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</row>
    <row r="791" spans="1:37" ht="46.5" customHeight="1" x14ac:dyDescent="0.7">
      <c r="A791" s="19"/>
      <c r="B791" s="19"/>
      <c r="C791" s="19"/>
      <c r="D791" s="31"/>
      <c r="E791" s="31"/>
      <c r="F791" s="31"/>
      <c r="G791" s="31"/>
      <c r="H791" s="31"/>
      <c r="I791" s="31"/>
      <c r="J791" s="31"/>
      <c r="K791" s="19"/>
      <c r="L791" s="19"/>
      <c r="M791" s="19"/>
      <c r="N791" s="31"/>
      <c r="O791" s="31"/>
      <c r="P791" s="31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</row>
    <row r="792" spans="1:37" ht="46.5" customHeight="1" x14ac:dyDescent="0.7">
      <c r="A792" s="19"/>
      <c r="B792" s="19"/>
      <c r="C792" s="19"/>
      <c r="D792" s="31"/>
      <c r="E792" s="31"/>
      <c r="F792" s="31"/>
      <c r="G792" s="31"/>
      <c r="H792" s="31"/>
      <c r="I792" s="31"/>
      <c r="J792" s="31"/>
      <c r="K792" s="19"/>
      <c r="L792" s="19"/>
      <c r="M792" s="19"/>
      <c r="N792" s="31"/>
      <c r="O792" s="31"/>
      <c r="P792" s="31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</row>
    <row r="793" spans="1:37" ht="46.5" customHeight="1" x14ac:dyDescent="0.7">
      <c r="A793" s="19"/>
      <c r="B793" s="19"/>
      <c r="C793" s="19"/>
      <c r="D793" s="31"/>
      <c r="E793" s="31"/>
      <c r="F793" s="31"/>
      <c r="G793" s="31"/>
      <c r="H793" s="31"/>
      <c r="I793" s="31"/>
      <c r="J793" s="31"/>
      <c r="K793" s="19"/>
      <c r="L793" s="19"/>
      <c r="M793" s="19"/>
      <c r="N793" s="31"/>
      <c r="O793" s="31"/>
      <c r="P793" s="31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</row>
    <row r="794" spans="1:37" ht="46.5" customHeight="1" x14ac:dyDescent="0.7">
      <c r="A794" s="19"/>
      <c r="B794" s="19"/>
      <c r="C794" s="19"/>
      <c r="D794" s="31"/>
      <c r="E794" s="31"/>
      <c r="F794" s="31"/>
      <c r="G794" s="31"/>
      <c r="H794" s="31"/>
      <c r="I794" s="31"/>
      <c r="J794" s="31"/>
      <c r="K794" s="19"/>
      <c r="L794" s="19"/>
      <c r="M794" s="19"/>
      <c r="N794" s="31"/>
      <c r="O794" s="31"/>
      <c r="P794" s="31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</row>
    <row r="795" spans="1:37" ht="46.5" customHeight="1" x14ac:dyDescent="0.7">
      <c r="A795" s="19"/>
      <c r="B795" s="19"/>
      <c r="C795" s="19"/>
      <c r="D795" s="31"/>
      <c r="E795" s="31"/>
      <c r="F795" s="31"/>
      <c r="G795" s="31"/>
      <c r="H795" s="31"/>
      <c r="I795" s="31"/>
      <c r="J795" s="31"/>
      <c r="K795" s="19"/>
      <c r="L795" s="19"/>
      <c r="M795" s="19"/>
      <c r="N795" s="31"/>
      <c r="O795" s="31"/>
      <c r="P795" s="31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</row>
    <row r="796" spans="1:37" ht="46.5" customHeight="1" x14ac:dyDescent="0.7">
      <c r="A796" s="19"/>
      <c r="B796" s="19"/>
      <c r="C796" s="19"/>
      <c r="D796" s="31"/>
      <c r="E796" s="31"/>
      <c r="F796" s="31"/>
      <c r="G796" s="31"/>
      <c r="H796" s="31"/>
      <c r="I796" s="31"/>
      <c r="J796" s="31"/>
      <c r="K796" s="19"/>
      <c r="L796" s="19"/>
      <c r="M796" s="19"/>
      <c r="N796" s="31"/>
      <c r="O796" s="31"/>
      <c r="P796" s="31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</row>
    <row r="797" spans="1:37" ht="46.5" customHeight="1" x14ac:dyDescent="0.7">
      <c r="A797" s="19"/>
      <c r="B797" s="19"/>
      <c r="C797" s="19"/>
      <c r="D797" s="31"/>
      <c r="E797" s="31"/>
      <c r="F797" s="31"/>
      <c r="G797" s="31"/>
      <c r="H797" s="31"/>
      <c r="I797" s="31"/>
      <c r="J797" s="31"/>
      <c r="K797" s="19"/>
      <c r="L797" s="19"/>
      <c r="M797" s="19"/>
      <c r="N797" s="31"/>
      <c r="O797" s="31"/>
      <c r="P797" s="31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</row>
    <row r="798" spans="1:37" ht="46.5" customHeight="1" x14ac:dyDescent="0.7">
      <c r="A798" s="19"/>
      <c r="B798" s="19"/>
      <c r="C798" s="19"/>
      <c r="D798" s="31"/>
      <c r="E798" s="31"/>
      <c r="F798" s="31"/>
      <c r="G798" s="31"/>
      <c r="H798" s="31"/>
      <c r="I798" s="31"/>
      <c r="J798" s="31"/>
      <c r="K798" s="19"/>
      <c r="L798" s="19"/>
      <c r="M798" s="19"/>
      <c r="N798" s="31"/>
      <c r="O798" s="31"/>
      <c r="P798" s="31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</row>
    <row r="799" spans="1:37" ht="46.5" customHeight="1" x14ac:dyDescent="0.7">
      <c r="A799" s="19"/>
      <c r="B799" s="19"/>
      <c r="C799" s="19"/>
      <c r="D799" s="31"/>
      <c r="E799" s="31"/>
      <c r="F799" s="31"/>
      <c r="G799" s="31"/>
      <c r="H799" s="31"/>
      <c r="I799" s="31"/>
      <c r="J799" s="31"/>
      <c r="K799" s="19"/>
      <c r="L799" s="19"/>
      <c r="M799" s="19"/>
      <c r="N799" s="31"/>
      <c r="O799" s="31"/>
      <c r="P799" s="31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</row>
    <row r="800" spans="1:37" ht="46.5" customHeight="1" x14ac:dyDescent="0.7">
      <c r="A800" s="19"/>
      <c r="B800" s="19"/>
      <c r="C800" s="19"/>
      <c r="D800" s="31"/>
      <c r="E800" s="31"/>
      <c r="F800" s="31"/>
      <c r="G800" s="31"/>
      <c r="H800" s="31"/>
      <c r="I800" s="31"/>
      <c r="J800" s="31"/>
      <c r="K800" s="19"/>
      <c r="L800" s="19"/>
      <c r="M800" s="19"/>
      <c r="N800" s="31"/>
      <c r="O800" s="31"/>
      <c r="P800" s="31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</row>
    <row r="801" spans="1:37" ht="46.5" customHeight="1" x14ac:dyDescent="0.7">
      <c r="A801" s="19"/>
      <c r="B801" s="19"/>
      <c r="C801" s="19"/>
      <c r="D801" s="31"/>
      <c r="E801" s="31"/>
      <c r="F801" s="31"/>
      <c r="G801" s="31"/>
      <c r="H801" s="31"/>
      <c r="I801" s="31"/>
      <c r="J801" s="31"/>
      <c r="K801" s="19"/>
      <c r="L801" s="19"/>
      <c r="M801" s="19"/>
      <c r="N801" s="31"/>
      <c r="O801" s="31"/>
      <c r="P801" s="31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</row>
    <row r="802" spans="1:37" ht="46.5" customHeight="1" x14ac:dyDescent="0.7">
      <c r="A802" s="19"/>
      <c r="B802" s="19"/>
      <c r="C802" s="19"/>
      <c r="D802" s="31"/>
      <c r="E802" s="31"/>
      <c r="F802" s="31"/>
      <c r="G802" s="31"/>
      <c r="H802" s="31"/>
      <c r="I802" s="31"/>
      <c r="J802" s="31"/>
      <c r="K802" s="19"/>
      <c r="L802" s="19"/>
      <c r="M802" s="19"/>
      <c r="N802" s="31"/>
      <c r="O802" s="31"/>
      <c r="P802" s="31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</row>
    <row r="803" spans="1:37" ht="46.5" customHeight="1" x14ac:dyDescent="0.7">
      <c r="A803" s="19"/>
      <c r="B803" s="19"/>
      <c r="C803" s="19"/>
      <c r="D803" s="31"/>
      <c r="E803" s="31"/>
      <c r="F803" s="31"/>
      <c r="G803" s="31"/>
      <c r="H803" s="31"/>
      <c r="I803" s="31"/>
      <c r="J803" s="31"/>
      <c r="K803" s="19"/>
      <c r="L803" s="19"/>
      <c r="M803" s="19"/>
      <c r="N803" s="31"/>
      <c r="O803" s="31"/>
      <c r="P803" s="31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</row>
    <row r="804" spans="1:37" ht="46.5" customHeight="1" x14ac:dyDescent="0.7">
      <c r="A804" s="19"/>
      <c r="B804" s="19"/>
      <c r="C804" s="19"/>
      <c r="D804" s="31"/>
      <c r="E804" s="31"/>
      <c r="F804" s="31"/>
      <c r="G804" s="31"/>
      <c r="H804" s="31"/>
      <c r="I804" s="31"/>
      <c r="J804" s="31"/>
      <c r="K804" s="19"/>
      <c r="L804" s="19"/>
      <c r="M804" s="19"/>
      <c r="N804" s="31"/>
      <c r="O804" s="31"/>
      <c r="P804" s="31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</row>
    <row r="805" spans="1:37" ht="46.5" customHeight="1" x14ac:dyDescent="0.7">
      <c r="A805" s="19"/>
      <c r="B805" s="19"/>
      <c r="C805" s="19"/>
      <c r="D805" s="31"/>
      <c r="E805" s="31"/>
      <c r="F805" s="31"/>
      <c r="G805" s="31"/>
      <c r="H805" s="31"/>
      <c r="I805" s="31"/>
      <c r="J805" s="31"/>
      <c r="K805" s="19"/>
      <c r="L805" s="19"/>
      <c r="M805" s="19"/>
      <c r="N805" s="31"/>
      <c r="O805" s="31"/>
      <c r="P805" s="31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</row>
    <row r="806" spans="1:37" ht="46.5" customHeight="1" x14ac:dyDescent="0.7">
      <c r="A806" s="19"/>
      <c r="B806" s="19"/>
      <c r="C806" s="19"/>
      <c r="D806" s="31"/>
      <c r="E806" s="31"/>
      <c r="F806" s="31"/>
      <c r="G806" s="31"/>
      <c r="H806" s="31"/>
      <c r="I806" s="31"/>
      <c r="J806" s="31"/>
      <c r="K806" s="19"/>
      <c r="L806" s="19"/>
      <c r="M806" s="19"/>
      <c r="N806" s="31"/>
      <c r="O806" s="31"/>
      <c r="P806" s="31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</row>
    <row r="807" spans="1:37" ht="46.5" customHeight="1" x14ac:dyDescent="0.7">
      <c r="A807" s="19"/>
      <c r="B807" s="19"/>
      <c r="C807" s="19"/>
      <c r="D807" s="31"/>
      <c r="E807" s="31"/>
      <c r="F807" s="31"/>
      <c r="G807" s="31"/>
      <c r="H807" s="31"/>
      <c r="I807" s="31"/>
      <c r="J807" s="31"/>
      <c r="K807" s="19"/>
      <c r="L807" s="19"/>
      <c r="M807" s="19"/>
      <c r="N807" s="31"/>
      <c r="O807" s="31"/>
      <c r="P807" s="31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</row>
    <row r="808" spans="1:37" ht="46.5" customHeight="1" x14ac:dyDescent="0.7">
      <c r="A808" s="19"/>
      <c r="B808" s="19"/>
      <c r="C808" s="19"/>
      <c r="D808" s="31"/>
      <c r="E808" s="31"/>
      <c r="F808" s="31"/>
      <c r="G808" s="31"/>
      <c r="H808" s="31"/>
      <c r="I808" s="31"/>
      <c r="J808" s="31"/>
      <c r="K808" s="19"/>
      <c r="L808" s="19"/>
      <c r="M808" s="19"/>
      <c r="N808" s="31"/>
      <c r="O808" s="31"/>
      <c r="P808" s="31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</row>
    <row r="809" spans="1:37" ht="46.5" customHeight="1" x14ac:dyDescent="0.7">
      <c r="A809" s="19"/>
      <c r="B809" s="19"/>
      <c r="C809" s="19"/>
      <c r="D809" s="31"/>
      <c r="E809" s="31"/>
      <c r="F809" s="31"/>
      <c r="G809" s="31"/>
      <c r="H809" s="31"/>
      <c r="I809" s="31"/>
      <c r="J809" s="31"/>
      <c r="K809" s="19"/>
      <c r="L809" s="19"/>
      <c r="M809" s="19"/>
      <c r="N809" s="31"/>
      <c r="O809" s="31"/>
      <c r="P809" s="31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</row>
    <row r="810" spans="1:37" ht="46.5" customHeight="1" x14ac:dyDescent="0.7">
      <c r="A810" s="19"/>
      <c r="B810" s="19"/>
      <c r="C810" s="19"/>
      <c r="D810" s="31"/>
      <c r="E810" s="31"/>
      <c r="F810" s="31"/>
      <c r="G810" s="31"/>
      <c r="H810" s="31"/>
      <c r="I810" s="31"/>
      <c r="J810" s="31"/>
      <c r="K810" s="19"/>
      <c r="L810" s="19"/>
      <c r="M810" s="19"/>
      <c r="N810" s="31"/>
      <c r="O810" s="31"/>
      <c r="P810" s="31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</row>
    <row r="811" spans="1:37" ht="46.5" customHeight="1" x14ac:dyDescent="0.7">
      <c r="A811" s="19"/>
      <c r="B811" s="19"/>
      <c r="C811" s="19"/>
      <c r="D811" s="31"/>
      <c r="E811" s="31"/>
      <c r="F811" s="31"/>
      <c r="G811" s="31"/>
      <c r="H811" s="31"/>
      <c r="I811" s="31"/>
      <c r="J811" s="31"/>
      <c r="K811" s="19"/>
      <c r="L811" s="19"/>
      <c r="M811" s="19"/>
      <c r="N811" s="31"/>
      <c r="O811" s="31"/>
      <c r="P811" s="31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</row>
    <row r="812" spans="1:37" ht="46.5" customHeight="1" x14ac:dyDescent="0.7">
      <c r="A812" s="19"/>
      <c r="B812" s="19"/>
      <c r="C812" s="19"/>
      <c r="D812" s="31"/>
      <c r="E812" s="31"/>
      <c r="F812" s="31"/>
      <c r="G812" s="31"/>
      <c r="H812" s="31"/>
      <c r="I812" s="31"/>
      <c r="J812" s="31"/>
      <c r="K812" s="19"/>
      <c r="L812" s="19"/>
      <c r="M812" s="19"/>
      <c r="N812" s="31"/>
      <c r="O812" s="31"/>
      <c r="P812" s="31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</row>
    <row r="813" spans="1:37" ht="46.5" customHeight="1" x14ac:dyDescent="0.7">
      <c r="A813" s="19"/>
      <c r="B813" s="19"/>
      <c r="C813" s="19"/>
      <c r="D813" s="31"/>
      <c r="E813" s="31"/>
      <c r="F813" s="31"/>
      <c r="G813" s="31"/>
      <c r="H813" s="31"/>
      <c r="I813" s="31"/>
      <c r="J813" s="31"/>
      <c r="K813" s="19"/>
      <c r="L813" s="19"/>
      <c r="M813" s="19"/>
      <c r="N813" s="31"/>
      <c r="O813" s="31"/>
      <c r="P813" s="31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</row>
    <row r="814" spans="1:37" ht="46.5" customHeight="1" x14ac:dyDescent="0.7">
      <c r="A814" s="19"/>
      <c r="B814" s="19"/>
      <c r="C814" s="19"/>
      <c r="D814" s="31"/>
      <c r="E814" s="31"/>
      <c r="F814" s="31"/>
      <c r="G814" s="31"/>
      <c r="H814" s="31"/>
      <c r="I814" s="31"/>
      <c r="J814" s="31"/>
      <c r="K814" s="19"/>
      <c r="L814" s="19"/>
      <c r="M814" s="19"/>
      <c r="N814" s="31"/>
      <c r="O814" s="31"/>
      <c r="P814" s="31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</row>
    <row r="815" spans="1:37" ht="46.5" customHeight="1" x14ac:dyDescent="0.7">
      <c r="A815" s="19"/>
      <c r="B815" s="19"/>
      <c r="C815" s="19"/>
      <c r="D815" s="31"/>
      <c r="E815" s="31"/>
      <c r="F815" s="31"/>
      <c r="G815" s="31"/>
      <c r="H815" s="31"/>
      <c r="I815" s="31"/>
      <c r="J815" s="31"/>
      <c r="K815" s="19"/>
      <c r="L815" s="19"/>
      <c r="M815" s="19"/>
      <c r="N815" s="31"/>
      <c r="O815" s="31"/>
      <c r="P815" s="31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</row>
    <row r="816" spans="1:37" ht="46.5" customHeight="1" x14ac:dyDescent="0.7">
      <c r="A816" s="19"/>
      <c r="B816" s="19"/>
      <c r="C816" s="19"/>
      <c r="D816" s="31"/>
      <c r="E816" s="31"/>
      <c r="F816" s="31"/>
      <c r="G816" s="31"/>
      <c r="H816" s="31"/>
      <c r="I816" s="31"/>
      <c r="J816" s="31"/>
      <c r="K816" s="19"/>
      <c r="L816" s="19"/>
      <c r="M816" s="19"/>
      <c r="N816" s="31"/>
      <c r="O816" s="31"/>
      <c r="P816" s="31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</row>
    <row r="817" spans="1:37" ht="46.5" customHeight="1" x14ac:dyDescent="0.7">
      <c r="A817" s="19"/>
      <c r="B817" s="19"/>
      <c r="C817" s="19"/>
      <c r="D817" s="31"/>
      <c r="E817" s="31"/>
      <c r="F817" s="31"/>
      <c r="G817" s="31"/>
      <c r="H817" s="31"/>
      <c r="I817" s="31"/>
      <c r="J817" s="31"/>
      <c r="K817" s="19"/>
      <c r="L817" s="19"/>
      <c r="M817" s="19"/>
      <c r="N817" s="31"/>
      <c r="O817" s="31"/>
      <c r="P817" s="31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</row>
    <row r="818" spans="1:37" ht="46.5" customHeight="1" x14ac:dyDescent="0.7">
      <c r="A818" s="19"/>
      <c r="B818" s="19"/>
      <c r="C818" s="19"/>
      <c r="D818" s="31"/>
      <c r="E818" s="31"/>
      <c r="F818" s="31"/>
      <c r="G818" s="31"/>
      <c r="H818" s="31"/>
      <c r="I818" s="31"/>
      <c r="J818" s="31"/>
      <c r="K818" s="19"/>
      <c r="L818" s="19"/>
      <c r="M818" s="19"/>
      <c r="N818" s="31"/>
      <c r="O818" s="31"/>
      <c r="P818" s="31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</row>
    <row r="819" spans="1:37" ht="46.5" customHeight="1" x14ac:dyDescent="0.7">
      <c r="A819" s="19"/>
      <c r="B819" s="19"/>
      <c r="C819" s="19"/>
      <c r="D819" s="31"/>
      <c r="E819" s="31"/>
      <c r="F819" s="31"/>
      <c r="G819" s="31"/>
      <c r="H819" s="31"/>
      <c r="I819" s="31"/>
      <c r="J819" s="31"/>
      <c r="K819" s="19"/>
      <c r="L819" s="19"/>
      <c r="M819" s="19"/>
      <c r="N819" s="31"/>
      <c r="O819" s="31"/>
      <c r="P819" s="31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</row>
    <row r="820" spans="1:37" ht="46.5" customHeight="1" x14ac:dyDescent="0.7">
      <c r="A820" s="19"/>
      <c r="B820" s="19"/>
      <c r="C820" s="19"/>
      <c r="D820" s="31"/>
      <c r="E820" s="31"/>
      <c r="F820" s="31"/>
      <c r="G820" s="31"/>
      <c r="H820" s="31"/>
      <c r="I820" s="31"/>
      <c r="J820" s="31"/>
      <c r="K820" s="19"/>
      <c r="L820" s="19"/>
      <c r="M820" s="19"/>
      <c r="N820" s="31"/>
      <c r="O820" s="31"/>
      <c r="P820" s="31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</row>
    <row r="821" spans="1:37" ht="46.5" customHeight="1" x14ac:dyDescent="0.7">
      <c r="A821" s="19"/>
      <c r="B821" s="19"/>
      <c r="C821" s="19"/>
      <c r="D821" s="31"/>
      <c r="E821" s="31"/>
      <c r="F821" s="31"/>
      <c r="G821" s="31"/>
      <c r="H821" s="31"/>
      <c r="I821" s="31"/>
      <c r="J821" s="31"/>
      <c r="K821" s="19"/>
      <c r="L821" s="19"/>
      <c r="M821" s="19"/>
      <c r="N821" s="31"/>
      <c r="O821" s="31"/>
      <c r="P821" s="31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</row>
    <row r="822" spans="1:37" ht="46.5" customHeight="1" x14ac:dyDescent="0.7">
      <c r="A822" s="19"/>
      <c r="B822" s="19"/>
      <c r="C822" s="19"/>
      <c r="D822" s="31"/>
      <c r="E822" s="31"/>
      <c r="F822" s="31"/>
      <c r="G822" s="31"/>
      <c r="H822" s="31"/>
      <c r="I822" s="31"/>
      <c r="J822" s="31"/>
      <c r="K822" s="19"/>
      <c r="L822" s="19"/>
      <c r="M822" s="19"/>
      <c r="N822" s="31"/>
      <c r="O822" s="31"/>
      <c r="P822" s="31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</row>
    <row r="823" spans="1:37" ht="46.5" customHeight="1" x14ac:dyDescent="0.7">
      <c r="A823" s="19"/>
      <c r="B823" s="19"/>
      <c r="C823" s="19"/>
      <c r="D823" s="31"/>
      <c r="E823" s="31"/>
      <c r="F823" s="31"/>
      <c r="G823" s="31"/>
      <c r="H823" s="31"/>
      <c r="I823" s="31"/>
      <c r="J823" s="31"/>
      <c r="K823" s="19"/>
      <c r="L823" s="19"/>
      <c r="M823" s="19"/>
      <c r="N823" s="31"/>
      <c r="O823" s="31"/>
      <c r="P823" s="31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</row>
    <row r="824" spans="1:37" ht="46.5" customHeight="1" x14ac:dyDescent="0.7">
      <c r="A824" s="19"/>
      <c r="B824" s="19"/>
      <c r="C824" s="19"/>
      <c r="D824" s="31"/>
      <c r="E824" s="31"/>
      <c r="F824" s="31"/>
      <c r="G824" s="31"/>
      <c r="H824" s="31"/>
      <c r="I824" s="31"/>
      <c r="J824" s="31"/>
      <c r="K824" s="19"/>
      <c r="L824" s="19"/>
      <c r="M824" s="19"/>
      <c r="N824" s="31"/>
      <c r="O824" s="31"/>
      <c r="P824" s="31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</row>
    <row r="825" spans="1:37" ht="46.5" customHeight="1" x14ac:dyDescent="0.7">
      <c r="A825" s="19"/>
      <c r="B825" s="19"/>
      <c r="C825" s="19"/>
      <c r="D825" s="31"/>
      <c r="E825" s="31"/>
      <c r="F825" s="31"/>
      <c r="G825" s="31"/>
      <c r="H825" s="31"/>
      <c r="I825" s="31"/>
      <c r="J825" s="31"/>
      <c r="K825" s="19"/>
      <c r="L825" s="19"/>
      <c r="M825" s="19"/>
      <c r="N825" s="31"/>
      <c r="O825" s="31"/>
      <c r="P825" s="31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</row>
    <row r="826" spans="1:37" ht="46.5" customHeight="1" x14ac:dyDescent="0.7">
      <c r="A826" s="19"/>
      <c r="B826" s="19"/>
      <c r="C826" s="19"/>
      <c r="D826" s="31"/>
      <c r="E826" s="31"/>
      <c r="F826" s="31"/>
      <c r="G826" s="31"/>
      <c r="H826" s="31"/>
      <c r="I826" s="31"/>
      <c r="J826" s="31"/>
      <c r="K826" s="19"/>
      <c r="L826" s="19"/>
      <c r="M826" s="19"/>
      <c r="N826" s="31"/>
      <c r="O826" s="31"/>
      <c r="P826" s="31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</row>
    <row r="827" spans="1:37" ht="46.5" customHeight="1" x14ac:dyDescent="0.7">
      <c r="A827" s="19"/>
      <c r="B827" s="19"/>
      <c r="C827" s="19"/>
      <c r="D827" s="31"/>
      <c r="E827" s="31"/>
      <c r="F827" s="31"/>
      <c r="G827" s="31"/>
      <c r="H827" s="31"/>
      <c r="I827" s="31"/>
      <c r="J827" s="31"/>
      <c r="K827" s="19"/>
      <c r="L827" s="19"/>
      <c r="M827" s="19"/>
      <c r="N827" s="31"/>
      <c r="O827" s="31"/>
      <c r="P827" s="31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</row>
    <row r="828" spans="1:37" ht="46.5" customHeight="1" x14ac:dyDescent="0.7">
      <c r="A828" s="19"/>
      <c r="B828" s="19"/>
      <c r="C828" s="19"/>
      <c r="D828" s="31"/>
      <c r="E828" s="31"/>
      <c r="F828" s="31"/>
      <c r="G828" s="31"/>
      <c r="H828" s="31"/>
      <c r="I828" s="31"/>
      <c r="J828" s="31"/>
      <c r="K828" s="19"/>
      <c r="L828" s="19"/>
      <c r="M828" s="19"/>
      <c r="N828" s="31"/>
      <c r="O828" s="31"/>
      <c r="P828" s="31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</row>
    <row r="829" spans="1:37" ht="46.5" customHeight="1" x14ac:dyDescent="0.7">
      <c r="A829" s="19"/>
      <c r="B829" s="19"/>
      <c r="C829" s="19"/>
      <c r="D829" s="31"/>
      <c r="E829" s="31"/>
      <c r="F829" s="31"/>
      <c r="G829" s="31"/>
      <c r="H829" s="31"/>
      <c r="I829" s="31"/>
      <c r="J829" s="31"/>
      <c r="K829" s="19"/>
      <c r="L829" s="19"/>
      <c r="M829" s="19"/>
      <c r="N829" s="31"/>
      <c r="O829" s="31"/>
      <c r="P829" s="31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</row>
    <row r="830" spans="1:37" ht="46.5" customHeight="1" x14ac:dyDescent="0.7">
      <c r="A830" s="19"/>
      <c r="B830" s="19"/>
      <c r="C830" s="19"/>
      <c r="D830" s="31"/>
      <c r="E830" s="31"/>
      <c r="F830" s="31"/>
      <c r="G830" s="31"/>
      <c r="H830" s="31"/>
      <c r="I830" s="31"/>
      <c r="J830" s="31"/>
      <c r="K830" s="19"/>
      <c r="L830" s="19"/>
      <c r="M830" s="19"/>
      <c r="N830" s="31"/>
      <c r="O830" s="31"/>
      <c r="P830" s="31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</row>
    <row r="831" spans="1:37" ht="46.5" customHeight="1" x14ac:dyDescent="0.7">
      <c r="A831" s="19"/>
      <c r="B831" s="19"/>
      <c r="C831" s="19"/>
      <c r="D831" s="31"/>
      <c r="E831" s="31"/>
      <c r="F831" s="31"/>
      <c r="G831" s="31"/>
      <c r="H831" s="31"/>
      <c r="I831" s="31"/>
      <c r="J831" s="31"/>
      <c r="K831" s="19"/>
      <c r="L831" s="19"/>
      <c r="M831" s="19"/>
      <c r="N831" s="31"/>
      <c r="O831" s="31"/>
      <c r="P831" s="31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</row>
    <row r="832" spans="1:37" ht="46.5" customHeight="1" x14ac:dyDescent="0.7">
      <c r="A832" s="19"/>
      <c r="B832" s="19"/>
      <c r="C832" s="19"/>
      <c r="D832" s="31"/>
      <c r="E832" s="31"/>
      <c r="F832" s="31"/>
      <c r="G832" s="31"/>
      <c r="H832" s="31"/>
      <c r="I832" s="31"/>
      <c r="J832" s="31"/>
      <c r="K832" s="19"/>
      <c r="L832" s="19"/>
      <c r="M832" s="19"/>
      <c r="N832" s="31"/>
      <c r="O832" s="31"/>
      <c r="P832" s="31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</row>
    <row r="833" spans="1:37" ht="46.5" customHeight="1" x14ac:dyDescent="0.7">
      <c r="A833" s="19"/>
      <c r="B833" s="19"/>
      <c r="C833" s="19"/>
      <c r="D833" s="31"/>
      <c r="E833" s="31"/>
      <c r="F833" s="31"/>
      <c r="G833" s="31"/>
      <c r="H833" s="31"/>
      <c r="I833" s="31"/>
      <c r="J833" s="31"/>
      <c r="K833" s="19"/>
      <c r="L833" s="19"/>
      <c r="M833" s="19"/>
      <c r="N833" s="31"/>
      <c r="O833" s="31"/>
      <c r="P833" s="31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</row>
    <row r="834" spans="1:37" ht="46.5" customHeight="1" x14ac:dyDescent="0.7">
      <c r="A834" s="19"/>
      <c r="B834" s="19"/>
      <c r="C834" s="19"/>
      <c r="D834" s="31"/>
      <c r="E834" s="31"/>
      <c r="F834" s="31"/>
      <c r="G834" s="31"/>
      <c r="H834" s="31"/>
      <c r="I834" s="31"/>
      <c r="J834" s="31"/>
      <c r="K834" s="19"/>
      <c r="L834" s="19"/>
      <c r="M834" s="19"/>
      <c r="N834" s="31"/>
      <c r="O834" s="31"/>
      <c r="P834" s="31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</row>
    <row r="835" spans="1:37" ht="46.5" customHeight="1" x14ac:dyDescent="0.7">
      <c r="A835" s="19"/>
      <c r="B835" s="19"/>
      <c r="C835" s="19"/>
      <c r="D835" s="31"/>
      <c r="E835" s="31"/>
      <c r="F835" s="31"/>
      <c r="G835" s="31"/>
      <c r="H835" s="31"/>
      <c r="I835" s="31"/>
      <c r="J835" s="31"/>
      <c r="K835" s="19"/>
      <c r="L835" s="19"/>
      <c r="M835" s="19"/>
      <c r="N835" s="31"/>
      <c r="O835" s="31"/>
      <c r="P835" s="31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</row>
    <row r="836" spans="1:37" ht="46.5" customHeight="1" x14ac:dyDescent="0.7">
      <c r="A836" s="19"/>
      <c r="B836" s="19"/>
      <c r="C836" s="19"/>
      <c r="D836" s="31"/>
      <c r="E836" s="31"/>
      <c r="F836" s="31"/>
      <c r="G836" s="31"/>
      <c r="H836" s="31"/>
      <c r="I836" s="31"/>
      <c r="J836" s="31"/>
      <c r="K836" s="19"/>
      <c r="L836" s="19"/>
      <c r="M836" s="19"/>
      <c r="N836" s="31"/>
      <c r="O836" s="31"/>
      <c r="P836" s="31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</row>
    <row r="837" spans="1:37" ht="46.5" customHeight="1" x14ac:dyDescent="0.7">
      <c r="A837" s="19"/>
      <c r="B837" s="19"/>
      <c r="C837" s="19"/>
      <c r="D837" s="31"/>
      <c r="E837" s="31"/>
      <c r="F837" s="31"/>
      <c r="G837" s="31"/>
      <c r="H837" s="31"/>
      <c r="I837" s="31"/>
      <c r="J837" s="31"/>
      <c r="K837" s="19"/>
      <c r="L837" s="19"/>
      <c r="M837" s="19"/>
      <c r="N837" s="31"/>
      <c r="O837" s="31"/>
      <c r="P837" s="31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</row>
    <row r="838" spans="1:37" ht="46.5" customHeight="1" x14ac:dyDescent="0.7">
      <c r="A838" s="19"/>
      <c r="B838" s="19"/>
      <c r="C838" s="19"/>
      <c r="D838" s="31"/>
      <c r="E838" s="31"/>
      <c r="F838" s="31"/>
      <c r="G838" s="31"/>
      <c r="H838" s="31"/>
      <c r="I838" s="31"/>
      <c r="J838" s="31"/>
      <c r="K838" s="19"/>
      <c r="L838" s="19"/>
      <c r="M838" s="19"/>
      <c r="N838" s="31"/>
      <c r="O838" s="31"/>
      <c r="P838" s="31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</row>
    <row r="839" spans="1:37" ht="46.5" customHeight="1" x14ac:dyDescent="0.7">
      <c r="A839" s="19"/>
      <c r="B839" s="19"/>
      <c r="C839" s="19"/>
      <c r="D839" s="31"/>
      <c r="E839" s="31"/>
      <c r="F839" s="31"/>
      <c r="G839" s="31"/>
      <c r="H839" s="31"/>
      <c r="I839" s="31"/>
      <c r="J839" s="31"/>
      <c r="K839" s="19"/>
      <c r="L839" s="19"/>
      <c r="M839" s="19"/>
      <c r="N839" s="31"/>
      <c r="O839" s="31"/>
      <c r="P839" s="31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</row>
    <row r="840" spans="1:37" ht="46.5" customHeight="1" x14ac:dyDescent="0.7">
      <c r="A840" s="19"/>
      <c r="B840" s="19"/>
      <c r="C840" s="19"/>
      <c r="D840" s="31"/>
      <c r="E840" s="31"/>
      <c r="F840" s="31"/>
      <c r="G840" s="31"/>
      <c r="H840" s="31"/>
      <c r="I840" s="31"/>
      <c r="J840" s="31"/>
      <c r="K840" s="19"/>
      <c r="L840" s="19"/>
      <c r="M840" s="19"/>
      <c r="N840" s="31"/>
      <c r="O840" s="31"/>
      <c r="P840" s="31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</row>
    <row r="841" spans="1:37" ht="46.5" customHeight="1" x14ac:dyDescent="0.7">
      <c r="A841" s="19"/>
      <c r="B841" s="19"/>
      <c r="C841" s="19"/>
      <c r="D841" s="31"/>
      <c r="E841" s="31"/>
      <c r="F841" s="31"/>
      <c r="G841" s="31"/>
      <c r="H841" s="31"/>
      <c r="I841" s="31"/>
      <c r="J841" s="31"/>
      <c r="K841" s="19"/>
      <c r="L841" s="19"/>
      <c r="M841" s="19"/>
      <c r="N841" s="31"/>
      <c r="O841" s="31"/>
      <c r="P841" s="31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</row>
    <row r="842" spans="1:37" ht="46.5" customHeight="1" x14ac:dyDescent="0.7">
      <c r="A842" s="19"/>
      <c r="B842" s="19"/>
      <c r="C842" s="19"/>
      <c r="D842" s="31"/>
      <c r="E842" s="31"/>
      <c r="F842" s="31"/>
      <c r="G842" s="31"/>
      <c r="H842" s="31"/>
      <c r="I842" s="31"/>
      <c r="J842" s="31"/>
      <c r="K842" s="19"/>
      <c r="L842" s="19"/>
      <c r="M842" s="19"/>
      <c r="N842" s="31"/>
      <c r="O842" s="31"/>
      <c r="P842" s="31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</row>
    <row r="843" spans="1:37" ht="46.5" customHeight="1" x14ac:dyDescent="0.7">
      <c r="A843" s="19"/>
      <c r="B843" s="19"/>
      <c r="C843" s="19"/>
      <c r="D843" s="31"/>
      <c r="E843" s="31"/>
      <c r="F843" s="31"/>
      <c r="G843" s="31"/>
      <c r="H843" s="31"/>
      <c r="I843" s="31"/>
      <c r="J843" s="31"/>
      <c r="K843" s="19"/>
      <c r="L843" s="19"/>
      <c r="M843" s="19"/>
      <c r="N843" s="31"/>
      <c r="O843" s="31"/>
      <c r="P843" s="31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</row>
    <row r="844" spans="1:37" ht="46.5" customHeight="1" x14ac:dyDescent="0.7">
      <c r="A844" s="19"/>
      <c r="B844" s="19"/>
      <c r="C844" s="19"/>
      <c r="D844" s="31"/>
      <c r="E844" s="31"/>
      <c r="F844" s="31"/>
      <c r="G844" s="31"/>
      <c r="H844" s="31"/>
      <c r="I844" s="31"/>
      <c r="J844" s="31"/>
      <c r="K844" s="19"/>
      <c r="L844" s="19"/>
      <c r="M844" s="19"/>
      <c r="N844" s="31"/>
      <c r="O844" s="31"/>
      <c r="P844" s="31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</row>
    <row r="845" spans="1:37" ht="46.5" customHeight="1" x14ac:dyDescent="0.7">
      <c r="A845" s="19"/>
      <c r="B845" s="19"/>
      <c r="C845" s="19"/>
      <c r="D845" s="31"/>
      <c r="E845" s="31"/>
      <c r="F845" s="31"/>
      <c r="G845" s="31"/>
      <c r="H845" s="31"/>
      <c r="I845" s="31"/>
      <c r="J845" s="31"/>
      <c r="K845" s="19"/>
      <c r="L845" s="19"/>
      <c r="M845" s="19"/>
      <c r="N845" s="31"/>
      <c r="O845" s="31"/>
      <c r="P845" s="31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</row>
    <row r="846" spans="1:37" ht="46.5" customHeight="1" x14ac:dyDescent="0.7">
      <c r="A846" s="19"/>
      <c r="B846" s="19"/>
      <c r="C846" s="19"/>
      <c r="D846" s="31"/>
      <c r="E846" s="31"/>
      <c r="F846" s="31"/>
      <c r="G846" s="31"/>
      <c r="H846" s="31"/>
      <c r="I846" s="31"/>
      <c r="J846" s="31"/>
      <c r="K846" s="19"/>
      <c r="L846" s="19"/>
      <c r="M846" s="19"/>
      <c r="N846" s="31"/>
      <c r="O846" s="31"/>
      <c r="P846" s="31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</row>
    <row r="847" spans="1:37" ht="46.5" customHeight="1" x14ac:dyDescent="0.7">
      <c r="A847" s="19"/>
      <c r="B847" s="19"/>
      <c r="C847" s="19"/>
      <c r="D847" s="31"/>
      <c r="E847" s="31"/>
      <c r="F847" s="31"/>
      <c r="G847" s="31"/>
      <c r="H847" s="31"/>
      <c r="I847" s="31"/>
      <c r="J847" s="31"/>
      <c r="K847" s="19"/>
      <c r="L847" s="19"/>
      <c r="M847" s="19"/>
      <c r="N847" s="31"/>
      <c r="O847" s="31"/>
      <c r="P847" s="31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</row>
    <row r="848" spans="1:37" ht="46.5" customHeight="1" x14ac:dyDescent="0.7">
      <c r="A848" s="19"/>
      <c r="B848" s="19"/>
      <c r="C848" s="19"/>
      <c r="D848" s="31"/>
      <c r="E848" s="31"/>
      <c r="F848" s="31"/>
      <c r="G848" s="31"/>
      <c r="H848" s="31"/>
      <c r="I848" s="31"/>
      <c r="J848" s="31"/>
      <c r="K848" s="19"/>
      <c r="L848" s="19"/>
      <c r="M848" s="19"/>
      <c r="N848" s="31"/>
      <c r="O848" s="31"/>
      <c r="P848" s="31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</row>
    <row r="849" spans="1:37" ht="46.5" customHeight="1" x14ac:dyDescent="0.7">
      <c r="A849" s="19"/>
      <c r="B849" s="19"/>
      <c r="C849" s="19"/>
      <c r="D849" s="31"/>
      <c r="E849" s="31"/>
      <c r="F849" s="31"/>
      <c r="G849" s="31"/>
      <c r="H849" s="31"/>
      <c r="I849" s="31"/>
      <c r="J849" s="31"/>
      <c r="K849" s="19"/>
      <c r="L849" s="19"/>
      <c r="M849" s="19"/>
      <c r="N849" s="31"/>
      <c r="O849" s="31"/>
      <c r="P849" s="31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</row>
    <row r="850" spans="1:37" ht="46.5" customHeight="1" x14ac:dyDescent="0.7">
      <c r="A850" s="19"/>
      <c r="B850" s="19"/>
      <c r="C850" s="19"/>
      <c r="D850" s="31"/>
      <c r="E850" s="31"/>
      <c r="F850" s="31"/>
      <c r="G850" s="31"/>
      <c r="H850" s="31"/>
      <c r="I850" s="31"/>
      <c r="J850" s="31"/>
      <c r="K850" s="19"/>
      <c r="L850" s="19"/>
      <c r="M850" s="19"/>
      <c r="N850" s="31"/>
      <c r="O850" s="31"/>
      <c r="P850" s="31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</row>
    <row r="851" spans="1:37" ht="46.5" customHeight="1" x14ac:dyDescent="0.7">
      <c r="A851" s="19"/>
      <c r="B851" s="19"/>
      <c r="C851" s="19"/>
      <c r="D851" s="31"/>
      <c r="E851" s="31"/>
      <c r="F851" s="31"/>
      <c r="G851" s="31"/>
      <c r="H851" s="31"/>
      <c r="I851" s="31"/>
      <c r="J851" s="31"/>
      <c r="K851" s="19"/>
      <c r="L851" s="19"/>
      <c r="M851" s="19"/>
      <c r="N851" s="31"/>
      <c r="O851" s="31"/>
      <c r="P851" s="31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</row>
    <row r="852" spans="1:37" ht="46.5" customHeight="1" x14ac:dyDescent="0.7">
      <c r="A852" s="19"/>
      <c r="B852" s="19"/>
      <c r="C852" s="19"/>
      <c r="D852" s="31"/>
      <c r="E852" s="31"/>
      <c r="F852" s="31"/>
      <c r="G852" s="31"/>
      <c r="H852" s="31"/>
      <c r="I852" s="31"/>
      <c r="J852" s="31"/>
      <c r="K852" s="19"/>
      <c r="L852" s="19"/>
      <c r="M852" s="19"/>
      <c r="N852" s="31"/>
      <c r="O852" s="31"/>
      <c r="P852" s="31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</row>
    <row r="853" spans="1:37" ht="46.5" customHeight="1" x14ac:dyDescent="0.7">
      <c r="A853" s="19"/>
      <c r="B853" s="19"/>
      <c r="C853" s="19"/>
      <c r="D853" s="31"/>
      <c r="E853" s="31"/>
      <c r="F853" s="31"/>
      <c r="G853" s="31"/>
      <c r="H853" s="31"/>
      <c r="I853" s="31"/>
      <c r="J853" s="31"/>
      <c r="K853" s="19"/>
      <c r="L853" s="19"/>
      <c r="M853" s="19"/>
      <c r="N853" s="31"/>
      <c r="O853" s="31"/>
      <c r="P853" s="31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</row>
    <row r="854" spans="1:37" ht="46.5" customHeight="1" x14ac:dyDescent="0.7">
      <c r="A854" s="19"/>
      <c r="B854" s="19"/>
      <c r="C854" s="19"/>
      <c r="D854" s="31"/>
      <c r="E854" s="31"/>
      <c r="F854" s="31"/>
      <c r="G854" s="31"/>
      <c r="H854" s="31"/>
      <c r="I854" s="31"/>
      <c r="J854" s="31"/>
      <c r="K854" s="19"/>
      <c r="L854" s="19"/>
      <c r="M854" s="19"/>
      <c r="N854" s="31"/>
      <c r="O854" s="31"/>
      <c r="P854" s="31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</row>
    <row r="855" spans="1:37" ht="46.5" customHeight="1" x14ac:dyDescent="0.7">
      <c r="A855" s="19"/>
      <c r="B855" s="19"/>
      <c r="C855" s="19"/>
      <c r="D855" s="31"/>
      <c r="E855" s="31"/>
      <c r="F855" s="31"/>
      <c r="G855" s="31"/>
      <c r="H855" s="31"/>
      <c r="I855" s="31"/>
      <c r="J855" s="31"/>
      <c r="K855" s="19"/>
      <c r="L855" s="19"/>
      <c r="M855" s="19"/>
      <c r="N855" s="31"/>
      <c r="O855" s="31"/>
      <c r="P855" s="31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</row>
    <row r="856" spans="1:37" ht="46.5" customHeight="1" x14ac:dyDescent="0.7">
      <c r="A856" s="19"/>
      <c r="B856" s="19"/>
      <c r="C856" s="19"/>
      <c r="D856" s="31"/>
      <c r="E856" s="31"/>
      <c r="F856" s="31"/>
      <c r="G856" s="31"/>
      <c r="H856" s="31"/>
      <c r="I856" s="31"/>
      <c r="J856" s="31"/>
      <c r="K856" s="19"/>
      <c r="L856" s="19"/>
      <c r="M856" s="19"/>
      <c r="N856" s="31"/>
      <c r="O856" s="31"/>
      <c r="P856" s="31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</row>
    <row r="857" spans="1:37" ht="46.5" customHeight="1" x14ac:dyDescent="0.7">
      <c r="A857" s="19"/>
      <c r="B857" s="19"/>
      <c r="C857" s="19"/>
      <c r="D857" s="31"/>
      <c r="E857" s="31"/>
      <c r="F857" s="31"/>
      <c r="G857" s="31"/>
      <c r="H857" s="31"/>
      <c r="I857" s="31"/>
      <c r="J857" s="31"/>
      <c r="K857" s="19"/>
      <c r="L857" s="19"/>
      <c r="M857" s="19"/>
      <c r="N857" s="31"/>
      <c r="O857" s="31"/>
      <c r="P857" s="31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</row>
    <row r="858" spans="1:37" ht="46.5" customHeight="1" x14ac:dyDescent="0.7">
      <c r="A858" s="19"/>
      <c r="B858" s="19"/>
      <c r="C858" s="19"/>
      <c r="D858" s="31"/>
      <c r="E858" s="31"/>
      <c r="F858" s="31"/>
      <c r="G858" s="31"/>
      <c r="H858" s="31"/>
      <c r="I858" s="31"/>
      <c r="J858" s="31"/>
      <c r="K858" s="19"/>
      <c r="L858" s="19"/>
      <c r="M858" s="19"/>
      <c r="N858" s="31"/>
      <c r="O858" s="31"/>
      <c r="P858" s="31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</row>
    <row r="859" spans="1:37" ht="46.5" customHeight="1" x14ac:dyDescent="0.7">
      <c r="A859" s="19"/>
      <c r="B859" s="19"/>
      <c r="C859" s="19"/>
      <c r="D859" s="31"/>
      <c r="E859" s="31"/>
      <c r="F859" s="31"/>
      <c r="G859" s="31"/>
      <c r="H859" s="31"/>
      <c r="I859" s="31"/>
      <c r="J859" s="31"/>
      <c r="K859" s="19"/>
      <c r="L859" s="19"/>
      <c r="M859" s="19"/>
      <c r="N859" s="31"/>
      <c r="O859" s="31"/>
      <c r="P859" s="31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</row>
    <row r="860" spans="1:37" ht="46.5" customHeight="1" x14ac:dyDescent="0.7">
      <c r="A860" s="19"/>
      <c r="B860" s="19"/>
      <c r="C860" s="19"/>
      <c r="D860" s="31"/>
      <c r="E860" s="31"/>
      <c r="F860" s="31"/>
      <c r="G860" s="31"/>
      <c r="H860" s="31"/>
      <c r="I860" s="31"/>
      <c r="J860" s="31"/>
      <c r="K860" s="19"/>
      <c r="L860" s="19"/>
      <c r="M860" s="19"/>
      <c r="N860" s="31"/>
      <c r="O860" s="31"/>
      <c r="P860" s="31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</row>
    <row r="861" spans="1:37" ht="46.5" customHeight="1" x14ac:dyDescent="0.7">
      <c r="A861" s="19"/>
      <c r="B861" s="19"/>
      <c r="C861" s="19"/>
      <c r="D861" s="31"/>
      <c r="E861" s="31"/>
      <c r="F861" s="31"/>
      <c r="G861" s="31"/>
      <c r="H861" s="31"/>
      <c r="I861" s="31"/>
      <c r="J861" s="31"/>
      <c r="K861" s="19"/>
      <c r="L861" s="19"/>
      <c r="M861" s="19"/>
      <c r="N861" s="31"/>
      <c r="O861" s="31"/>
      <c r="P861" s="31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</row>
    <row r="862" spans="1:37" ht="46.5" customHeight="1" x14ac:dyDescent="0.7">
      <c r="A862" s="19"/>
      <c r="B862" s="19"/>
      <c r="C862" s="19"/>
      <c r="D862" s="31"/>
      <c r="E862" s="31"/>
      <c r="F862" s="31"/>
      <c r="G862" s="31"/>
      <c r="H862" s="31"/>
      <c r="I862" s="31"/>
      <c r="J862" s="31"/>
      <c r="K862" s="19"/>
      <c r="L862" s="19"/>
      <c r="M862" s="19"/>
      <c r="N862" s="31"/>
      <c r="O862" s="31"/>
      <c r="P862" s="31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</row>
    <row r="863" spans="1:37" ht="46.5" customHeight="1" x14ac:dyDescent="0.7">
      <c r="A863" s="19"/>
      <c r="B863" s="19"/>
      <c r="C863" s="19"/>
      <c r="D863" s="31"/>
      <c r="E863" s="31"/>
      <c r="F863" s="31"/>
      <c r="G863" s="31"/>
      <c r="H863" s="31"/>
      <c r="I863" s="31"/>
      <c r="J863" s="31"/>
      <c r="K863" s="19"/>
      <c r="L863" s="19"/>
      <c r="M863" s="19"/>
      <c r="N863" s="31"/>
      <c r="O863" s="31"/>
      <c r="P863" s="31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</row>
    <row r="864" spans="1:37" ht="46.5" customHeight="1" x14ac:dyDescent="0.7">
      <c r="A864" s="19"/>
      <c r="B864" s="19"/>
      <c r="C864" s="19"/>
      <c r="D864" s="31"/>
      <c r="E864" s="31"/>
      <c r="F864" s="31"/>
      <c r="G864" s="31"/>
      <c r="H864" s="31"/>
      <c r="I864" s="31"/>
      <c r="J864" s="31"/>
      <c r="K864" s="19"/>
      <c r="L864" s="19"/>
      <c r="M864" s="19"/>
      <c r="N864" s="31"/>
      <c r="O864" s="31"/>
      <c r="P864" s="31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</row>
    <row r="865" spans="1:37" ht="46.5" customHeight="1" x14ac:dyDescent="0.7">
      <c r="A865" s="19"/>
      <c r="B865" s="19"/>
      <c r="C865" s="19"/>
      <c r="D865" s="31"/>
      <c r="E865" s="31"/>
      <c r="F865" s="31"/>
      <c r="G865" s="31"/>
      <c r="H865" s="31"/>
      <c r="I865" s="31"/>
      <c r="J865" s="31"/>
      <c r="K865" s="19"/>
      <c r="L865" s="19"/>
      <c r="M865" s="19"/>
      <c r="N865" s="31"/>
      <c r="O865" s="31"/>
      <c r="P865" s="31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</row>
    <row r="866" spans="1:37" ht="46.5" customHeight="1" x14ac:dyDescent="0.7">
      <c r="A866" s="19"/>
      <c r="B866" s="19"/>
      <c r="C866" s="19"/>
      <c r="D866" s="31"/>
      <c r="E866" s="31"/>
      <c r="F866" s="31"/>
      <c r="G866" s="31"/>
      <c r="H866" s="31"/>
      <c r="I866" s="31"/>
      <c r="J866" s="31"/>
      <c r="K866" s="19"/>
      <c r="L866" s="19"/>
      <c r="M866" s="19"/>
      <c r="N866" s="31"/>
      <c r="O866" s="31"/>
      <c r="P866" s="31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</row>
    <row r="867" spans="1:37" ht="46.5" customHeight="1" x14ac:dyDescent="0.7">
      <c r="A867" s="19"/>
      <c r="B867" s="19"/>
      <c r="C867" s="19"/>
      <c r="D867" s="31"/>
      <c r="E867" s="31"/>
      <c r="F867" s="31"/>
      <c r="G867" s="31"/>
      <c r="H867" s="31"/>
      <c r="I867" s="31"/>
      <c r="J867" s="31"/>
      <c r="K867" s="19"/>
      <c r="L867" s="19"/>
      <c r="M867" s="19"/>
      <c r="N867" s="31"/>
      <c r="O867" s="31"/>
      <c r="P867" s="31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</row>
    <row r="868" spans="1:37" ht="46.5" customHeight="1" x14ac:dyDescent="0.7">
      <c r="A868" s="19"/>
      <c r="B868" s="19"/>
      <c r="C868" s="19"/>
      <c r="D868" s="31"/>
      <c r="E868" s="31"/>
      <c r="F868" s="31"/>
      <c r="G868" s="31"/>
      <c r="H868" s="31"/>
      <c r="I868" s="31"/>
      <c r="J868" s="31"/>
      <c r="K868" s="19"/>
      <c r="L868" s="19"/>
      <c r="M868" s="19"/>
      <c r="N868" s="31"/>
      <c r="O868" s="31"/>
      <c r="P868" s="31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</row>
    <row r="869" spans="1:37" ht="46.5" customHeight="1" x14ac:dyDescent="0.7">
      <c r="A869" s="19"/>
      <c r="B869" s="19"/>
      <c r="C869" s="19"/>
      <c r="D869" s="31"/>
      <c r="E869" s="31"/>
      <c r="F869" s="31"/>
      <c r="G869" s="31"/>
      <c r="H869" s="31"/>
      <c r="I869" s="31"/>
      <c r="J869" s="31"/>
      <c r="K869" s="19"/>
      <c r="L869" s="19"/>
      <c r="M869" s="19"/>
      <c r="N869" s="31"/>
      <c r="O869" s="31"/>
      <c r="P869" s="31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</row>
    <row r="870" spans="1:37" ht="46.5" customHeight="1" x14ac:dyDescent="0.7">
      <c r="A870" s="19"/>
      <c r="B870" s="19"/>
      <c r="C870" s="19"/>
      <c r="D870" s="31"/>
      <c r="E870" s="31"/>
      <c r="F870" s="31"/>
      <c r="G870" s="31"/>
      <c r="H870" s="31"/>
      <c r="I870" s="31"/>
      <c r="J870" s="31"/>
      <c r="K870" s="19"/>
      <c r="L870" s="19"/>
      <c r="M870" s="19"/>
      <c r="N870" s="31"/>
      <c r="O870" s="31"/>
      <c r="P870" s="31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</row>
    <row r="871" spans="1:37" ht="46.5" customHeight="1" x14ac:dyDescent="0.7">
      <c r="A871" s="19"/>
      <c r="B871" s="19"/>
      <c r="C871" s="19"/>
      <c r="D871" s="31"/>
      <c r="E871" s="31"/>
      <c r="F871" s="31"/>
      <c r="G871" s="31"/>
      <c r="H871" s="31"/>
      <c r="I871" s="31"/>
      <c r="J871" s="31"/>
      <c r="K871" s="19"/>
      <c r="L871" s="19"/>
      <c r="M871" s="19"/>
      <c r="N871" s="31"/>
      <c r="O871" s="31"/>
      <c r="P871" s="31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</row>
    <row r="872" spans="1:37" ht="46.5" customHeight="1" x14ac:dyDescent="0.7">
      <c r="A872" s="19"/>
      <c r="B872" s="19"/>
      <c r="C872" s="19"/>
      <c r="D872" s="31"/>
      <c r="E872" s="31"/>
      <c r="F872" s="31"/>
      <c r="G872" s="31"/>
      <c r="H872" s="31"/>
      <c r="I872" s="31"/>
      <c r="J872" s="31"/>
      <c r="K872" s="19"/>
      <c r="L872" s="19"/>
      <c r="M872" s="19"/>
      <c r="N872" s="31"/>
      <c r="O872" s="31"/>
      <c r="P872" s="31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</row>
    <row r="873" spans="1:37" ht="46.5" customHeight="1" x14ac:dyDescent="0.7">
      <c r="A873" s="19"/>
      <c r="B873" s="19"/>
      <c r="C873" s="19"/>
      <c r="D873" s="31"/>
      <c r="E873" s="31"/>
      <c r="F873" s="31"/>
      <c r="G873" s="31"/>
      <c r="H873" s="31"/>
      <c r="I873" s="31"/>
      <c r="J873" s="31"/>
      <c r="K873" s="19"/>
      <c r="L873" s="19"/>
      <c r="M873" s="19"/>
      <c r="N873" s="31"/>
      <c r="O873" s="31"/>
      <c r="P873" s="31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</row>
    <row r="874" spans="1:37" ht="46.5" customHeight="1" x14ac:dyDescent="0.7">
      <c r="A874" s="19"/>
      <c r="B874" s="19"/>
      <c r="C874" s="19"/>
      <c r="D874" s="31"/>
      <c r="E874" s="31"/>
      <c r="F874" s="31"/>
      <c r="G874" s="31"/>
      <c r="H874" s="31"/>
      <c r="I874" s="31"/>
      <c r="J874" s="31"/>
      <c r="K874" s="19"/>
      <c r="L874" s="19"/>
      <c r="M874" s="19"/>
      <c r="N874" s="31"/>
      <c r="O874" s="31"/>
      <c r="P874" s="31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</row>
    <row r="875" spans="1:37" ht="46.5" customHeight="1" x14ac:dyDescent="0.7">
      <c r="A875" s="19"/>
      <c r="B875" s="19"/>
      <c r="C875" s="19"/>
      <c r="D875" s="31"/>
      <c r="E875" s="31"/>
      <c r="F875" s="31"/>
      <c r="G875" s="31"/>
      <c r="H875" s="31"/>
      <c r="I875" s="31"/>
      <c r="J875" s="31"/>
      <c r="K875" s="19"/>
      <c r="L875" s="19"/>
      <c r="M875" s="19"/>
      <c r="N875" s="31"/>
      <c r="O875" s="31"/>
      <c r="P875" s="31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</row>
    <row r="876" spans="1:37" ht="46.5" customHeight="1" x14ac:dyDescent="0.7">
      <c r="A876" s="19"/>
      <c r="B876" s="19"/>
      <c r="C876" s="19"/>
      <c r="D876" s="31"/>
      <c r="E876" s="31"/>
      <c r="F876" s="31"/>
      <c r="G876" s="31"/>
      <c r="H876" s="31"/>
      <c r="I876" s="31"/>
      <c r="J876" s="31"/>
      <c r="K876" s="19"/>
      <c r="L876" s="19"/>
      <c r="M876" s="19"/>
      <c r="N876" s="31"/>
      <c r="O876" s="31"/>
      <c r="P876" s="31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</row>
    <row r="877" spans="1:37" ht="46.5" customHeight="1" x14ac:dyDescent="0.7">
      <c r="A877" s="19"/>
      <c r="B877" s="19"/>
      <c r="C877" s="19"/>
      <c r="D877" s="31"/>
      <c r="E877" s="31"/>
      <c r="F877" s="31"/>
      <c r="G877" s="31"/>
      <c r="H877" s="31"/>
      <c r="I877" s="31"/>
      <c r="J877" s="31"/>
      <c r="K877" s="19"/>
      <c r="L877" s="19"/>
      <c r="M877" s="19"/>
      <c r="N877" s="31"/>
      <c r="O877" s="31"/>
      <c r="P877" s="31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</row>
    <row r="878" spans="1:37" ht="46.5" customHeight="1" x14ac:dyDescent="0.7">
      <c r="A878" s="19"/>
      <c r="B878" s="19"/>
      <c r="C878" s="19"/>
      <c r="D878" s="31"/>
      <c r="E878" s="31"/>
      <c r="F878" s="31"/>
      <c r="G878" s="31"/>
      <c r="H878" s="31"/>
      <c r="I878" s="31"/>
      <c r="J878" s="31"/>
      <c r="K878" s="19"/>
      <c r="L878" s="19"/>
      <c r="M878" s="19"/>
      <c r="N878" s="31"/>
      <c r="O878" s="31"/>
      <c r="P878" s="31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</row>
    <row r="879" spans="1:37" ht="46.5" customHeight="1" x14ac:dyDescent="0.7">
      <c r="A879" s="19"/>
      <c r="B879" s="19"/>
      <c r="C879" s="19"/>
      <c r="D879" s="31"/>
      <c r="E879" s="31"/>
      <c r="F879" s="31"/>
      <c r="G879" s="31"/>
      <c r="H879" s="31"/>
      <c r="I879" s="31"/>
      <c r="J879" s="31"/>
      <c r="K879" s="19"/>
      <c r="L879" s="19"/>
      <c r="M879" s="19"/>
      <c r="N879" s="31"/>
      <c r="O879" s="31"/>
      <c r="P879" s="31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</row>
    <row r="880" spans="1:37" ht="46.5" customHeight="1" x14ac:dyDescent="0.7">
      <c r="A880" s="19"/>
      <c r="B880" s="19"/>
      <c r="C880" s="19"/>
      <c r="D880" s="31"/>
      <c r="E880" s="31"/>
      <c r="F880" s="31"/>
      <c r="G880" s="31"/>
      <c r="H880" s="31"/>
      <c r="I880" s="31"/>
      <c r="J880" s="31"/>
      <c r="K880" s="19"/>
      <c r="L880" s="19"/>
      <c r="M880" s="19"/>
      <c r="N880" s="31"/>
      <c r="O880" s="31"/>
      <c r="P880" s="31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</row>
    <row r="881" spans="1:37" ht="46.5" customHeight="1" x14ac:dyDescent="0.7">
      <c r="A881" s="19"/>
      <c r="B881" s="19"/>
      <c r="C881" s="19"/>
      <c r="D881" s="31"/>
      <c r="E881" s="31"/>
      <c r="F881" s="31"/>
      <c r="G881" s="31"/>
      <c r="H881" s="31"/>
      <c r="I881" s="31"/>
      <c r="J881" s="31"/>
      <c r="K881" s="19"/>
      <c r="L881" s="19"/>
      <c r="M881" s="19"/>
      <c r="N881" s="31"/>
      <c r="O881" s="31"/>
      <c r="P881" s="31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</row>
    <row r="882" spans="1:37" ht="46.5" customHeight="1" x14ac:dyDescent="0.7">
      <c r="A882" s="19"/>
      <c r="B882" s="19"/>
      <c r="C882" s="19"/>
      <c r="D882" s="31"/>
      <c r="E882" s="31"/>
      <c r="F882" s="31"/>
      <c r="G882" s="31"/>
      <c r="H882" s="31"/>
      <c r="I882" s="31"/>
      <c r="J882" s="31"/>
      <c r="K882" s="19"/>
      <c r="L882" s="19"/>
      <c r="M882" s="19"/>
      <c r="N882" s="31"/>
      <c r="O882" s="31"/>
      <c r="P882" s="31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</row>
    <row r="883" spans="1:37" ht="46.5" customHeight="1" x14ac:dyDescent="0.7">
      <c r="A883" s="19"/>
      <c r="B883" s="19"/>
      <c r="C883" s="19"/>
      <c r="D883" s="31"/>
      <c r="E883" s="31"/>
      <c r="F883" s="31"/>
      <c r="G883" s="31"/>
      <c r="H883" s="31"/>
      <c r="I883" s="31"/>
      <c r="J883" s="31"/>
      <c r="K883" s="19"/>
      <c r="L883" s="19"/>
      <c r="M883" s="19"/>
      <c r="N883" s="31"/>
      <c r="O883" s="31"/>
      <c r="P883" s="31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</row>
    <row r="884" spans="1:37" ht="46.5" customHeight="1" x14ac:dyDescent="0.7">
      <c r="A884" s="19"/>
      <c r="B884" s="19"/>
      <c r="C884" s="19"/>
      <c r="D884" s="31"/>
      <c r="E884" s="31"/>
      <c r="F884" s="31"/>
      <c r="G884" s="31"/>
      <c r="H884" s="31"/>
      <c r="I884" s="31"/>
      <c r="J884" s="31"/>
      <c r="K884" s="19"/>
      <c r="L884" s="19"/>
      <c r="M884" s="19"/>
      <c r="N884" s="31"/>
      <c r="O884" s="31"/>
      <c r="P884" s="31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</row>
    <row r="885" spans="1:37" ht="46.5" customHeight="1" x14ac:dyDescent="0.7">
      <c r="A885" s="19"/>
      <c r="B885" s="19"/>
      <c r="C885" s="19"/>
      <c r="D885" s="31"/>
      <c r="E885" s="31"/>
      <c r="F885" s="31"/>
      <c r="G885" s="31"/>
      <c r="H885" s="31"/>
      <c r="I885" s="31"/>
      <c r="J885" s="31"/>
      <c r="K885" s="19"/>
      <c r="L885" s="19"/>
      <c r="M885" s="19"/>
      <c r="N885" s="31"/>
      <c r="O885" s="31"/>
      <c r="P885" s="31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</row>
    <row r="886" spans="1:37" ht="46.5" customHeight="1" x14ac:dyDescent="0.7">
      <c r="A886" s="19"/>
      <c r="B886" s="19"/>
      <c r="C886" s="19"/>
      <c r="D886" s="31"/>
      <c r="E886" s="31"/>
      <c r="F886" s="31"/>
      <c r="G886" s="31"/>
      <c r="H886" s="31"/>
      <c r="I886" s="31"/>
      <c r="J886" s="31"/>
      <c r="K886" s="19"/>
      <c r="L886" s="19"/>
      <c r="M886" s="19"/>
      <c r="N886" s="31"/>
      <c r="O886" s="31"/>
      <c r="P886" s="31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</row>
    <row r="887" spans="1:37" ht="46.5" customHeight="1" x14ac:dyDescent="0.7">
      <c r="A887" s="19"/>
      <c r="B887" s="19"/>
      <c r="C887" s="19"/>
      <c r="D887" s="31"/>
      <c r="E887" s="31"/>
      <c r="F887" s="31"/>
      <c r="G887" s="31"/>
      <c r="H887" s="31"/>
      <c r="I887" s="31"/>
      <c r="J887" s="31"/>
      <c r="K887" s="19"/>
      <c r="L887" s="19"/>
      <c r="M887" s="19"/>
      <c r="N887" s="31"/>
      <c r="O887" s="31"/>
      <c r="P887" s="31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</row>
    <row r="888" spans="1:37" ht="46.5" customHeight="1" x14ac:dyDescent="0.7">
      <c r="A888" s="19"/>
      <c r="B888" s="19"/>
      <c r="C888" s="19"/>
      <c r="D888" s="31"/>
      <c r="E888" s="31"/>
      <c r="F888" s="31"/>
      <c r="G888" s="31"/>
      <c r="H888" s="31"/>
      <c r="I888" s="31"/>
      <c r="J888" s="31"/>
      <c r="K888" s="19"/>
      <c r="L888" s="19"/>
      <c r="M888" s="19"/>
      <c r="N888" s="31"/>
      <c r="O888" s="31"/>
      <c r="P888" s="31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</row>
    <row r="889" spans="1:37" ht="46.5" customHeight="1" x14ac:dyDescent="0.7">
      <c r="A889" s="19"/>
      <c r="B889" s="19"/>
      <c r="C889" s="19"/>
      <c r="D889" s="31"/>
      <c r="E889" s="31"/>
      <c r="F889" s="31"/>
      <c r="G889" s="31"/>
      <c r="H889" s="31"/>
      <c r="I889" s="31"/>
      <c r="J889" s="31"/>
      <c r="K889" s="19"/>
      <c r="L889" s="19"/>
      <c r="M889" s="19"/>
      <c r="N889" s="31"/>
      <c r="O889" s="31"/>
      <c r="P889" s="31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</row>
    <row r="890" spans="1:37" ht="46.5" customHeight="1" x14ac:dyDescent="0.7">
      <c r="A890" s="19"/>
      <c r="B890" s="19"/>
      <c r="C890" s="19"/>
      <c r="D890" s="31"/>
      <c r="E890" s="31"/>
      <c r="F890" s="31"/>
      <c r="G890" s="31"/>
      <c r="H890" s="31"/>
      <c r="I890" s="31"/>
      <c r="J890" s="31"/>
      <c r="K890" s="19"/>
      <c r="L890" s="19"/>
      <c r="M890" s="19"/>
      <c r="N890" s="31"/>
      <c r="O890" s="31"/>
      <c r="P890" s="31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</row>
    <row r="891" spans="1:37" ht="46.5" customHeight="1" x14ac:dyDescent="0.7">
      <c r="A891" s="19"/>
      <c r="B891" s="19"/>
      <c r="C891" s="19"/>
      <c r="D891" s="31"/>
      <c r="E891" s="31"/>
      <c r="F891" s="31"/>
      <c r="G891" s="31"/>
      <c r="H891" s="31"/>
      <c r="I891" s="31"/>
      <c r="J891" s="31"/>
      <c r="K891" s="19"/>
      <c r="L891" s="19"/>
      <c r="M891" s="19"/>
      <c r="N891" s="31"/>
      <c r="O891" s="31"/>
      <c r="P891" s="31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</row>
    <row r="892" spans="1:37" ht="46.5" customHeight="1" x14ac:dyDescent="0.7">
      <c r="A892" s="19"/>
      <c r="B892" s="19"/>
      <c r="C892" s="19"/>
      <c r="D892" s="31"/>
      <c r="E892" s="31"/>
      <c r="F892" s="31"/>
      <c r="G892" s="31"/>
      <c r="H892" s="31"/>
      <c r="I892" s="31"/>
      <c r="J892" s="31"/>
      <c r="K892" s="19"/>
      <c r="L892" s="19"/>
      <c r="M892" s="19"/>
      <c r="N892" s="31"/>
      <c r="O892" s="31"/>
      <c r="P892" s="31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</row>
    <row r="893" spans="1:37" ht="46.5" customHeight="1" x14ac:dyDescent="0.7">
      <c r="A893" s="19"/>
      <c r="B893" s="19"/>
      <c r="C893" s="19"/>
      <c r="D893" s="31"/>
      <c r="E893" s="31"/>
      <c r="F893" s="31"/>
      <c r="G893" s="31"/>
      <c r="H893" s="31"/>
      <c r="I893" s="31"/>
      <c r="J893" s="31"/>
      <c r="K893" s="19"/>
      <c r="L893" s="19"/>
      <c r="M893" s="19"/>
      <c r="N893" s="31"/>
      <c r="O893" s="31"/>
      <c r="P893" s="31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</row>
    <row r="894" spans="1:37" ht="46.5" customHeight="1" x14ac:dyDescent="0.7">
      <c r="A894" s="19"/>
      <c r="B894" s="19"/>
      <c r="C894" s="19"/>
      <c r="D894" s="31"/>
      <c r="E894" s="31"/>
      <c r="F894" s="31"/>
      <c r="G894" s="31"/>
      <c r="H894" s="31"/>
      <c r="I894" s="31"/>
      <c r="J894" s="31"/>
      <c r="K894" s="19"/>
      <c r="L894" s="19"/>
      <c r="M894" s="19"/>
      <c r="N894" s="31"/>
      <c r="O894" s="31"/>
      <c r="P894" s="31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</row>
    <row r="895" spans="1:37" ht="46.5" customHeight="1" x14ac:dyDescent="0.7">
      <c r="A895" s="19"/>
      <c r="B895" s="19"/>
      <c r="C895" s="19"/>
      <c r="D895" s="31"/>
      <c r="E895" s="31"/>
      <c r="F895" s="31"/>
      <c r="G895" s="31"/>
      <c r="H895" s="31"/>
      <c r="I895" s="31"/>
      <c r="J895" s="31"/>
      <c r="K895" s="19"/>
      <c r="L895" s="19"/>
      <c r="M895" s="19"/>
      <c r="N895" s="31"/>
      <c r="O895" s="31"/>
      <c r="P895" s="31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</row>
    <row r="896" spans="1:37" ht="46.5" customHeight="1" x14ac:dyDescent="0.7">
      <c r="A896" s="19"/>
      <c r="B896" s="19"/>
      <c r="C896" s="19"/>
      <c r="D896" s="31"/>
      <c r="E896" s="31"/>
      <c r="F896" s="31"/>
      <c r="G896" s="31"/>
      <c r="H896" s="31"/>
      <c r="I896" s="31"/>
      <c r="J896" s="31"/>
      <c r="K896" s="19"/>
      <c r="L896" s="19"/>
      <c r="M896" s="19"/>
      <c r="N896" s="31"/>
      <c r="O896" s="31"/>
      <c r="P896" s="31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</row>
    <row r="897" spans="1:37" ht="46.5" customHeight="1" x14ac:dyDescent="0.7">
      <c r="A897" s="19"/>
      <c r="B897" s="19"/>
      <c r="C897" s="19"/>
      <c r="D897" s="31"/>
      <c r="E897" s="31"/>
      <c r="F897" s="31"/>
      <c r="G897" s="31"/>
      <c r="H897" s="31"/>
      <c r="I897" s="31"/>
      <c r="J897" s="31"/>
      <c r="K897" s="19"/>
      <c r="L897" s="19"/>
      <c r="M897" s="19"/>
      <c r="N897" s="31"/>
      <c r="O897" s="31"/>
      <c r="P897" s="31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</row>
    <row r="898" spans="1:37" ht="46.5" customHeight="1" x14ac:dyDescent="0.7">
      <c r="A898" s="19"/>
      <c r="B898" s="19"/>
      <c r="C898" s="19"/>
      <c r="D898" s="31"/>
      <c r="E898" s="31"/>
      <c r="F898" s="31"/>
      <c r="G898" s="31"/>
      <c r="H898" s="31"/>
      <c r="I898" s="31"/>
      <c r="J898" s="31"/>
      <c r="K898" s="19"/>
      <c r="L898" s="19"/>
      <c r="M898" s="19"/>
      <c r="N898" s="31"/>
      <c r="O898" s="31"/>
      <c r="P898" s="31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</row>
    <row r="899" spans="1:37" ht="46.5" customHeight="1" x14ac:dyDescent="0.7">
      <c r="A899" s="19"/>
      <c r="B899" s="19"/>
      <c r="C899" s="19"/>
      <c r="D899" s="31"/>
      <c r="E899" s="31"/>
      <c r="F899" s="31"/>
      <c r="G899" s="31"/>
      <c r="H899" s="31"/>
      <c r="I899" s="31"/>
      <c r="J899" s="31"/>
      <c r="K899" s="19"/>
      <c r="L899" s="19"/>
      <c r="M899" s="19"/>
      <c r="N899" s="31"/>
      <c r="O899" s="31"/>
      <c r="P899" s="31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</row>
    <row r="900" spans="1:37" ht="46.5" customHeight="1" x14ac:dyDescent="0.7">
      <c r="A900" s="19"/>
      <c r="B900" s="19"/>
      <c r="C900" s="19"/>
      <c r="D900" s="31"/>
      <c r="E900" s="31"/>
      <c r="F900" s="31"/>
      <c r="G900" s="31"/>
      <c r="H900" s="31"/>
      <c r="I900" s="31"/>
      <c r="J900" s="31"/>
      <c r="K900" s="19"/>
      <c r="L900" s="19"/>
      <c r="M900" s="19"/>
      <c r="N900" s="31"/>
      <c r="O900" s="31"/>
      <c r="P900" s="31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</row>
    <row r="901" spans="1:37" ht="46.5" customHeight="1" x14ac:dyDescent="0.7">
      <c r="A901" s="19"/>
      <c r="B901" s="19"/>
      <c r="C901" s="19"/>
      <c r="D901" s="31"/>
      <c r="E901" s="31"/>
      <c r="F901" s="31"/>
      <c r="G901" s="31"/>
      <c r="H901" s="31"/>
      <c r="I901" s="31"/>
      <c r="J901" s="31"/>
      <c r="K901" s="19"/>
      <c r="L901" s="19"/>
      <c r="M901" s="19"/>
      <c r="N901" s="31"/>
      <c r="O901" s="31"/>
      <c r="P901" s="31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</row>
    <row r="902" spans="1:37" ht="46.5" customHeight="1" x14ac:dyDescent="0.7">
      <c r="A902" s="19"/>
      <c r="B902" s="19"/>
      <c r="C902" s="19"/>
      <c r="D902" s="31"/>
      <c r="E902" s="31"/>
      <c r="F902" s="31"/>
      <c r="G902" s="31"/>
      <c r="H902" s="31"/>
      <c r="I902" s="31"/>
      <c r="J902" s="31"/>
      <c r="K902" s="19"/>
      <c r="L902" s="19"/>
      <c r="M902" s="19"/>
      <c r="N902" s="31"/>
      <c r="O902" s="31"/>
      <c r="P902" s="31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</row>
    <row r="903" spans="1:37" ht="46.5" customHeight="1" x14ac:dyDescent="0.7">
      <c r="A903" s="19"/>
      <c r="B903" s="19"/>
      <c r="C903" s="19"/>
      <c r="D903" s="31"/>
      <c r="E903" s="31"/>
      <c r="F903" s="31"/>
      <c r="G903" s="31"/>
      <c r="H903" s="31"/>
      <c r="I903" s="31"/>
      <c r="J903" s="31"/>
      <c r="K903" s="19"/>
      <c r="L903" s="19"/>
      <c r="M903" s="19"/>
      <c r="N903" s="31"/>
      <c r="O903" s="31"/>
      <c r="P903" s="31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</row>
    <row r="904" spans="1:37" ht="46.5" customHeight="1" x14ac:dyDescent="0.7">
      <c r="A904" s="19"/>
      <c r="B904" s="19"/>
      <c r="C904" s="19"/>
      <c r="D904" s="31"/>
      <c r="E904" s="31"/>
      <c r="F904" s="31"/>
      <c r="G904" s="31"/>
      <c r="H904" s="31"/>
      <c r="I904" s="31"/>
      <c r="J904" s="31"/>
      <c r="K904" s="19"/>
      <c r="L904" s="19"/>
      <c r="M904" s="19"/>
      <c r="N904" s="31"/>
      <c r="O904" s="31"/>
      <c r="P904" s="31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</row>
    <row r="905" spans="1:37" ht="46.5" customHeight="1" x14ac:dyDescent="0.7">
      <c r="A905" s="19"/>
      <c r="B905" s="19"/>
      <c r="C905" s="19"/>
      <c r="D905" s="31"/>
      <c r="E905" s="31"/>
      <c r="F905" s="31"/>
      <c r="G905" s="31"/>
      <c r="H905" s="31"/>
      <c r="I905" s="31"/>
      <c r="J905" s="31"/>
      <c r="K905" s="19"/>
      <c r="L905" s="19"/>
      <c r="M905" s="19"/>
      <c r="N905" s="31"/>
      <c r="O905" s="31"/>
      <c r="P905" s="31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</row>
    <row r="906" spans="1:37" ht="46.5" customHeight="1" x14ac:dyDescent="0.7">
      <c r="A906" s="19"/>
      <c r="B906" s="19"/>
      <c r="C906" s="19"/>
      <c r="D906" s="31"/>
      <c r="E906" s="31"/>
      <c r="F906" s="31"/>
      <c r="G906" s="31"/>
      <c r="H906" s="31"/>
      <c r="I906" s="31"/>
      <c r="J906" s="31"/>
      <c r="K906" s="19"/>
      <c r="L906" s="19"/>
      <c r="M906" s="19"/>
      <c r="N906" s="31"/>
      <c r="O906" s="31"/>
      <c r="P906" s="31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</row>
    <row r="907" spans="1:37" ht="46.5" customHeight="1" x14ac:dyDescent="0.7">
      <c r="A907" s="19"/>
      <c r="B907" s="19"/>
      <c r="C907" s="19"/>
      <c r="D907" s="31"/>
      <c r="E907" s="31"/>
      <c r="F907" s="31"/>
      <c r="G907" s="31"/>
      <c r="H907" s="31"/>
      <c r="I907" s="31"/>
      <c r="J907" s="31"/>
      <c r="K907" s="19"/>
      <c r="L907" s="19"/>
      <c r="M907" s="19"/>
      <c r="N907" s="31"/>
      <c r="O907" s="31"/>
      <c r="P907" s="31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</row>
    <row r="908" spans="1:37" ht="46.5" customHeight="1" x14ac:dyDescent="0.7">
      <c r="A908" s="19"/>
      <c r="B908" s="19"/>
      <c r="C908" s="19"/>
      <c r="D908" s="31"/>
      <c r="E908" s="31"/>
      <c r="F908" s="31"/>
      <c r="G908" s="31"/>
      <c r="H908" s="31"/>
      <c r="I908" s="31"/>
      <c r="J908" s="31"/>
      <c r="K908" s="19"/>
      <c r="L908" s="19"/>
      <c r="M908" s="19"/>
      <c r="N908" s="31"/>
      <c r="O908" s="31"/>
      <c r="P908" s="31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</row>
    <row r="909" spans="1:37" ht="46.5" customHeight="1" x14ac:dyDescent="0.7">
      <c r="A909" s="19"/>
      <c r="B909" s="19"/>
      <c r="C909" s="19"/>
      <c r="D909" s="31"/>
      <c r="E909" s="31"/>
      <c r="F909" s="31"/>
      <c r="G909" s="31"/>
      <c r="H909" s="31"/>
      <c r="I909" s="31"/>
      <c r="J909" s="31"/>
      <c r="K909" s="19"/>
      <c r="L909" s="19"/>
      <c r="M909" s="19"/>
      <c r="N909" s="31"/>
      <c r="O909" s="31"/>
      <c r="P909" s="31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</row>
    <row r="910" spans="1:37" ht="46.5" customHeight="1" x14ac:dyDescent="0.7">
      <c r="A910" s="19"/>
      <c r="B910" s="19"/>
      <c r="C910" s="19"/>
      <c r="D910" s="31"/>
      <c r="E910" s="31"/>
      <c r="F910" s="31"/>
      <c r="G910" s="31"/>
      <c r="H910" s="31"/>
      <c r="I910" s="31"/>
      <c r="J910" s="31"/>
      <c r="K910" s="19"/>
      <c r="L910" s="19"/>
      <c r="M910" s="19"/>
      <c r="N910" s="31"/>
      <c r="O910" s="31"/>
      <c r="P910" s="31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</row>
    <row r="911" spans="1:37" ht="46.5" customHeight="1" x14ac:dyDescent="0.7">
      <c r="A911" s="19"/>
      <c r="B911" s="19"/>
      <c r="C911" s="19"/>
      <c r="D911" s="31"/>
      <c r="E911" s="31"/>
      <c r="F911" s="31"/>
      <c r="G911" s="31"/>
      <c r="H911" s="31"/>
      <c r="I911" s="31"/>
      <c r="J911" s="31"/>
      <c r="K911" s="19"/>
      <c r="L911" s="19"/>
      <c r="M911" s="19"/>
      <c r="N911" s="31"/>
      <c r="O911" s="31"/>
      <c r="P911" s="31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</row>
    <row r="912" spans="1:37" ht="46.5" customHeight="1" x14ac:dyDescent="0.7">
      <c r="A912" s="19"/>
      <c r="B912" s="19"/>
      <c r="C912" s="19"/>
      <c r="D912" s="31"/>
      <c r="E912" s="31"/>
      <c r="F912" s="31"/>
      <c r="G912" s="31"/>
      <c r="H912" s="31"/>
      <c r="I912" s="31"/>
      <c r="J912" s="31"/>
      <c r="K912" s="19"/>
      <c r="L912" s="19"/>
      <c r="M912" s="19"/>
      <c r="N912" s="31"/>
      <c r="O912" s="31"/>
      <c r="P912" s="31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</row>
    <row r="913" spans="1:37" ht="46.5" customHeight="1" x14ac:dyDescent="0.7">
      <c r="A913" s="19"/>
      <c r="B913" s="19"/>
      <c r="C913" s="19"/>
      <c r="D913" s="31"/>
      <c r="E913" s="31"/>
      <c r="F913" s="31"/>
      <c r="G913" s="31"/>
      <c r="H913" s="31"/>
      <c r="I913" s="31"/>
      <c r="J913" s="31"/>
      <c r="K913" s="19"/>
      <c r="L913" s="19"/>
      <c r="M913" s="19"/>
      <c r="N913" s="31"/>
      <c r="O913" s="31"/>
      <c r="P913" s="31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</row>
    <row r="914" spans="1:37" ht="46.5" customHeight="1" x14ac:dyDescent="0.7">
      <c r="A914" s="19"/>
      <c r="B914" s="19"/>
      <c r="C914" s="19"/>
      <c r="D914" s="31"/>
      <c r="E914" s="31"/>
      <c r="F914" s="31"/>
      <c r="G914" s="31"/>
      <c r="H914" s="31"/>
      <c r="I914" s="31"/>
      <c r="J914" s="31"/>
      <c r="K914" s="19"/>
      <c r="L914" s="19"/>
      <c r="M914" s="19"/>
      <c r="N914" s="31"/>
      <c r="O914" s="31"/>
      <c r="P914" s="31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</row>
    <row r="915" spans="1:37" ht="46.5" customHeight="1" x14ac:dyDescent="0.7">
      <c r="A915" s="19"/>
      <c r="B915" s="19"/>
      <c r="C915" s="19"/>
      <c r="D915" s="31"/>
      <c r="E915" s="31"/>
      <c r="F915" s="31"/>
      <c r="G915" s="31"/>
      <c r="H915" s="31"/>
      <c r="I915" s="31"/>
      <c r="J915" s="31"/>
      <c r="K915" s="19"/>
      <c r="L915" s="19"/>
      <c r="M915" s="19"/>
      <c r="N915" s="31"/>
      <c r="O915" s="31"/>
      <c r="P915" s="31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</row>
    <row r="916" spans="1:37" ht="46.5" customHeight="1" x14ac:dyDescent="0.7">
      <c r="A916" s="19"/>
      <c r="B916" s="19"/>
      <c r="C916" s="19"/>
      <c r="D916" s="31"/>
      <c r="E916" s="31"/>
      <c r="F916" s="31"/>
      <c r="G916" s="31"/>
      <c r="H916" s="31"/>
      <c r="I916" s="31"/>
      <c r="J916" s="31"/>
      <c r="K916" s="19"/>
      <c r="L916" s="19"/>
      <c r="M916" s="19"/>
      <c r="N916" s="31"/>
      <c r="O916" s="31"/>
      <c r="P916" s="31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</row>
    <row r="917" spans="1:37" ht="46.5" customHeight="1" x14ac:dyDescent="0.7">
      <c r="A917" s="19"/>
      <c r="B917" s="19"/>
      <c r="C917" s="19"/>
      <c r="D917" s="31"/>
      <c r="E917" s="31"/>
      <c r="F917" s="31"/>
      <c r="G917" s="31"/>
      <c r="H917" s="31"/>
      <c r="I917" s="31"/>
      <c r="J917" s="31"/>
      <c r="K917" s="19"/>
      <c r="L917" s="19"/>
      <c r="M917" s="19"/>
      <c r="N917" s="31"/>
      <c r="O917" s="31"/>
      <c r="P917" s="31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</row>
    <row r="918" spans="1:37" ht="46.5" customHeight="1" x14ac:dyDescent="0.7">
      <c r="A918" s="19"/>
      <c r="B918" s="19"/>
      <c r="C918" s="19"/>
      <c r="D918" s="31"/>
      <c r="E918" s="31"/>
      <c r="F918" s="31"/>
      <c r="G918" s="31"/>
      <c r="H918" s="31"/>
      <c r="I918" s="31"/>
      <c r="J918" s="31"/>
      <c r="K918" s="19"/>
      <c r="L918" s="19"/>
      <c r="M918" s="19"/>
      <c r="N918" s="31"/>
      <c r="O918" s="31"/>
      <c r="P918" s="31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</row>
    <row r="919" spans="1:37" ht="46.5" customHeight="1" x14ac:dyDescent="0.7">
      <c r="A919" s="19"/>
      <c r="B919" s="19"/>
      <c r="C919" s="19"/>
      <c r="D919" s="31"/>
      <c r="E919" s="31"/>
      <c r="F919" s="31"/>
      <c r="G919" s="31"/>
      <c r="H919" s="31"/>
      <c r="I919" s="31"/>
      <c r="J919" s="31"/>
      <c r="K919" s="19"/>
      <c r="L919" s="19"/>
      <c r="M919" s="19"/>
      <c r="N919" s="31"/>
      <c r="O919" s="31"/>
      <c r="P919" s="31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</row>
    <row r="920" spans="1:37" ht="46.5" customHeight="1" x14ac:dyDescent="0.7">
      <c r="A920" s="19"/>
      <c r="B920" s="19"/>
      <c r="C920" s="19"/>
      <c r="D920" s="31"/>
      <c r="E920" s="31"/>
      <c r="F920" s="31"/>
      <c r="G920" s="31"/>
      <c r="H920" s="31"/>
      <c r="I920" s="31"/>
      <c r="J920" s="31"/>
      <c r="K920" s="19"/>
      <c r="L920" s="19"/>
      <c r="M920" s="19"/>
      <c r="N920" s="31"/>
      <c r="O920" s="31"/>
      <c r="P920" s="31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</row>
    <row r="921" spans="1:37" ht="46.5" customHeight="1" x14ac:dyDescent="0.7">
      <c r="A921" s="19"/>
      <c r="B921" s="19"/>
      <c r="C921" s="19"/>
      <c r="D921" s="31"/>
      <c r="E921" s="31"/>
      <c r="F921" s="31"/>
      <c r="G921" s="31"/>
      <c r="H921" s="31"/>
      <c r="I921" s="31"/>
      <c r="J921" s="31"/>
      <c r="K921" s="19"/>
      <c r="L921" s="19"/>
      <c r="M921" s="19"/>
      <c r="N921" s="31"/>
      <c r="O921" s="31"/>
      <c r="P921" s="31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</row>
    <row r="922" spans="1:37" ht="46.5" customHeight="1" x14ac:dyDescent="0.7">
      <c r="A922" s="19"/>
      <c r="B922" s="19"/>
      <c r="C922" s="19"/>
      <c r="D922" s="31"/>
      <c r="E922" s="31"/>
      <c r="F922" s="31"/>
      <c r="G922" s="31"/>
      <c r="H922" s="31"/>
      <c r="I922" s="31"/>
      <c r="J922" s="31"/>
      <c r="K922" s="19"/>
      <c r="L922" s="19"/>
      <c r="M922" s="19"/>
      <c r="N922" s="31"/>
      <c r="O922" s="31"/>
      <c r="P922" s="31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</row>
    <row r="923" spans="1:37" ht="46.5" customHeight="1" x14ac:dyDescent="0.7">
      <c r="A923" s="19"/>
      <c r="B923" s="19"/>
      <c r="C923" s="19"/>
      <c r="D923" s="31"/>
      <c r="E923" s="31"/>
      <c r="F923" s="31"/>
      <c r="G923" s="31"/>
      <c r="H923" s="31"/>
      <c r="I923" s="31"/>
      <c r="J923" s="31"/>
      <c r="K923" s="19"/>
      <c r="L923" s="19"/>
      <c r="M923" s="19"/>
      <c r="N923" s="31"/>
      <c r="O923" s="31"/>
      <c r="P923" s="31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</row>
    <row r="924" spans="1:37" ht="46.5" customHeight="1" x14ac:dyDescent="0.7">
      <c r="A924" s="19"/>
      <c r="B924" s="19"/>
      <c r="C924" s="19"/>
      <c r="D924" s="31"/>
      <c r="E924" s="31"/>
      <c r="F924" s="31"/>
      <c r="G924" s="31"/>
      <c r="H924" s="31"/>
      <c r="I924" s="31"/>
      <c r="J924" s="31"/>
      <c r="K924" s="19"/>
      <c r="L924" s="19"/>
      <c r="M924" s="19"/>
      <c r="N924" s="31"/>
      <c r="O924" s="31"/>
      <c r="P924" s="31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</row>
    <row r="925" spans="1:37" ht="46.5" customHeight="1" x14ac:dyDescent="0.7">
      <c r="A925" s="19"/>
      <c r="B925" s="19"/>
      <c r="C925" s="19"/>
      <c r="D925" s="31"/>
      <c r="E925" s="31"/>
      <c r="F925" s="31"/>
      <c r="G925" s="31"/>
      <c r="H925" s="31"/>
      <c r="I925" s="31"/>
      <c r="J925" s="31"/>
      <c r="K925" s="19"/>
      <c r="L925" s="19"/>
      <c r="M925" s="19"/>
      <c r="N925" s="31"/>
      <c r="O925" s="31"/>
      <c r="P925" s="31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</row>
    <row r="926" spans="1:37" ht="46.5" customHeight="1" x14ac:dyDescent="0.7">
      <c r="A926" s="19"/>
      <c r="B926" s="19"/>
      <c r="C926" s="19"/>
      <c r="D926" s="31"/>
      <c r="E926" s="31"/>
      <c r="F926" s="31"/>
      <c r="G926" s="31"/>
      <c r="H926" s="31"/>
      <c r="I926" s="31"/>
      <c r="J926" s="31"/>
      <c r="K926" s="19"/>
      <c r="L926" s="19"/>
      <c r="M926" s="19"/>
      <c r="N926" s="31"/>
      <c r="O926" s="31"/>
      <c r="P926" s="31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</row>
    <row r="927" spans="1:37" ht="46.5" customHeight="1" x14ac:dyDescent="0.7">
      <c r="A927" s="19"/>
      <c r="B927" s="19"/>
      <c r="C927" s="19"/>
      <c r="D927" s="31"/>
      <c r="E927" s="31"/>
      <c r="F927" s="31"/>
      <c r="G927" s="31"/>
      <c r="H927" s="31"/>
      <c r="I927" s="31"/>
      <c r="J927" s="31"/>
      <c r="K927" s="19"/>
      <c r="L927" s="19"/>
      <c r="M927" s="19"/>
      <c r="N927" s="31"/>
      <c r="O927" s="31"/>
      <c r="P927" s="31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</row>
    <row r="928" spans="1:37" ht="46.5" customHeight="1" x14ac:dyDescent="0.7">
      <c r="A928" s="19"/>
      <c r="B928" s="19"/>
      <c r="C928" s="19"/>
      <c r="D928" s="31"/>
      <c r="E928" s="31"/>
      <c r="F928" s="31"/>
      <c r="G928" s="31"/>
      <c r="H928" s="31"/>
      <c r="I928" s="31"/>
      <c r="J928" s="31"/>
      <c r="K928" s="19"/>
      <c r="L928" s="19"/>
      <c r="M928" s="19"/>
      <c r="N928" s="31"/>
      <c r="O928" s="31"/>
      <c r="P928" s="31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</row>
    <row r="929" spans="1:37" ht="46.5" customHeight="1" x14ac:dyDescent="0.7">
      <c r="A929" s="19"/>
      <c r="B929" s="19"/>
      <c r="C929" s="19"/>
      <c r="D929" s="31"/>
      <c r="E929" s="31"/>
      <c r="F929" s="31"/>
      <c r="G929" s="31"/>
      <c r="H929" s="31"/>
      <c r="I929" s="31"/>
      <c r="J929" s="31"/>
      <c r="K929" s="19"/>
      <c r="L929" s="19"/>
      <c r="M929" s="19"/>
      <c r="N929" s="31"/>
      <c r="O929" s="31"/>
      <c r="P929" s="31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</row>
    <row r="930" spans="1:37" ht="46.5" customHeight="1" x14ac:dyDescent="0.7">
      <c r="A930" s="19"/>
      <c r="B930" s="19"/>
      <c r="C930" s="19"/>
      <c r="D930" s="31"/>
      <c r="E930" s="31"/>
      <c r="F930" s="31"/>
      <c r="G930" s="31"/>
      <c r="H930" s="31"/>
      <c r="I930" s="31"/>
      <c r="J930" s="31"/>
      <c r="K930" s="19"/>
      <c r="L930" s="19"/>
      <c r="M930" s="19"/>
      <c r="N930" s="31"/>
      <c r="O930" s="31"/>
      <c r="P930" s="31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</row>
    <row r="931" spans="1:37" ht="46.5" customHeight="1" x14ac:dyDescent="0.7">
      <c r="A931" s="19"/>
      <c r="B931" s="19"/>
      <c r="C931" s="19"/>
      <c r="D931" s="31"/>
      <c r="E931" s="31"/>
      <c r="F931" s="31"/>
      <c r="G931" s="31"/>
      <c r="H931" s="31"/>
      <c r="I931" s="31"/>
      <c r="J931" s="31"/>
      <c r="K931" s="19"/>
      <c r="L931" s="19"/>
      <c r="M931" s="19"/>
      <c r="N931" s="31"/>
      <c r="O931" s="31"/>
      <c r="P931" s="31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</row>
    <row r="932" spans="1:37" ht="46.5" customHeight="1" x14ac:dyDescent="0.7">
      <c r="A932" s="19"/>
      <c r="B932" s="19"/>
      <c r="C932" s="19"/>
      <c r="D932" s="31"/>
      <c r="E932" s="31"/>
      <c r="F932" s="31"/>
      <c r="G932" s="31"/>
      <c r="H932" s="31"/>
      <c r="I932" s="31"/>
      <c r="J932" s="31"/>
      <c r="K932" s="19"/>
      <c r="L932" s="19"/>
      <c r="M932" s="19"/>
      <c r="N932" s="31"/>
      <c r="O932" s="31"/>
      <c r="P932" s="31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</row>
    <row r="933" spans="1:37" ht="46.5" customHeight="1" x14ac:dyDescent="0.7">
      <c r="A933" s="19"/>
      <c r="B933" s="19"/>
      <c r="C933" s="19"/>
      <c r="D933" s="31"/>
      <c r="E933" s="31"/>
      <c r="F933" s="31"/>
      <c r="G933" s="31"/>
      <c r="H933" s="31"/>
      <c r="I933" s="31"/>
      <c r="J933" s="31"/>
      <c r="K933" s="19"/>
      <c r="L933" s="19"/>
      <c r="M933" s="19"/>
      <c r="N933" s="31"/>
      <c r="O933" s="31"/>
      <c r="P933" s="31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</row>
    <row r="934" spans="1:37" ht="46.5" customHeight="1" x14ac:dyDescent="0.7">
      <c r="A934" s="19"/>
      <c r="B934" s="19"/>
      <c r="C934" s="19"/>
      <c r="D934" s="31"/>
      <c r="E934" s="31"/>
      <c r="F934" s="31"/>
      <c r="G934" s="31"/>
      <c r="H934" s="31"/>
      <c r="I934" s="31"/>
      <c r="J934" s="31"/>
      <c r="K934" s="19"/>
      <c r="L934" s="19"/>
      <c r="M934" s="19"/>
      <c r="N934" s="31"/>
      <c r="O934" s="31"/>
      <c r="P934" s="31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</row>
    <row r="935" spans="1:37" ht="46.5" customHeight="1" x14ac:dyDescent="0.7">
      <c r="A935" s="19"/>
      <c r="B935" s="19"/>
      <c r="C935" s="19"/>
      <c r="D935" s="31"/>
      <c r="E935" s="31"/>
      <c r="F935" s="31"/>
      <c r="G935" s="31"/>
      <c r="H935" s="31"/>
      <c r="I935" s="31"/>
      <c r="J935" s="31"/>
      <c r="K935" s="19"/>
      <c r="L935" s="19"/>
      <c r="M935" s="19"/>
      <c r="N935" s="31"/>
      <c r="O935" s="31"/>
      <c r="P935" s="31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</row>
    <row r="936" spans="1:37" ht="46.5" customHeight="1" x14ac:dyDescent="0.7">
      <c r="A936" s="19"/>
      <c r="B936" s="19"/>
      <c r="C936" s="19"/>
      <c r="D936" s="31"/>
      <c r="E936" s="31"/>
      <c r="F936" s="31"/>
      <c r="G936" s="31"/>
      <c r="H936" s="31"/>
      <c r="I936" s="31"/>
      <c r="J936" s="31"/>
      <c r="K936" s="19"/>
      <c r="L936" s="19"/>
      <c r="M936" s="19"/>
      <c r="N936" s="31"/>
      <c r="O936" s="31"/>
      <c r="P936" s="31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</row>
    <row r="937" spans="1:37" ht="46.5" customHeight="1" x14ac:dyDescent="0.7">
      <c r="A937" s="19"/>
      <c r="B937" s="19"/>
      <c r="C937" s="19"/>
      <c r="D937" s="31"/>
      <c r="E937" s="31"/>
      <c r="F937" s="31"/>
      <c r="G937" s="31"/>
      <c r="H937" s="31"/>
      <c r="I937" s="31"/>
      <c r="J937" s="31"/>
      <c r="K937" s="19"/>
      <c r="L937" s="19"/>
      <c r="M937" s="19"/>
      <c r="N937" s="31"/>
      <c r="O937" s="31"/>
      <c r="P937" s="31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</row>
    <row r="938" spans="1:37" ht="46.5" customHeight="1" x14ac:dyDescent="0.7">
      <c r="A938" s="19"/>
      <c r="B938" s="19"/>
      <c r="C938" s="19"/>
      <c r="D938" s="31"/>
      <c r="E938" s="31"/>
      <c r="F938" s="31"/>
      <c r="G938" s="31"/>
      <c r="H938" s="31"/>
      <c r="I938" s="31"/>
      <c r="J938" s="31"/>
      <c r="K938" s="19"/>
      <c r="L938" s="19"/>
      <c r="M938" s="19"/>
      <c r="N938" s="31"/>
      <c r="O938" s="31"/>
      <c r="P938" s="31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</row>
    <row r="939" spans="1:37" ht="46.5" customHeight="1" x14ac:dyDescent="0.7">
      <c r="A939" s="19"/>
      <c r="B939" s="19"/>
      <c r="C939" s="19"/>
      <c r="D939" s="31"/>
      <c r="E939" s="31"/>
      <c r="F939" s="31"/>
      <c r="G939" s="31"/>
      <c r="H939" s="31"/>
      <c r="I939" s="31"/>
      <c r="J939" s="31"/>
      <c r="K939" s="19"/>
      <c r="L939" s="19"/>
      <c r="M939" s="19"/>
      <c r="N939" s="31"/>
      <c r="O939" s="31"/>
      <c r="P939" s="31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</row>
    <row r="940" spans="1:37" ht="46.5" customHeight="1" x14ac:dyDescent="0.7">
      <c r="A940" s="19"/>
      <c r="B940" s="19"/>
      <c r="C940" s="19"/>
      <c r="D940" s="31"/>
      <c r="E940" s="31"/>
      <c r="F940" s="31"/>
      <c r="G940" s="31"/>
      <c r="H940" s="31"/>
      <c r="I940" s="31"/>
      <c r="J940" s="31"/>
      <c r="K940" s="19"/>
      <c r="L940" s="19"/>
      <c r="M940" s="19"/>
      <c r="N940" s="31"/>
      <c r="O940" s="31"/>
      <c r="P940" s="31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</row>
    <row r="941" spans="1:37" ht="46.5" customHeight="1" x14ac:dyDescent="0.7">
      <c r="A941" s="19"/>
      <c r="B941" s="19"/>
      <c r="C941" s="19"/>
      <c r="D941" s="31"/>
      <c r="E941" s="31"/>
      <c r="F941" s="31"/>
      <c r="G941" s="31"/>
      <c r="H941" s="31"/>
      <c r="I941" s="31"/>
      <c r="J941" s="31"/>
      <c r="K941" s="19"/>
      <c r="L941" s="19"/>
      <c r="M941" s="19"/>
      <c r="N941" s="31"/>
      <c r="O941" s="31"/>
      <c r="P941" s="31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</row>
    <row r="942" spans="1:37" ht="46.5" customHeight="1" x14ac:dyDescent="0.7">
      <c r="A942" s="19"/>
      <c r="B942" s="19"/>
      <c r="C942" s="19"/>
      <c r="D942" s="31"/>
      <c r="E942" s="31"/>
      <c r="F942" s="31"/>
      <c r="G942" s="31"/>
      <c r="H942" s="31"/>
      <c r="I942" s="31"/>
      <c r="J942" s="31"/>
      <c r="K942" s="19"/>
      <c r="L942" s="19"/>
      <c r="M942" s="19"/>
      <c r="N942" s="31"/>
      <c r="O942" s="31"/>
      <c r="P942" s="31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</row>
    <row r="943" spans="1:37" ht="46.5" customHeight="1" x14ac:dyDescent="0.7">
      <c r="A943" s="19"/>
      <c r="B943" s="19"/>
      <c r="C943" s="19"/>
      <c r="D943" s="31"/>
      <c r="E943" s="31"/>
      <c r="F943" s="31"/>
      <c r="G943" s="31"/>
      <c r="H943" s="31"/>
      <c r="I943" s="31"/>
      <c r="J943" s="31"/>
      <c r="K943" s="19"/>
      <c r="L943" s="19"/>
      <c r="M943" s="19"/>
      <c r="N943" s="31"/>
      <c r="O943" s="31"/>
      <c r="P943" s="31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</row>
    <row r="944" spans="1:37" ht="46.5" customHeight="1" x14ac:dyDescent="0.7">
      <c r="A944" s="19"/>
      <c r="B944" s="19"/>
      <c r="C944" s="19"/>
      <c r="D944" s="31"/>
      <c r="E944" s="31"/>
      <c r="F944" s="31"/>
      <c r="G944" s="31"/>
      <c r="H944" s="31"/>
      <c r="I944" s="31"/>
      <c r="J944" s="31"/>
      <c r="K944" s="19"/>
      <c r="L944" s="19"/>
      <c r="M944" s="19"/>
      <c r="N944" s="31"/>
      <c r="O944" s="31"/>
      <c r="P944" s="31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</row>
    <row r="945" spans="1:37" ht="46.5" customHeight="1" x14ac:dyDescent="0.7">
      <c r="A945" s="19"/>
      <c r="B945" s="19"/>
      <c r="C945" s="19"/>
      <c r="D945" s="31"/>
      <c r="E945" s="31"/>
      <c r="F945" s="31"/>
      <c r="G945" s="31"/>
      <c r="H945" s="31"/>
      <c r="I945" s="31"/>
      <c r="J945" s="31"/>
      <c r="K945" s="19"/>
      <c r="L945" s="19"/>
      <c r="M945" s="19"/>
      <c r="N945" s="31"/>
      <c r="O945" s="31"/>
      <c r="P945" s="31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</row>
    <row r="946" spans="1:37" ht="46.5" customHeight="1" x14ac:dyDescent="0.7">
      <c r="A946" s="19"/>
      <c r="B946" s="19"/>
      <c r="C946" s="19"/>
      <c r="D946" s="31"/>
      <c r="E946" s="31"/>
      <c r="F946" s="31"/>
      <c r="G946" s="31"/>
      <c r="H946" s="31"/>
      <c r="I946" s="31"/>
      <c r="J946" s="31"/>
      <c r="K946" s="19"/>
      <c r="L946" s="19"/>
      <c r="M946" s="19"/>
      <c r="N946" s="31"/>
      <c r="O946" s="31"/>
      <c r="P946" s="31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</row>
    <row r="947" spans="1:37" ht="46.5" customHeight="1" x14ac:dyDescent="0.7">
      <c r="A947" s="19"/>
      <c r="B947" s="19"/>
      <c r="C947" s="19"/>
      <c r="D947" s="31"/>
      <c r="E947" s="31"/>
      <c r="F947" s="31"/>
      <c r="G947" s="31"/>
      <c r="H947" s="31"/>
      <c r="I947" s="31"/>
      <c r="J947" s="31"/>
      <c r="K947" s="19"/>
      <c r="L947" s="19"/>
      <c r="M947" s="19"/>
      <c r="N947" s="31"/>
      <c r="O947" s="31"/>
      <c r="P947" s="31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</row>
    <row r="948" spans="1:37" ht="46.5" customHeight="1" x14ac:dyDescent="0.7">
      <c r="A948" s="19"/>
      <c r="B948" s="19"/>
      <c r="C948" s="19"/>
      <c r="D948" s="31"/>
      <c r="E948" s="31"/>
      <c r="F948" s="31"/>
      <c r="G948" s="31"/>
      <c r="H948" s="31"/>
      <c r="I948" s="31"/>
      <c r="J948" s="31"/>
      <c r="K948" s="19"/>
      <c r="L948" s="19"/>
      <c r="M948" s="19"/>
      <c r="N948" s="31"/>
      <c r="O948" s="31"/>
      <c r="P948" s="31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</row>
    <row r="949" spans="1:37" ht="46.5" customHeight="1" x14ac:dyDescent="0.7">
      <c r="A949" s="19"/>
      <c r="B949" s="19"/>
      <c r="C949" s="19"/>
      <c r="D949" s="31"/>
      <c r="E949" s="31"/>
      <c r="F949" s="31"/>
      <c r="G949" s="31"/>
      <c r="H949" s="31"/>
      <c r="I949" s="31"/>
      <c r="J949" s="31"/>
      <c r="K949" s="19"/>
      <c r="L949" s="19"/>
      <c r="M949" s="19"/>
      <c r="N949" s="31"/>
      <c r="O949" s="31"/>
      <c r="P949" s="31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</row>
    <row r="950" spans="1:37" ht="46.5" customHeight="1" x14ac:dyDescent="0.7">
      <c r="A950" s="19"/>
      <c r="B950" s="19"/>
      <c r="C950" s="19"/>
      <c r="D950" s="31"/>
      <c r="E950" s="31"/>
      <c r="F950" s="31"/>
      <c r="G950" s="31"/>
      <c r="H950" s="31"/>
      <c r="I950" s="31"/>
      <c r="J950" s="31"/>
      <c r="K950" s="19"/>
      <c r="L950" s="19"/>
      <c r="M950" s="19"/>
      <c r="N950" s="31"/>
      <c r="O950" s="31"/>
      <c r="P950" s="31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</row>
    <row r="951" spans="1:37" ht="46.5" customHeight="1" x14ac:dyDescent="0.7">
      <c r="A951" s="19"/>
      <c r="B951" s="19"/>
      <c r="C951" s="19"/>
      <c r="D951" s="31"/>
      <c r="E951" s="31"/>
      <c r="F951" s="31"/>
      <c r="G951" s="31"/>
      <c r="H951" s="31"/>
      <c r="I951" s="31"/>
      <c r="J951" s="31"/>
      <c r="K951" s="19"/>
      <c r="L951" s="19"/>
      <c r="M951" s="19"/>
      <c r="N951" s="31"/>
      <c r="O951" s="31"/>
      <c r="P951" s="31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</row>
    <row r="952" spans="1:37" ht="46.5" customHeight="1" x14ac:dyDescent="0.7">
      <c r="A952" s="19"/>
      <c r="B952" s="19"/>
      <c r="C952" s="19"/>
      <c r="D952" s="31"/>
      <c r="E952" s="31"/>
      <c r="F952" s="31"/>
      <c r="G952" s="31"/>
      <c r="H952" s="31"/>
      <c r="I952" s="31"/>
      <c r="J952" s="31"/>
      <c r="K952" s="19"/>
      <c r="L952" s="19"/>
      <c r="M952" s="19"/>
      <c r="N952" s="31"/>
      <c r="O952" s="31"/>
      <c r="P952" s="31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</row>
    <row r="953" spans="1:37" ht="46.5" customHeight="1" x14ac:dyDescent="0.7">
      <c r="A953" s="19"/>
      <c r="B953" s="19"/>
      <c r="C953" s="19"/>
      <c r="D953" s="31"/>
      <c r="E953" s="31"/>
      <c r="F953" s="31"/>
      <c r="G953" s="31"/>
      <c r="H953" s="31"/>
      <c r="I953" s="31"/>
      <c r="J953" s="31"/>
      <c r="K953" s="19"/>
      <c r="L953" s="19"/>
      <c r="M953" s="19"/>
      <c r="N953" s="31"/>
      <c r="O953" s="31"/>
      <c r="P953" s="31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</row>
    <row r="954" spans="1:37" ht="46.5" customHeight="1" x14ac:dyDescent="0.7">
      <c r="A954" s="19"/>
      <c r="B954" s="19"/>
      <c r="C954" s="19"/>
      <c r="D954" s="31"/>
      <c r="E954" s="31"/>
      <c r="F954" s="31"/>
      <c r="G954" s="31"/>
      <c r="H954" s="31"/>
      <c r="I954" s="31"/>
      <c r="J954" s="31"/>
      <c r="K954" s="19"/>
      <c r="L954" s="19"/>
      <c r="M954" s="19"/>
      <c r="N954" s="31"/>
      <c r="O954" s="31"/>
      <c r="P954" s="31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</row>
    <row r="955" spans="1:37" ht="46.5" customHeight="1" x14ac:dyDescent="0.7">
      <c r="A955" s="19"/>
      <c r="B955" s="19"/>
      <c r="C955" s="19"/>
      <c r="D955" s="31"/>
      <c r="E955" s="31"/>
      <c r="F955" s="31"/>
      <c r="G955" s="31"/>
      <c r="H955" s="31"/>
      <c r="I955" s="31"/>
      <c r="J955" s="31"/>
      <c r="K955" s="19"/>
      <c r="L955" s="19"/>
      <c r="M955" s="19"/>
      <c r="N955" s="31"/>
      <c r="O955" s="31"/>
      <c r="P955" s="31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</row>
    <row r="956" spans="1:37" ht="46.5" customHeight="1" x14ac:dyDescent="0.7">
      <c r="A956" s="19"/>
      <c r="B956" s="19"/>
      <c r="C956" s="19"/>
      <c r="D956" s="31"/>
      <c r="E956" s="31"/>
      <c r="F956" s="31"/>
      <c r="G956" s="31"/>
      <c r="H956" s="31"/>
      <c r="I956" s="31"/>
      <c r="J956" s="31"/>
      <c r="K956" s="19"/>
      <c r="L956" s="19"/>
      <c r="M956" s="19"/>
      <c r="N956" s="31"/>
      <c r="O956" s="31"/>
      <c r="P956" s="31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</row>
    <row r="957" spans="1:37" ht="46.5" customHeight="1" x14ac:dyDescent="0.7">
      <c r="A957" s="19"/>
      <c r="B957" s="19"/>
      <c r="C957" s="19"/>
      <c r="D957" s="31"/>
      <c r="E957" s="31"/>
      <c r="F957" s="31"/>
      <c r="G957" s="31"/>
      <c r="H957" s="31"/>
      <c r="I957" s="31"/>
      <c r="J957" s="31"/>
      <c r="K957" s="19"/>
      <c r="L957" s="19"/>
      <c r="M957" s="19"/>
      <c r="N957" s="31"/>
      <c r="O957" s="31"/>
      <c r="P957" s="31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</row>
    <row r="958" spans="1:37" ht="46.5" customHeight="1" x14ac:dyDescent="0.7">
      <c r="A958" s="19"/>
      <c r="B958" s="19"/>
      <c r="C958" s="19"/>
      <c r="D958" s="31"/>
      <c r="E958" s="31"/>
      <c r="F958" s="31"/>
      <c r="G958" s="31"/>
      <c r="H958" s="31"/>
      <c r="I958" s="31"/>
      <c r="J958" s="31"/>
      <c r="K958" s="19"/>
      <c r="L958" s="19"/>
      <c r="M958" s="19"/>
      <c r="N958" s="31"/>
      <c r="O958" s="31"/>
      <c r="P958" s="31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</row>
    <row r="959" spans="1:37" ht="46.5" customHeight="1" x14ac:dyDescent="0.7">
      <c r="A959" s="19"/>
      <c r="B959" s="19"/>
      <c r="C959" s="19"/>
      <c r="D959" s="31"/>
      <c r="E959" s="31"/>
      <c r="F959" s="31"/>
      <c r="G959" s="31"/>
      <c r="H959" s="31"/>
      <c r="I959" s="31"/>
      <c r="J959" s="31"/>
      <c r="K959" s="19"/>
      <c r="L959" s="19"/>
      <c r="M959" s="19"/>
      <c r="N959" s="31"/>
      <c r="O959" s="31"/>
      <c r="P959" s="31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</row>
    <row r="960" spans="1:37" ht="46.5" customHeight="1" x14ac:dyDescent="0.7">
      <c r="A960" s="19"/>
      <c r="B960" s="19"/>
      <c r="C960" s="19"/>
      <c r="D960" s="31"/>
      <c r="E960" s="31"/>
      <c r="F960" s="31"/>
      <c r="G960" s="31"/>
      <c r="H960" s="31"/>
      <c r="I960" s="31"/>
      <c r="J960" s="31"/>
      <c r="K960" s="19"/>
      <c r="L960" s="19"/>
      <c r="M960" s="19"/>
      <c r="N960" s="31"/>
      <c r="O960" s="31"/>
      <c r="P960" s="31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</row>
    <row r="961" spans="1:37" ht="46.5" customHeight="1" x14ac:dyDescent="0.7">
      <c r="A961" s="19"/>
      <c r="B961" s="19"/>
      <c r="C961" s="19"/>
      <c r="D961" s="31"/>
      <c r="E961" s="31"/>
      <c r="F961" s="31"/>
      <c r="G961" s="31"/>
      <c r="H961" s="31"/>
      <c r="I961" s="31"/>
      <c r="J961" s="31"/>
      <c r="K961" s="19"/>
      <c r="L961" s="19"/>
      <c r="M961" s="19"/>
      <c r="N961" s="31"/>
      <c r="O961" s="31"/>
      <c r="P961" s="31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</row>
    <row r="962" spans="1:37" ht="46.5" customHeight="1" x14ac:dyDescent="0.7">
      <c r="A962" s="19"/>
      <c r="B962" s="19"/>
      <c r="C962" s="19"/>
      <c r="D962" s="31"/>
      <c r="E962" s="31"/>
      <c r="F962" s="31"/>
      <c r="G962" s="31"/>
      <c r="H962" s="31"/>
      <c r="I962" s="31"/>
      <c r="J962" s="31"/>
      <c r="K962" s="19"/>
      <c r="L962" s="19"/>
      <c r="M962" s="19"/>
      <c r="N962" s="31"/>
      <c r="O962" s="31"/>
      <c r="P962" s="31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</row>
    <row r="963" spans="1:37" ht="46.5" customHeight="1" x14ac:dyDescent="0.7">
      <c r="A963" s="19"/>
      <c r="B963" s="19"/>
      <c r="C963" s="19"/>
      <c r="D963" s="31"/>
      <c r="E963" s="31"/>
      <c r="F963" s="31"/>
      <c r="G963" s="31"/>
      <c r="H963" s="31"/>
      <c r="I963" s="31"/>
      <c r="J963" s="31"/>
      <c r="K963" s="19"/>
      <c r="L963" s="19"/>
      <c r="M963" s="19"/>
      <c r="N963" s="31"/>
      <c r="O963" s="31"/>
      <c r="P963" s="31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</row>
    <row r="964" spans="1:37" ht="46.5" customHeight="1" x14ac:dyDescent="0.7">
      <c r="A964" s="19"/>
      <c r="B964" s="19"/>
      <c r="C964" s="19"/>
      <c r="D964" s="31"/>
      <c r="E964" s="31"/>
      <c r="F964" s="31"/>
      <c r="G964" s="31"/>
      <c r="H964" s="31"/>
      <c r="I964" s="31"/>
      <c r="J964" s="31"/>
      <c r="K964" s="19"/>
      <c r="L964" s="19"/>
      <c r="M964" s="19"/>
      <c r="N964" s="31"/>
      <c r="O964" s="31"/>
      <c r="P964" s="31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</row>
    <row r="965" spans="1:37" ht="46.5" customHeight="1" x14ac:dyDescent="0.7">
      <c r="A965" s="19"/>
      <c r="B965" s="19"/>
      <c r="C965" s="19"/>
      <c r="D965" s="31"/>
      <c r="E965" s="31"/>
      <c r="F965" s="31"/>
      <c r="G965" s="31"/>
      <c r="H965" s="31"/>
      <c r="I965" s="31"/>
      <c r="J965" s="31"/>
      <c r="K965" s="19"/>
      <c r="L965" s="19"/>
      <c r="M965" s="19"/>
      <c r="N965" s="31"/>
      <c r="O965" s="31"/>
      <c r="P965" s="31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</row>
    <row r="966" spans="1:37" ht="46.5" customHeight="1" x14ac:dyDescent="0.7">
      <c r="A966" s="19"/>
      <c r="B966" s="19"/>
      <c r="C966" s="19"/>
      <c r="D966" s="31"/>
      <c r="E966" s="31"/>
      <c r="F966" s="31"/>
      <c r="G966" s="31"/>
      <c r="H966" s="31"/>
      <c r="I966" s="31"/>
      <c r="J966" s="31"/>
      <c r="K966" s="19"/>
      <c r="L966" s="19"/>
      <c r="M966" s="19"/>
      <c r="N966" s="31"/>
      <c r="O966" s="31"/>
      <c r="P966" s="31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</row>
    <row r="967" spans="1:37" ht="46.5" customHeight="1" x14ac:dyDescent="0.7">
      <c r="A967" s="19"/>
      <c r="B967" s="19"/>
      <c r="C967" s="19"/>
      <c r="D967" s="31"/>
      <c r="E967" s="31"/>
      <c r="F967" s="31"/>
      <c r="G967" s="31"/>
      <c r="H967" s="31"/>
      <c r="I967" s="31"/>
      <c r="J967" s="31"/>
      <c r="K967" s="19"/>
      <c r="L967" s="19"/>
      <c r="M967" s="19"/>
      <c r="N967" s="31"/>
      <c r="O967" s="31"/>
      <c r="P967" s="31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</row>
    <row r="968" spans="1:37" ht="46.5" customHeight="1" x14ac:dyDescent="0.7">
      <c r="A968" s="19"/>
      <c r="B968" s="19"/>
      <c r="C968" s="19"/>
      <c r="D968" s="31"/>
      <c r="E968" s="31"/>
      <c r="F968" s="31"/>
      <c r="G968" s="31"/>
      <c r="H968" s="31"/>
      <c r="I968" s="31"/>
      <c r="J968" s="31"/>
      <c r="K968" s="19"/>
      <c r="L968" s="19"/>
      <c r="M968" s="19"/>
      <c r="N968" s="31"/>
      <c r="O968" s="31"/>
      <c r="P968" s="31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</row>
    <row r="969" spans="1:37" ht="46.5" customHeight="1" x14ac:dyDescent="0.7">
      <c r="A969" s="19"/>
      <c r="B969" s="19"/>
      <c r="C969" s="19"/>
      <c r="D969" s="31"/>
      <c r="E969" s="31"/>
      <c r="F969" s="31"/>
      <c r="G969" s="31"/>
      <c r="H969" s="31"/>
      <c r="I969" s="31"/>
      <c r="J969" s="31"/>
      <c r="K969" s="19"/>
      <c r="L969" s="19"/>
      <c r="M969" s="19"/>
      <c r="N969" s="31"/>
      <c r="O969" s="31"/>
      <c r="P969" s="31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</row>
    <row r="970" spans="1:37" ht="46.5" customHeight="1" x14ac:dyDescent="0.7">
      <c r="A970" s="19"/>
      <c r="B970" s="19"/>
      <c r="C970" s="19"/>
      <c r="D970" s="31"/>
      <c r="E970" s="31"/>
      <c r="F970" s="31"/>
      <c r="G970" s="31"/>
      <c r="H970" s="31"/>
      <c r="I970" s="31"/>
      <c r="J970" s="31"/>
      <c r="K970" s="19"/>
      <c r="L970" s="19"/>
      <c r="M970" s="19"/>
      <c r="N970" s="31"/>
      <c r="O970" s="31"/>
      <c r="P970" s="31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</row>
    <row r="971" spans="1:37" ht="46.5" customHeight="1" x14ac:dyDescent="0.7">
      <c r="A971" s="19"/>
      <c r="B971" s="19"/>
      <c r="C971" s="19"/>
      <c r="D971" s="31"/>
      <c r="E971" s="31"/>
      <c r="F971" s="31"/>
      <c r="G971" s="31"/>
      <c r="H971" s="31"/>
      <c r="I971" s="31"/>
      <c r="J971" s="31"/>
      <c r="K971" s="19"/>
      <c r="L971" s="19"/>
      <c r="M971" s="19"/>
      <c r="N971" s="31"/>
      <c r="O971" s="31"/>
      <c r="P971" s="31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</row>
    <row r="972" spans="1:37" ht="46.5" customHeight="1" x14ac:dyDescent="0.7">
      <c r="A972" s="19"/>
      <c r="B972" s="19"/>
      <c r="C972" s="19"/>
      <c r="D972" s="31"/>
      <c r="E972" s="31"/>
      <c r="F972" s="31"/>
      <c r="G972" s="31"/>
      <c r="H972" s="31"/>
      <c r="I972" s="31"/>
      <c r="J972" s="31"/>
      <c r="K972" s="19"/>
      <c r="L972" s="19"/>
      <c r="M972" s="19"/>
      <c r="N972" s="31"/>
      <c r="O972" s="31"/>
      <c r="P972" s="31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</row>
    <row r="973" spans="1:37" ht="46.5" customHeight="1" x14ac:dyDescent="0.7">
      <c r="A973" s="19"/>
      <c r="B973" s="19"/>
      <c r="C973" s="19"/>
      <c r="D973" s="31"/>
      <c r="E973" s="31"/>
      <c r="F973" s="31"/>
      <c r="G973" s="31"/>
      <c r="H973" s="31"/>
      <c r="I973" s="31"/>
      <c r="J973" s="31"/>
      <c r="K973" s="19"/>
      <c r="L973" s="19"/>
      <c r="M973" s="19"/>
      <c r="N973" s="31"/>
      <c r="O973" s="31"/>
      <c r="P973" s="31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</row>
    <row r="974" spans="1:37" ht="46.5" customHeight="1" x14ac:dyDescent="0.7">
      <c r="A974" s="19"/>
      <c r="B974" s="19"/>
      <c r="C974" s="19"/>
      <c r="D974" s="31"/>
      <c r="E974" s="31"/>
      <c r="F974" s="31"/>
      <c r="G974" s="31"/>
      <c r="H974" s="31"/>
      <c r="I974" s="31"/>
      <c r="J974" s="31"/>
      <c r="K974" s="19"/>
      <c r="L974" s="19"/>
      <c r="M974" s="19"/>
      <c r="N974" s="31"/>
      <c r="O974" s="31"/>
      <c r="P974" s="31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</row>
    <row r="975" spans="1:37" ht="46.5" customHeight="1" x14ac:dyDescent="0.7">
      <c r="A975" s="19"/>
      <c r="B975" s="19"/>
      <c r="C975" s="19"/>
      <c r="D975" s="31"/>
      <c r="E975" s="31"/>
      <c r="F975" s="31"/>
      <c r="G975" s="31"/>
      <c r="H975" s="31"/>
      <c r="I975" s="31"/>
      <c r="J975" s="31"/>
      <c r="K975" s="19"/>
      <c r="L975" s="19"/>
      <c r="M975" s="19"/>
      <c r="N975" s="31"/>
      <c r="O975" s="31"/>
      <c r="P975" s="31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</row>
    <row r="976" spans="1:37" ht="46.5" customHeight="1" x14ac:dyDescent="0.7">
      <c r="A976" s="19"/>
      <c r="B976" s="19"/>
      <c r="C976" s="19"/>
      <c r="D976" s="31"/>
      <c r="E976" s="31"/>
      <c r="F976" s="31"/>
      <c r="G976" s="31"/>
      <c r="H976" s="31"/>
      <c r="I976" s="31"/>
      <c r="J976" s="31"/>
      <c r="K976" s="19"/>
      <c r="L976" s="19"/>
      <c r="M976" s="19"/>
      <c r="N976" s="31"/>
      <c r="O976" s="31"/>
      <c r="P976" s="31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</row>
    <row r="977" spans="1:37" ht="46.5" customHeight="1" x14ac:dyDescent="0.7">
      <c r="A977" s="19"/>
      <c r="B977" s="19"/>
      <c r="C977" s="19"/>
      <c r="D977" s="31"/>
      <c r="E977" s="31"/>
      <c r="F977" s="31"/>
      <c r="G977" s="31"/>
      <c r="H977" s="31"/>
      <c r="I977" s="31"/>
      <c r="J977" s="31"/>
      <c r="K977" s="19"/>
      <c r="L977" s="19"/>
      <c r="M977" s="19"/>
      <c r="N977" s="31"/>
      <c r="O977" s="31"/>
      <c r="P977" s="31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</row>
    <row r="978" spans="1:37" ht="46.5" customHeight="1" x14ac:dyDescent="0.7">
      <c r="A978" s="19"/>
      <c r="B978" s="19"/>
      <c r="C978" s="19"/>
      <c r="D978" s="31"/>
      <c r="E978" s="31"/>
      <c r="F978" s="31"/>
      <c r="G978" s="31"/>
      <c r="H978" s="31"/>
      <c r="I978" s="31"/>
      <c r="J978" s="31"/>
      <c r="K978" s="19"/>
      <c r="L978" s="19"/>
      <c r="M978" s="19"/>
      <c r="N978" s="31"/>
      <c r="O978" s="31"/>
      <c r="P978" s="31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</row>
    <row r="979" spans="1:37" ht="46.5" customHeight="1" x14ac:dyDescent="0.7">
      <c r="A979" s="19"/>
      <c r="B979" s="19"/>
      <c r="C979" s="19"/>
      <c r="D979" s="31"/>
      <c r="E979" s="31"/>
      <c r="F979" s="31"/>
      <c r="G979" s="31"/>
      <c r="H979" s="31"/>
      <c r="I979" s="31"/>
      <c r="J979" s="31"/>
      <c r="K979" s="19"/>
      <c r="L979" s="19"/>
      <c r="M979" s="19"/>
      <c r="N979" s="31"/>
      <c r="O979" s="31"/>
      <c r="P979" s="31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</row>
    <row r="980" spans="1:37" ht="46.5" customHeight="1" x14ac:dyDescent="0.7">
      <c r="A980" s="19"/>
      <c r="B980" s="19"/>
      <c r="C980" s="19"/>
      <c r="D980" s="31"/>
      <c r="E980" s="31"/>
      <c r="F980" s="31"/>
      <c r="G980" s="31"/>
      <c r="H980" s="31"/>
      <c r="I980" s="31"/>
      <c r="J980" s="31"/>
      <c r="K980" s="19"/>
      <c r="L980" s="19"/>
      <c r="M980" s="19"/>
      <c r="N980" s="31"/>
      <c r="O980" s="31"/>
      <c r="P980" s="31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</row>
    <row r="981" spans="1:37" ht="46.5" customHeight="1" x14ac:dyDescent="0.7">
      <c r="A981" s="19"/>
      <c r="B981" s="19"/>
      <c r="C981" s="19"/>
      <c r="D981" s="31"/>
      <c r="E981" s="31"/>
      <c r="F981" s="31"/>
      <c r="G981" s="31"/>
      <c r="H981" s="31"/>
      <c r="I981" s="31"/>
      <c r="J981" s="31"/>
      <c r="K981" s="19"/>
      <c r="L981" s="19"/>
      <c r="M981" s="19"/>
      <c r="N981" s="31"/>
      <c r="O981" s="31"/>
      <c r="P981" s="31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</row>
    <row r="982" spans="1:37" ht="46.5" customHeight="1" x14ac:dyDescent="0.7">
      <c r="A982" s="19"/>
      <c r="B982" s="19"/>
      <c r="C982" s="19"/>
      <c r="D982" s="31"/>
      <c r="E982" s="31"/>
      <c r="F982" s="31"/>
      <c r="G982" s="31"/>
      <c r="H982" s="31"/>
      <c r="I982" s="31"/>
      <c r="J982" s="31"/>
      <c r="K982" s="19"/>
      <c r="L982" s="19"/>
      <c r="M982" s="19"/>
      <c r="N982" s="31"/>
      <c r="O982" s="31"/>
      <c r="P982" s="31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</row>
    <row r="983" spans="1:37" ht="46.5" customHeight="1" x14ac:dyDescent="0.7">
      <c r="A983" s="19"/>
      <c r="B983" s="19"/>
      <c r="C983" s="19"/>
      <c r="D983" s="31"/>
      <c r="E983" s="31"/>
      <c r="F983" s="31"/>
      <c r="G983" s="31"/>
      <c r="H983" s="31"/>
      <c r="I983" s="31"/>
      <c r="J983" s="31"/>
      <c r="K983" s="19"/>
      <c r="L983" s="19"/>
      <c r="M983" s="19"/>
      <c r="N983" s="31"/>
      <c r="O983" s="31"/>
      <c r="P983" s="31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</row>
    <row r="984" spans="1:37" ht="46.5" customHeight="1" x14ac:dyDescent="0.7">
      <c r="A984" s="19"/>
      <c r="B984" s="19"/>
      <c r="C984" s="19"/>
      <c r="D984" s="31"/>
      <c r="E984" s="31"/>
      <c r="F984" s="31"/>
      <c r="G984" s="31"/>
      <c r="H984" s="31"/>
      <c r="I984" s="31"/>
      <c r="J984" s="31"/>
      <c r="K984" s="19"/>
      <c r="L984" s="19"/>
      <c r="M984" s="19"/>
      <c r="N984" s="31"/>
      <c r="O984" s="31"/>
      <c r="P984" s="31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</row>
    <row r="985" spans="1:37" ht="46.5" customHeight="1" x14ac:dyDescent="0.7">
      <c r="A985" s="19"/>
      <c r="B985" s="19"/>
      <c r="C985" s="19"/>
      <c r="D985" s="31"/>
      <c r="E985" s="31"/>
      <c r="F985" s="31"/>
      <c r="G985" s="31"/>
      <c r="H985" s="31"/>
      <c r="I985" s="31"/>
      <c r="J985" s="31"/>
      <c r="K985" s="19"/>
      <c r="L985" s="19"/>
      <c r="M985" s="19"/>
      <c r="N985" s="31"/>
      <c r="O985" s="31"/>
      <c r="P985" s="31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</row>
    <row r="986" spans="1:37" ht="46.5" customHeight="1" x14ac:dyDescent="0.7">
      <c r="A986" s="19"/>
      <c r="B986" s="19"/>
      <c r="C986" s="19"/>
      <c r="D986" s="31"/>
      <c r="E986" s="31"/>
      <c r="F986" s="31"/>
      <c r="G986" s="31"/>
      <c r="H986" s="31"/>
      <c r="I986" s="31"/>
      <c r="J986" s="31"/>
      <c r="K986" s="19"/>
      <c r="L986" s="19"/>
      <c r="M986" s="19"/>
      <c r="N986" s="31"/>
      <c r="O986" s="31"/>
      <c r="P986" s="31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</row>
    <row r="987" spans="1:37" ht="46.5" customHeight="1" x14ac:dyDescent="0.7">
      <c r="A987" s="19"/>
      <c r="B987" s="19"/>
      <c r="C987" s="19"/>
      <c r="D987" s="31"/>
      <c r="E987" s="31"/>
      <c r="F987" s="31"/>
      <c r="G987" s="31"/>
      <c r="H987" s="31"/>
      <c r="I987" s="31"/>
      <c r="J987" s="31"/>
      <c r="K987" s="19"/>
      <c r="L987" s="19"/>
      <c r="M987" s="19"/>
      <c r="N987" s="31"/>
      <c r="O987" s="31"/>
      <c r="P987" s="31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</row>
    <row r="988" spans="1:37" ht="46.5" customHeight="1" x14ac:dyDescent="0.7">
      <c r="A988" s="19"/>
      <c r="B988" s="19"/>
      <c r="C988" s="19"/>
      <c r="D988" s="31"/>
      <c r="E988" s="31"/>
      <c r="F988" s="31"/>
      <c r="G988" s="31"/>
      <c r="H988" s="31"/>
      <c r="I988" s="31"/>
      <c r="J988" s="31"/>
      <c r="K988" s="19"/>
      <c r="L988" s="19"/>
      <c r="M988" s="19"/>
      <c r="N988" s="31"/>
      <c r="O988" s="31"/>
      <c r="P988" s="31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</row>
    <row r="989" spans="1:37" ht="46.5" customHeight="1" x14ac:dyDescent="0.7">
      <c r="A989" s="19"/>
      <c r="B989" s="19"/>
      <c r="C989" s="19"/>
      <c r="D989" s="31"/>
      <c r="E989" s="31"/>
      <c r="F989" s="31"/>
      <c r="G989" s="31"/>
      <c r="H989" s="31"/>
      <c r="I989" s="31"/>
      <c r="J989" s="31"/>
      <c r="K989" s="19"/>
      <c r="L989" s="19"/>
      <c r="M989" s="19"/>
      <c r="N989" s="31"/>
      <c r="O989" s="31"/>
      <c r="P989" s="31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</row>
    <row r="990" spans="1:37" ht="46.5" customHeight="1" x14ac:dyDescent="0.7">
      <c r="A990" s="19"/>
      <c r="B990" s="19"/>
      <c r="C990" s="19"/>
      <c r="D990" s="31"/>
      <c r="E990" s="31"/>
      <c r="F990" s="31"/>
      <c r="G990" s="31"/>
      <c r="H990" s="31"/>
      <c r="I990" s="31"/>
      <c r="J990" s="31"/>
      <c r="K990" s="19"/>
      <c r="L990" s="19"/>
      <c r="M990" s="19"/>
      <c r="N990" s="31"/>
      <c r="O990" s="31"/>
      <c r="P990" s="31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</row>
    <row r="991" spans="1:37" ht="46.5" customHeight="1" x14ac:dyDescent="0.7">
      <c r="A991" s="19"/>
      <c r="B991" s="19"/>
      <c r="C991" s="19"/>
      <c r="D991" s="31"/>
      <c r="E991" s="31"/>
      <c r="F991" s="31"/>
      <c r="G991" s="31"/>
      <c r="H991" s="31"/>
      <c r="I991" s="31"/>
      <c r="J991" s="31"/>
      <c r="K991" s="19"/>
      <c r="L991" s="19"/>
      <c r="M991" s="19"/>
      <c r="N991" s="31"/>
      <c r="O991" s="31"/>
      <c r="P991" s="31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</row>
    <row r="992" spans="1:37" ht="46.5" customHeight="1" x14ac:dyDescent="0.7">
      <c r="A992" s="19"/>
      <c r="B992" s="19"/>
      <c r="C992" s="19"/>
      <c r="D992" s="31"/>
      <c r="E992" s="31"/>
      <c r="F992" s="31"/>
      <c r="G992" s="31"/>
      <c r="H992" s="31"/>
      <c r="I992" s="31"/>
      <c r="J992" s="31"/>
      <c r="K992" s="19"/>
      <c r="L992" s="19"/>
      <c r="M992" s="19"/>
      <c r="N992" s="31"/>
      <c r="O992" s="31"/>
      <c r="P992" s="31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</row>
    <row r="993" spans="1:37" ht="46.5" customHeight="1" x14ac:dyDescent="0.7">
      <c r="A993" s="19"/>
      <c r="B993" s="19"/>
      <c r="C993" s="19"/>
      <c r="D993" s="31"/>
      <c r="E993" s="31"/>
      <c r="F993" s="31"/>
      <c r="G993" s="31"/>
      <c r="H993" s="31"/>
      <c r="I993" s="31"/>
      <c r="J993" s="31"/>
      <c r="K993" s="19"/>
      <c r="L993" s="19"/>
      <c r="M993" s="19"/>
      <c r="N993" s="31"/>
      <c r="O993" s="31"/>
      <c r="P993" s="31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</row>
    <row r="994" spans="1:37" ht="46.5" customHeight="1" x14ac:dyDescent="0.7">
      <c r="A994" s="19"/>
      <c r="B994" s="19"/>
      <c r="C994" s="19"/>
      <c r="D994" s="31"/>
      <c r="E994" s="31"/>
      <c r="F994" s="31"/>
      <c r="G994" s="31"/>
      <c r="H994" s="31"/>
      <c r="I994" s="31"/>
      <c r="J994" s="31"/>
      <c r="K994" s="19"/>
      <c r="L994" s="19"/>
      <c r="M994" s="19"/>
      <c r="N994" s="31"/>
      <c r="O994" s="31"/>
      <c r="P994" s="31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</row>
    <row r="995" spans="1:37" ht="46.5" customHeight="1" x14ac:dyDescent="0.7">
      <c r="A995" s="19"/>
      <c r="B995" s="19"/>
      <c r="C995" s="19"/>
      <c r="D995" s="31"/>
      <c r="E995" s="31"/>
      <c r="F995" s="31"/>
      <c r="G995" s="31"/>
      <c r="H995" s="31"/>
      <c r="I995" s="31"/>
      <c r="J995" s="31"/>
      <c r="K995" s="19"/>
      <c r="L995" s="19"/>
      <c r="M995" s="19"/>
      <c r="N995" s="31"/>
      <c r="O995" s="31"/>
      <c r="P995" s="31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</row>
    <row r="996" spans="1:37" ht="46.5" customHeight="1" x14ac:dyDescent="0.7">
      <c r="A996" s="19"/>
      <c r="B996" s="19"/>
      <c r="C996" s="19"/>
      <c r="D996" s="31"/>
      <c r="E996" s="31"/>
      <c r="F996" s="31"/>
      <c r="G996" s="31"/>
      <c r="H996" s="31"/>
      <c r="I996" s="31"/>
      <c r="J996" s="31"/>
      <c r="K996" s="19"/>
      <c r="L996" s="19"/>
      <c r="M996" s="19"/>
      <c r="N996" s="31"/>
      <c r="O996" s="31"/>
      <c r="P996" s="31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</row>
    <row r="997" spans="1:37" ht="46.5" customHeight="1" x14ac:dyDescent="0.7">
      <c r="A997" s="19"/>
      <c r="B997" s="19"/>
      <c r="C997" s="19"/>
      <c r="D997" s="31"/>
      <c r="E997" s="31"/>
      <c r="F997" s="31"/>
      <c r="G997" s="31"/>
      <c r="H997" s="31"/>
      <c r="I997" s="31"/>
      <c r="J997" s="31"/>
      <c r="K997" s="19"/>
      <c r="L997" s="19"/>
      <c r="M997" s="19"/>
      <c r="N997" s="31"/>
      <c r="O997" s="31"/>
      <c r="P997" s="31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</row>
    <row r="998" spans="1:37" ht="46.5" customHeight="1" x14ac:dyDescent="0.7">
      <c r="A998" s="19"/>
      <c r="B998" s="19"/>
      <c r="C998" s="19"/>
      <c r="D998" s="31"/>
      <c r="E998" s="31"/>
      <c r="F998" s="31"/>
      <c r="G998" s="31"/>
      <c r="H998" s="31"/>
      <c r="I998" s="31"/>
      <c r="J998" s="31"/>
      <c r="K998" s="19"/>
      <c r="L998" s="19"/>
      <c r="M998" s="19"/>
      <c r="N998" s="31"/>
      <c r="O998" s="31"/>
      <c r="P998" s="31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</row>
    <row r="999" spans="1:37" ht="46.5" customHeight="1" x14ac:dyDescent="0.7">
      <c r="A999" s="19"/>
      <c r="B999" s="19"/>
      <c r="C999" s="19"/>
      <c r="D999" s="31"/>
      <c r="E999" s="31"/>
      <c r="F999" s="31"/>
      <c r="G999" s="31"/>
      <c r="H999" s="31"/>
      <c r="I999" s="31"/>
      <c r="J999" s="31"/>
      <c r="K999" s="19"/>
      <c r="L999" s="19"/>
      <c r="M999" s="19"/>
      <c r="N999" s="31"/>
      <c r="O999" s="31"/>
      <c r="P999" s="31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</row>
    <row r="1000" spans="1:37" ht="46.5" customHeight="1" x14ac:dyDescent="0.7">
      <c r="A1000" s="19"/>
      <c r="B1000" s="19"/>
      <c r="C1000" s="19"/>
      <c r="D1000" s="31"/>
      <c r="E1000" s="31"/>
      <c r="F1000" s="31"/>
      <c r="G1000" s="31"/>
      <c r="H1000" s="31"/>
      <c r="I1000" s="31"/>
      <c r="J1000" s="31"/>
      <c r="K1000" s="19"/>
      <c r="L1000" s="19"/>
      <c r="M1000" s="19"/>
      <c r="N1000" s="31"/>
      <c r="O1000" s="31"/>
      <c r="P1000" s="31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</row>
  </sheetData>
  <mergeCells count="479">
    <mergeCell ref="D6:H6"/>
    <mergeCell ref="K6:M6"/>
    <mergeCell ref="N6:N7"/>
    <mergeCell ref="O6:O7"/>
    <mergeCell ref="P6:P7"/>
    <mergeCell ref="Q6:Q7"/>
    <mergeCell ref="A1:P5"/>
    <mergeCell ref="Q1:Q5"/>
    <mergeCell ref="B6:B7"/>
    <mergeCell ref="C6:C7"/>
    <mergeCell ref="I6:I7"/>
    <mergeCell ref="J6:J7"/>
    <mergeCell ref="A6:A7"/>
    <mergeCell ref="A8:C8"/>
    <mergeCell ref="N9:N10"/>
    <mergeCell ref="O9:O10"/>
    <mergeCell ref="P9:P10"/>
    <mergeCell ref="Q9:Q10"/>
    <mergeCell ref="G9:G10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Q11:Q12"/>
    <mergeCell ref="H11:H12"/>
    <mergeCell ref="I11:I12"/>
    <mergeCell ref="J11:J12"/>
    <mergeCell ref="K11:K12"/>
    <mergeCell ref="L11:L12"/>
    <mergeCell ref="M11:M12"/>
    <mergeCell ref="N11:N12"/>
    <mergeCell ref="O15:O16"/>
    <mergeCell ref="P15:P16"/>
    <mergeCell ref="H15:H16"/>
    <mergeCell ref="I15:I16"/>
    <mergeCell ref="J15:J16"/>
    <mergeCell ref="K15:K16"/>
    <mergeCell ref="L15:L16"/>
    <mergeCell ref="M15:M16"/>
    <mergeCell ref="N15:N16"/>
    <mergeCell ref="Q13:Q14"/>
    <mergeCell ref="Q15:Q16"/>
    <mergeCell ref="N13:N14"/>
    <mergeCell ref="A11:A12"/>
    <mergeCell ref="B11:B12"/>
    <mergeCell ref="C11:C12"/>
    <mergeCell ref="D11:D12"/>
    <mergeCell ref="E11:E12"/>
    <mergeCell ref="F11:F12"/>
    <mergeCell ref="G11:G12"/>
    <mergeCell ref="O13:O14"/>
    <mergeCell ref="P13:P14"/>
    <mergeCell ref="A13:A14"/>
    <mergeCell ref="B13:B14"/>
    <mergeCell ref="C13:C14"/>
    <mergeCell ref="D13:D14"/>
    <mergeCell ref="E13:E14"/>
    <mergeCell ref="F13:F14"/>
    <mergeCell ref="G13:G14"/>
    <mergeCell ref="O11:O12"/>
    <mergeCell ref="P11:P12"/>
    <mergeCell ref="H13:H14"/>
    <mergeCell ref="I13:I14"/>
    <mergeCell ref="J13:J14"/>
    <mergeCell ref="K13:K14"/>
    <mergeCell ref="L13:L14"/>
    <mergeCell ref="M13:M14"/>
    <mergeCell ref="A15:A16"/>
    <mergeCell ref="B15:B16"/>
    <mergeCell ref="C15:C16"/>
    <mergeCell ref="D15:D16"/>
    <mergeCell ref="E15:E16"/>
    <mergeCell ref="F15:F16"/>
    <mergeCell ref="G15:G16"/>
    <mergeCell ref="O21:O22"/>
    <mergeCell ref="P21:P22"/>
    <mergeCell ref="H21:H22"/>
    <mergeCell ref="I21:I22"/>
    <mergeCell ref="J21:J22"/>
    <mergeCell ref="K21:K22"/>
    <mergeCell ref="L21:L22"/>
    <mergeCell ref="M21:M22"/>
    <mergeCell ref="N21:N22"/>
    <mergeCell ref="O17:O18"/>
    <mergeCell ref="P17:P18"/>
    <mergeCell ref="O19:O20"/>
    <mergeCell ref="P19:P20"/>
    <mergeCell ref="A19:A20"/>
    <mergeCell ref="B19:B20"/>
    <mergeCell ref="C19:C20"/>
    <mergeCell ref="D19:D20"/>
    <mergeCell ref="Q17:Q18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E19:E20"/>
    <mergeCell ref="F19:F20"/>
    <mergeCell ref="G19:G20"/>
    <mergeCell ref="N24:N25"/>
    <mergeCell ref="O24:O25"/>
    <mergeCell ref="P24:P25"/>
    <mergeCell ref="Q24:Q25"/>
    <mergeCell ref="G24:G25"/>
    <mergeCell ref="H24:H25"/>
    <mergeCell ref="I24:I25"/>
    <mergeCell ref="J24:J25"/>
    <mergeCell ref="K24:K25"/>
    <mergeCell ref="L24:L25"/>
    <mergeCell ref="M24:M25"/>
    <mergeCell ref="Q19:Q20"/>
    <mergeCell ref="Q21:Q22"/>
    <mergeCell ref="H19:H20"/>
    <mergeCell ref="I19:I20"/>
    <mergeCell ref="J19:J20"/>
    <mergeCell ref="K19:K20"/>
    <mergeCell ref="L19:L20"/>
    <mergeCell ref="M19:M20"/>
    <mergeCell ref="N19:N20"/>
    <mergeCell ref="B21:B22"/>
    <mergeCell ref="C21:C22"/>
    <mergeCell ref="D21:D22"/>
    <mergeCell ref="E21:E22"/>
    <mergeCell ref="F21:F22"/>
    <mergeCell ref="G21:G22"/>
    <mergeCell ref="A23:C23"/>
    <mergeCell ref="A21:A22"/>
    <mergeCell ref="A24:A25"/>
    <mergeCell ref="B24:B25"/>
    <mergeCell ref="C24:C25"/>
    <mergeCell ref="D24:D25"/>
    <mergeCell ref="E24:E25"/>
    <mergeCell ref="F24:F25"/>
    <mergeCell ref="O26:O27"/>
    <mergeCell ref="P26:P27"/>
    <mergeCell ref="Q26:Q27"/>
    <mergeCell ref="H26:H27"/>
    <mergeCell ref="I26:I27"/>
    <mergeCell ref="J26:J27"/>
    <mergeCell ref="K26:K27"/>
    <mergeCell ref="L26:L27"/>
    <mergeCell ref="M26:M27"/>
    <mergeCell ref="N26:N27"/>
    <mergeCell ref="F30:F31"/>
    <mergeCell ref="G30:G31"/>
    <mergeCell ref="H30:H31"/>
    <mergeCell ref="I30:I31"/>
    <mergeCell ref="J30:J31"/>
    <mergeCell ref="K30:K31"/>
    <mergeCell ref="L30:L31"/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A30:A31"/>
    <mergeCell ref="B30:B31"/>
    <mergeCell ref="C30:C31"/>
    <mergeCell ref="D30:D31"/>
    <mergeCell ref="E30:E31"/>
    <mergeCell ref="Q32:Q33"/>
    <mergeCell ref="H32:H33"/>
    <mergeCell ref="I32:I33"/>
    <mergeCell ref="J32:J33"/>
    <mergeCell ref="K32:K33"/>
    <mergeCell ref="L32:L33"/>
    <mergeCell ref="M32:M33"/>
    <mergeCell ref="N32:N33"/>
    <mergeCell ref="O30:O31"/>
    <mergeCell ref="P30:P31"/>
    <mergeCell ref="Q30:Q31"/>
    <mergeCell ref="M30:M31"/>
    <mergeCell ref="N30:N31"/>
    <mergeCell ref="A32:A33"/>
    <mergeCell ref="B32:B33"/>
    <mergeCell ref="C32:C33"/>
    <mergeCell ref="D32:D33"/>
    <mergeCell ref="E32:E33"/>
    <mergeCell ref="F32:F33"/>
    <mergeCell ref="G32:G33"/>
    <mergeCell ref="O34:O35"/>
    <mergeCell ref="P34:P35"/>
    <mergeCell ref="O32:O33"/>
    <mergeCell ref="P32:P33"/>
    <mergeCell ref="Q34:Q35"/>
    <mergeCell ref="H34:H35"/>
    <mergeCell ref="I34:I35"/>
    <mergeCell ref="J34:J35"/>
    <mergeCell ref="K34:K35"/>
    <mergeCell ref="L34:L35"/>
    <mergeCell ref="M34:M35"/>
    <mergeCell ref="N34:N35"/>
    <mergeCell ref="A34:A35"/>
    <mergeCell ref="B34:B35"/>
    <mergeCell ref="C34:C35"/>
    <mergeCell ref="D34:D35"/>
    <mergeCell ref="E34:E35"/>
    <mergeCell ref="F34:F35"/>
    <mergeCell ref="G34:G35"/>
    <mergeCell ref="Q56:Q57"/>
    <mergeCell ref="H56:H57"/>
    <mergeCell ref="I56:I57"/>
    <mergeCell ref="J56:J57"/>
    <mergeCell ref="K56:K57"/>
    <mergeCell ref="L56:L57"/>
    <mergeCell ref="M56:M57"/>
    <mergeCell ref="N56:N57"/>
    <mergeCell ref="O60:O61"/>
    <mergeCell ref="P60:P61"/>
    <mergeCell ref="H60:H61"/>
    <mergeCell ref="I60:I61"/>
    <mergeCell ref="J60:J61"/>
    <mergeCell ref="K60:K61"/>
    <mergeCell ref="L60:L61"/>
    <mergeCell ref="M60:M61"/>
    <mergeCell ref="N60:N61"/>
    <mergeCell ref="Q58:Q59"/>
    <mergeCell ref="Q60:Q61"/>
    <mergeCell ref="N58:N59"/>
    <mergeCell ref="A56:A57"/>
    <mergeCell ref="B56:B57"/>
    <mergeCell ref="C56:C57"/>
    <mergeCell ref="D56:D57"/>
    <mergeCell ref="E56:E57"/>
    <mergeCell ref="F56:F57"/>
    <mergeCell ref="G56:G57"/>
    <mergeCell ref="O58:O59"/>
    <mergeCell ref="P58:P59"/>
    <mergeCell ref="A58:A59"/>
    <mergeCell ref="B58:B59"/>
    <mergeCell ref="C58:C59"/>
    <mergeCell ref="D58:D59"/>
    <mergeCell ref="E58:E59"/>
    <mergeCell ref="F58:F59"/>
    <mergeCell ref="G58:G59"/>
    <mergeCell ref="O56:O57"/>
    <mergeCell ref="P56:P57"/>
    <mergeCell ref="H58:H59"/>
    <mergeCell ref="I58:I59"/>
    <mergeCell ref="J58:J59"/>
    <mergeCell ref="K58:K59"/>
    <mergeCell ref="L58:L59"/>
    <mergeCell ref="M58:M59"/>
    <mergeCell ref="A60:A61"/>
    <mergeCell ref="B60:B61"/>
    <mergeCell ref="C60:C61"/>
    <mergeCell ref="D60:D61"/>
    <mergeCell ref="E60:E61"/>
    <mergeCell ref="F60:F61"/>
    <mergeCell ref="G60:G61"/>
    <mergeCell ref="O41:O42"/>
    <mergeCell ref="P41:P42"/>
    <mergeCell ref="H41:H42"/>
    <mergeCell ref="I41:I42"/>
    <mergeCell ref="J41:J42"/>
    <mergeCell ref="K41:K42"/>
    <mergeCell ref="L41:L42"/>
    <mergeCell ref="M41:M42"/>
    <mergeCell ref="N41:N42"/>
    <mergeCell ref="A41:A42"/>
    <mergeCell ref="B41:B42"/>
    <mergeCell ref="C41:C42"/>
    <mergeCell ref="D41:D42"/>
    <mergeCell ref="E41:E42"/>
    <mergeCell ref="F41:F42"/>
    <mergeCell ref="O47:O48"/>
    <mergeCell ref="P47:P48"/>
    <mergeCell ref="P36:P37"/>
    <mergeCell ref="Q36:Q37"/>
    <mergeCell ref="H36:H37"/>
    <mergeCell ref="I36:I37"/>
    <mergeCell ref="J36:J37"/>
    <mergeCell ref="K36:K37"/>
    <mergeCell ref="L36:L37"/>
    <mergeCell ref="M36:M37"/>
    <mergeCell ref="N36:N37"/>
    <mergeCell ref="B36:B37"/>
    <mergeCell ref="C36:C37"/>
    <mergeCell ref="D36:D37"/>
    <mergeCell ref="E36:E37"/>
    <mergeCell ref="F36:F37"/>
    <mergeCell ref="G36:G37"/>
    <mergeCell ref="A38:C38"/>
    <mergeCell ref="N39:N40"/>
    <mergeCell ref="O39:O40"/>
    <mergeCell ref="A36:A37"/>
    <mergeCell ref="A39:A40"/>
    <mergeCell ref="B39:B40"/>
    <mergeCell ref="C39:C40"/>
    <mergeCell ref="D39:D40"/>
    <mergeCell ref="E39:E40"/>
    <mergeCell ref="F39:F40"/>
    <mergeCell ref="O36:O37"/>
    <mergeCell ref="P39:P40"/>
    <mergeCell ref="Q39:Q40"/>
    <mergeCell ref="Q41:Q42"/>
    <mergeCell ref="G39:G40"/>
    <mergeCell ref="H39:H40"/>
    <mergeCell ref="I39:I40"/>
    <mergeCell ref="J39:J40"/>
    <mergeCell ref="K39:K40"/>
    <mergeCell ref="L39:L40"/>
    <mergeCell ref="M39:M40"/>
    <mergeCell ref="G41:G42"/>
    <mergeCell ref="Q43:Q44"/>
    <mergeCell ref="H43:H44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G43:G44"/>
    <mergeCell ref="O43:O44"/>
    <mergeCell ref="P43:P44"/>
    <mergeCell ref="Q45:Q46"/>
    <mergeCell ref="Q47:Q48"/>
    <mergeCell ref="H45:H46"/>
    <mergeCell ref="I45:I46"/>
    <mergeCell ref="J45:J46"/>
    <mergeCell ref="K45:K46"/>
    <mergeCell ref="L45:L46"/>
    <mergeCell ref="M45:M46"/>
    <mergeCell ref="N45:N46"/>
    <mergeCell ref="H47:H48"/>
    <mergeCell ref="I47:I48"/>
    <mergeCell ref="J47:J48"/>
    <mergeCell ref="K47:K48"/>
    <mergeCell ref="L47:L48"/>
    <mergeCell ref="M47:M48"/>
    <mergeCell ref="N47:N48"/>
    <mergeCell ref="O45:O46"/>
    <mergeCell ref="P45:P46"/>
    <mergeCell ref="A45:A46"/>
    <mergeCell ref="B45:B46"/>
    <mergeCell ref="C45:C46"/>
    <mergeCell ref="D45:D46"/>
    <mergeCell ref="E45:E46"/>
    <mergeCell ref="F45:F46"/>
    <mergeCell ref="G45:G46"/>
    <mergeCell ref="A47:A48"/>
    <mergeCell ref="B47:B48"/>
    <mergeCell ref="C47:C48"/>
    <mergeCell ref="D47:D48"/>
    <mergeCell ref="E47:E48"/>
    <mergeCell ref="F47:F48"/>
    <mergeCell ref="G47:G48"/>
    <mergeCell ref="Q49:Q50"/>
    <mergeCell ref="H49:H50"/>
    <mergeCell ref="I49:I50"/>
    <mergeCell ref="J49:J50"/>
    <mergeCell ref="K49:K50"/>
    <mergeCell ref="L49:L50"/>
    <mergeCell ref="M49:M50"/>
    <mergeCell ref="N49:N50"/>
    <mergeCell ref="N54:N55"/>
    <mergeCell ref="O54:O55"/>
    <mergeCell ref="H54:H55"/>
    <mergeCell ref="I54:I55"/>
    <mergeCell ref="J54:J55"/>
    <mergeCell ref="K54:K55"/>
    <mergeCell ref="L54:L55"/>
    <mergeCell ref="M54:M55"/>
    <mergeCell ref="Q51:Q52"/>
    <mergeCell ref="P54:P55"/>
    <mergeCell ref="Q54:Q55"/>
    <mergeCell ref="A49:A50"/>
    <mergeCell ref="B49:B50"/>
    <mergeCell ref="C49:C50"/>
    <mergeCell ref="D49:D50"/>
    <mergeCell ref="E49:E50"/>
    <mergeCell ref="F49:F50"/>
    <mergeCell ref="G49:G50"/>
    <mergeCell ref="O51:O52"/>
    <mergeCell ref="P51:P52"/>
    <mergeCell ref="B51:B52"/>
    <mergeCell ref="C51:C52"/>
    <mergeCell ref="D51:D52"/>
    <mergeCell ref="E51:E52"/>
    <mergeCell ref="F51:F52"/>
    <mergeCell ref="G51:G52"/>
    <mergeCell ref="O49:O50"/>
    <mergeCell ref="P49:P50"/>
    <mergeCell ref="H51:H52"/>
    <mergeCell ref="I51:I52"/>
    <mergeCell ref="J51:J52"/>
    <mergeCell ref="K51:K52"/>
    <mergeCell ref="L51:L52"/>
    <mergeCell ref="M51:M52"/>
    <mergeCell ref="N51:N52"/>
    <mergeCell ref="A53:C53"/>
    <mergeCell ref="A51:A52"/>
    <mergeCell ref="A54:A55"/>
    <mergeCell ref="B54:B55"/>
    <mergeCell ref="C54:C55"/>
    <mergeCell ref="D54:D55"/>
    <mergeCell ref="E54:E55"/>
    <mergeCell ref="F54:F55"/>
    <mergeCell ref="O66:O67"/>
    <mergeCell ref="A64:A65"/>
    <mergeCell ref="B64:B65"/>
    <mergeCell ref="C64:C65"/>
    <mergeCell ref="D64:D65"/>
    <mergeCell ref="E64:E65"/>
    <mergeCell ref="F64:F65"/>
    <mergeCell ref="G64:G65"/>
    <mergeCell ref="A66:A67"/>
    <mergeCell ref="B66:B67"/>
    <mergeCell ref="C66:C67"/>
    <mergeCell ref="D66:D67"/>
    <mergeCell ref="E66:E67"/>
    <mergeCell ref="F66:F67"/>
    <mergeCell ref="G66:G67"/>
    <mergeCell ref="G54:G55"/>
    <mergeCell ref="Q62:Q63"/>
    <mergeCell ref="H62:H63"/>
    <mergeCell ref="I62:I63"/>
    <mergeCell ref="J62:J63"/>
    <mergeCell ref="K62:K63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G62:G63"/>
    <mergeCell ref="O62:O63"/>
    <mergeCell ref="P62:P63"/>
    <mergeCell ref="A68:C68"/>
    <mergeCell ref="Q64:Q65"/>
    <mergeCell ref="Q66:Q67"/>
    <mergeCell ref="H64:H65"/>
    <mergeCell ref="I64:I65"/>
    <mergeCell ref="J64:J65"/>
    <mergeCell ref="K64:K65"/>
    <mergeCell ref="L64:L65"/>
    <mergeCell ref="M64:M65"/>
    <mergeCell ref="N64:N65"/>
    <mergeCell ref="P66:P67"/>
    <mergeCell ref="H66:H67"/>
    <mergeCell ref="I66:I67"/>
    <mergeCell ref="J66:J67"/>
    <mergeCell ref="K66:K67"/>
    <mergeCell ref="L66:L67"/>
    <mergeCell ref="M66:M67"/>
    <mergeCell ref="N66:N67"/>
    <mergeCell ref="O64:O65"/>
    <mergeCell ref="P64:P6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workbookViewId="0"/>
  </sheetViews>
  <sheetFormatPr defaultColWidth="14.42578125" defaultRowHeight="15" customHeight="1" x14ac:dyDescent="0.25"/>
  <cols>
    <col min="1" max="1" width="33.28515625" customWidth="1"/>
    <col min="2" max="2" width="21.28515625" customWidth="1"/>
    <col min="3" max="3" width="18.42578125" customWidth="1"/>
    <col min="4" max="4" width="34" hidden="1" customWidth="1"/>
    <col min="5" max="5" width="42" hidden="1" customWidth="1"/>
    <col min="6" max="6" width="37.28515625" hidden="1" customWidth="1"/>
    <col min="7" max="7" width="34" hidden="1" customWidth="1"/>
    <col min="8" max="8" width="41.42578125" hidden="1" customWidth="1"/>
    <col min="9" max="9" width="35.42578125" customWidth="1"/>
    <col min="10" max="10" width="51.42578125" customWidth="1"/>
    <col min="11" max="11" width="36.7109375" customWidth="1"/>
    <col min="12" max="12" width="36.28515625" customWidth="1"/>
    <col min="13" max="13" width="35" customWidth="1"/>
    <col min="14" max="14" width="21.7109375" customWidth="1"/>
    <col min="15" max="15" width="31.42578125" customWidth="1"/>
    <col min="16" max="16" width="23.7109375" customWidth="1"/>
    <col min="17" max="17" width="101.28515625" customWidth="1"/>
    <col min="18" max="37" width="9" customWidth="1"/>
  </cols>
  <sheetData>
    <row r="1" spans="1:37" ht="33.75" customHeight="1" x14ac:dyDescent="0.5">
      <c r="A1" s="94" t="s">
        <v>49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5"/>
      <c r="Q1" s="141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37" ht="33.75" customHeight="1" x14ac:dyDescent="0.5">
      <c r="A2" s="9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97"/>
      <c r="Q2" s="82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37" ht="33.75" customHeight="1" x14ac:dyDescent="0.5">
      <c r="A3" s="96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97"/>
      <c r="Q3" s="82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</row>
    <row r="4" spans="1:37" ht="33.75" customHeight="1" x14ac:dyDescent="0.45">
      <c r="A4" s="9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97"/>
      <c r="Q4" s="82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spans="1:37" ht="81.75" customHeight="1" x14ac:dyDescent="0.45">
      <c r="A5" s="98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99"/>
      <c r="Q5" s="85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spans="1:37" ht="49.5" customHeight="1" x14ac:dyDescent="0.45">
      <c r="A6" s="146" t="s">
        <v>1</v>
      </c>
      <c r="B6" s="142" t="s">
        <v>2</v>
      </c>
      <c r="C6" s="143" t="s">
        <v>3</v>
      </c>
      <c r="D6" s="136" t="s">
        <v>4</v>
      </c>
      <c r="E6" s="64"/>
      <c r="F6" s="64"/>
      <c r="G6" s="64"/>
      <c r="H6" s="65"/>
      <c r="I6" s="144" t="s">
        <v>5</v>
      </c>
      <c r="J6" s="145" t="s">
        <v>6</v>
      </c>
      <c r="K6" s="137" t="s">
        <v>7</v>
      </c>
      <c r="L6" s="64"/>
      <c r="M6" s="65"/>
      <c r="N6" s="138" t="s">
        <v>8</v>
      </c>
      <c r="O6" s="138" t="s">
        <v>9</v>
      </c>
      <c r="P6" s="139" t="s">
        <v>10</v>
      </c>
      <c r="Q6" s="140" t="s">
        <v>11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7" ht="117.75" customHeight="1" x14ac:dyDescent="0.45">
      <c r="A7" s="62"/>
      <c r="B7" s="62"/>
      <c r="C7" s="103"/>
      <c r="D7" s="35" t="s">
        <v>12</v>
      </c>
      <c r="E7" s="35" t="s">
        <v>13</v>
      </c>
      <c r="F7" s="35" t="s">
        <v>14</v>
      </c>
      <c r="G7" s="35" t="s">
        <v>15</v>
      </c>
      <c r="H7" s="35" t="s">
        <v>16</v>
      </c>
      <c r="I7" s="62"/>
      <c r="J7" s="106"/>
      <c r="K7" s="36" t="s">
        <v>17</v>
      </c>
      <c r="L7" s="36" t="s">
        <v>18</v>
      </c>
      <c r="M7" s="37" t="s">
        <v>19</v>
      </c>
      <c r="N7" s="62"/>
      <c r="O7" s="62"/>
      <c r="P7" s="62"/>
      <c r="Q7" s="62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spans="1:37" ht="42.75" customHeight="1" x14ac:dyDescent="0.45">
      <c r="A8" s="135" t="s">
        <v>20</v>
      </c>
      <c r="B8" s="64"/>
      <c r="C8" s="87"/>
      <c r="D8" s="38">
        <f>SUBTOTAL(9,D9:D14)</f>
        <v>6463926</v>
      </c>
      <c r="E8" s="38">
        <f>SUBTOTAL(9,E9:E14)</f>
        <v>17979360</v>
      </c>
      <c r="F8" s="38">
        <f>SUBTOTAL(9,F9:F14)</f>
        <v>78630126</v>
      </c>
      <c r="G8" s="38">
        <v>2139858</v>
      </c>
      <c r="H8" s="38">
        <f t="shared" ref="H8:P8" si="0">SUBTOTAL(9,H9:H14)</f>
        <v>32233297</v>
      </c>
      <c r="I8" s="38">
        <f t="shared" si="0"/>
        <v>120809900</v>
      </c>
      <c r="J8" s="38">
        <f t="shared" si="0"/>
        <v>137446567</v>
      </c>
      <c r="K8" s="38">
        <f t="shared" si="0"/>
        <v>0</v>
      </c>
      <c r="L8" s="38">
        <f t="shared" si="0"/>
        <v>0</v>
      </c>
      <c r="M8" s="38">
        <f t="shared" si="0"/>
        <v>0</v>
      </c>
      <c r="N8" s="38">
        <f t="shared" si="0"/>
        <v>139</v>
      </c>
      <c r="O8" s="38">
        <f t="shared" si="0"/>
        <v>4039519.5624881829</v>
      </c>
      <c r="P8" s="38">
        <f t="shared" si="0"/>
        <v>42</v>
      </c>
      <c r="Q8" s="39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spans="1:37" ht="33.75" customHeight="1" x14ac:dyDescent="0.45">
      <c r="A9" s="128">
        <v>45352</v>
      </c>
      <c r="B9" s="129" t="s">
        <v>23</v>
      </c>
      <c r="C9" s="40" t="s">
        <v>24</v>
      </c>
      <c r="D9" s="41">
        <v>117936</v>
      </c>
      <c r="E9" s="41">
        <v>15095808</v>
      </c>
      <c r="F9" s="41"/>
      <c r="G9" s="41"/>
      <c r="H9" s="41"/>
      <c r="I9" s="41">
        <v>13416000</v>
      </c>
      <c r="J9" s="41">
        <f>SUM(D9:H9)</f>
        <v>15213744</v>
      </c>
      <c r="K9" s="42"/>
      <c r="L9" s="42"/>
      <c r="M9" s="41"/>
      <c r="N9" s="41">
        <v>41</v>
      </c>
      <c r="O9" s="42">
        <f>J9/N9</f>
        <v>371066.92682926828</v>
      </c>
      <c r="P9" s="41">
        <v>2</v>
      </c>
      <c r="Q9" s="43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ht="33.75" customHeight="1" x14ac:dyDescent="0.45">
      <c r="A10" s="62"/>
      <c r="B10" s="62"/>
      <c r="C10" s="44" t="s">
        <v>22</v>
      </c>
      <c r="D10" s="41">
        <v>5828760</v>
      </c>
      <c r="E10" s="41">
        <v>2588712</v>
      </c>
      <c r="F10" s="41">
        <v>30712332</v>
      </c>
      <c r="G10" s="41">
        <v>2139858</v>
      </c>
      <c r="H10" s="41">
        <v>17321764</v>
      </c>
      <c r="I10" s="41">
        <v>51368850</v>
      </c>
      <c r="J10" s="41">
        <f>SUM(D10:H10)</f>
        <v>58591426</v>
      </c>
      <c r="K10" s="42"/>
      <c r="L10" s="42"/>
      <c r="M10" s="41"/>
      <c r="N10" s="41">
        <v>43</v>
      </c>
      <c r="O10" s="42">
        <f>J10/N10</f>
        <v>1362591.3023255814</v>
      </c>
      <c r="P10" s="41">
        <v>19</v>
      </c>
      <c r="Q10" s="43" t="s">
        <v>50</v>
      </c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33.75" customHeight="1" x14ac:dyDescent="0.45">
      <c r="A11" s="128">
        <v>45353</v>
      </c>
      <c r="B11" s="129" t="s">
        <v>25</v>
      </c>
      <c r="C11" s="129" t="s">
        <v>22</v>
      </c>
      <c r="D11" s="130"/>
      <c r="E11" s="130"/>
      <c r="F11" s="130">
        <v>33291552</v>
      </c>
      <c r="G11" s="130"/>
      <c r="H11" s="130">
        <v>5436396</v>
      </c>
      <c r="I11" s="130">
        <v>34137000</v>
      </c>
      <c r="J11" s="130">
        <f>SUM(D11:H12)</f>
        <v>38727948</v>
      </c>
      <c r="K11" s="130"/>
      <c r="L11" s="130"/>
      <c r="M11" s="130"/>
      <c r="N11" s="130">
        <v>28</v>
      </c>
      <c r="O11" s="130">
        <f>J11/N11</f>
        <v>1383141</v>
      </c>
      <c r="P11" s="130">
        <v>8</v>
      </c>
      <c r="Q11" s="130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ht="33.75" customHeight="1" x14ac:dyDescent="0.4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33.75" customHeight="1" x14ac:dyDescent="0.45">
      <c r="A13" s="128">
        <v>45354</v>
      </c>
      <c r="B13" s="129" t="s">
        <v>27</v>
      </c>
      <c r="C13" s="129" t="s">
        <v>22</v>
      </c>
      <c r="D13" s="130">
        <v>517230</v>
      </c>
      <c r="E13" s="130">
        <v>294840</v>
      </c>
      <c r="F13" s="130">
        <v>14626242</v>
      </c>
      <c r="G13" s="130"/>
      <c r="H13" s="130">
        <v>9475137</v>
      </c>
      <c r="I13" s="130">
        <v>21888050</v>
      </c>
      <c r="J13" s="130">
        <f>SUM(D13:H14)</f>
        <v>24913449</v>
      </c>
      <c r="K13" s="130"/>
      <c r="L13" s="130"/>
      <c r="M13" s="130"/>
      <c r="N13" s="130">
        <v>27</v>
      </c>
      <c r="O13" s="130">
        <f>J13/N13</f>
        <v>922720.33333333337</v>
      </c>
      <c r="P13" s="130">
        <v>13</v>
      </c>
      <c r="Q13" s="1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33.75" customHeight="1" x14ac:dyDescent="0.4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 ht="33.75" customHeight="1" x14ac:dyDescent="0.45">
      <c r="A15" s="135" t="s">
        <v>29</v>
      </c>
      <c r="B15" s="64"/>
      <c r="C15" s="65"/>
      <c r="D15" s="38">
        <f t="shared" ref="D15:P15" si="1">SUBTOTAL(9,D16:D29)</f>
        <v>2277072</v>
      </c>
      <c r="E15" s="38">
        <f t="shared" si="1"/>
        <v>13749750</v>
      </c>
      <c r="F15" s="38">
        <f t="shared" si="1"/>
        <v>199680516</v>
      </c>
      <c r="G15" s="38">
        <f t="shared" si="1"/>
        <v>41030879</v>
      </c>
      <c r="H15" s="38">
        <f t="shared" si="1"/>
        <v>55457517</v>
      </c>
      <c r="I15" s="38">
        <f t="shared" si="1"/>
        <v>274605250</v>
      </c>
      <c r="J15" s="38">
        <f t="shared" si="1"/>
        <v>312195734</v>
      </c>
      <c r="K15" s="38">
        <f t="shared" si="1"/>
        <v>0</v>
      </c>
      <c r="L15" s="38">
        <f t="shared" si="1"/>
        <v>0</v>
      </c>
      <c r="M15" s="38">
        <f t="shared" si="1"/>
        <v>0</v>
      </c>
      <c r="N15" s="38">
        <f t="shared" si="1"/>
        <v>199</v>
      </c>
      <c r="O15" s="38">
        <f t="shared" si="1"/>
        <v>11040381.109110493</v>
      </c>
      <c r="P15" s="38">
        <f t="shared" si="1"/>
        <v>78</v>
      </c>
      <c r="Q15" s="38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ht="33.75" customHeight="1" x14ac:dyDescent="0.45">
      <c r="A16" s="128">
        <v>45355</v>
      </c>
      <c r="B16" s="132" t="s">
        <v>30</v>
      </c>
      <c r="C16" s="129" t="s">
        <v>22</v>
      </c>
      <c r="D16" s="130"/>
      <c r="E16" s="130"/>
      <c r="F16" s="130"/>
      <c r="G16" s="130">
        <v>6429780</v>
      </c>
      <c r="H16" s="130">
        <v>385560</v>
      </c>
      <c r="I16" s="130">
        <v>6010000</v>
      </c>
      <c r="J16" s="130">
        <f>SUM(D16:H17)</f>
        <v>6815340</v>
      </c>
      <c r="K16" s="130"/>
      <c r="L16" s="130"/>
      <c r="M16" s="130"/>
      <c r="N16" s="130">
        <v>8</v>
      </c>
      <c r="O16" s="130">
        <f>J16/N16</f>
        <v>851917.5</v>
      </c>
      <c r="P16" s="130">
        <v>4</v>
      </c>
      <c r="Q16" s="130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33.75" customHeight="1" x14ac:dyDescent="0.4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17.25" customHeight="1" x14ac:dyDescent="0.45">
      <c r="A18" s="128">
        <v>45356</v>
      </c>
      <c r="B18" s="129" t="s">
        <v>31</v>
      </c>
      <c r="C18" s="129" t="s">
        <v>22</v>
      </c>
      <c r="D18" s="130">
        <v>306180</v>
      </c>
      <c r="E18" s="130"/>
      <c r="F18" s="130">
        <v>16909788</v>
      </c>
      <c r="G18" s="130"/>
      <c r="H18" s="130"/>
      <c r="I18" s="130">
        <v>15152000</v>
      </c>
      <c r="J18" s="130">
        <f>SUM(D18:H19)</f>
        <v>17215968</v>
      </c>
      <c r="K18" s="130"/>
      <c r="L18" s="130"/>
      <c r="M18" s="130"/>
      <c r="N18" s="130">
        <v>17</v>
      </c>
      <c r="O18" s="130">
        <f>J18/N18</f>
        <v>1012704</v>
      </c>
      <c r="P18" s="130">
        <v>6</v>
      </c>
      <c r="Q18" s="130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33.75" customHeight="1" x14ac:dyDescent="0.4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33.75" customHeight="1" x14ac:dyDescent="0.45">
      <c r="A20" s="128">
        <v>45357</v>
      </c>
      <c r="B20" s="129" t="s">
        <v>32</v>
      </c>
      <c r="C20" s="129" t="s">
        <v>22</v>
      </c>
      <c r="D20" s="130"/>
      <c r="E20" s="130"/>
      <c r="F20" s="130">
        <v>67501938</v>
      </c>
      <c r="G20" s="130"/>
      <c r="H20" s="130"/>
      <c r="I20" s="130">
        <v>59482000</v>
      </c>
      <c r="J20" s="130">
        <f>SUM(D20:H21)</f>
        <v>67501938</v>
      </c>
      <c r="K20" s="130"/>
      <c r="L20" s="130"/>
      <c r="M20" s="130"/>
      <c r="N20" s="130">
        <v>22</v>
      </c>
      <c r="O20" s="130">
        <f>J20/N20</f>
        <v>3068269.9090909092</v>
      </c>
      <c r="P20" s="130">
        <v>8</v>
      </c>
      <c r="Q20" s="1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33.75" customHeight="1" x14ac:dyDescent="0.4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ht="33.75" customHeight="1" x14ac:dyDescent="0.45">
      <c r="A22" s="128">
        <v>45358</v>
      </c>
      <c r="B22" s="129" t="s">
        <v>21</v>
      </c>
      <c r="C22" s="129" t="s">
        <v>22</v>
      </c>
      <c r="D22" s="130"/>
      <c r="E22" s="130"/>
      <c r="F22" s="130">
        <v>28803789</v>
      </c>
      <c r="G22" s="130">
        <v>9472818</v>
      </c>
      <c r="H22" s="130">
        <v>37460089</v>
      </c>
      <c r="I22" s="130">
        <v>66442950</v>
      </c>
      <c r="J22" s="130">
        <f>SUM(D22:H23)</f>
        <v>75736696</v>
      </c>
      <c r="K22" s="130"/>
      <c r="L22" s="130"/>
      <c r="M22" s="130"/>
      <c r="N22" s="130">
        <v>37</v>
      </c>
      <c r="O22" s="130">
        <f>J22/N22</f>
        <v>2046937.7297297297</v>
      </c>
      <c r="P22" s="130">
        <v>14</v>
      </c>
      <c r="Q22" s="134" t="s">
        <v>46</v>
      </c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33.75" customHeight="1" x14ac:dyDescent="0.4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17.25" customHeight="1" x14ac:dyDescent="0.45">
      <c r="A24" s="128">
        <v>45359</v>
      </c>
      <c r="B24" s="129" t="s">
        <v>23</v>
      </c>
      <c r="C24" s="129" t="s">
        <v>22</v>
      </c>
      <c r="D24" s="130">
        <v>1970892</v>
      </c>
      <c r="E24" s="130">
        <v>11595150</v>
      </c>
      <c r="F24" s="130">
        <v>36617280</v>
      </c>
      <c r="G24" s="130"/>
      <c r="H24" s="130">
        <v>3779903</v>
      </c>
      <c r="I24" s="130">
        <v>47373100</v>
      </c>
      <c r="J24" s="130">
        <f>SUM(D24:H25)</f>
        <v>53963225</v>
      </c>
      <c r="K24" s="130"/>
      <c r="L24" s="130"/>
      <c r="M24" s="130"/>
      <c r="N24" s="130">
        <v>46</v>
      </c>
      <c r="O24" s="130">
        <f>J24/N24</f>
        <v>1173113.5869565217</v>
      </c>
      <c r="P24" s="130">
        <v>29</v>
      </c>
      <c r="Q24" s="1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33.75" customHeight="1" x14ac:dyDescent="0.4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33.75" customHeight="1" x14ac:dyDescent="0.45">
      <c r="A26" s="128">
        <v>45360</v>
      </c>
      <c r="B26" s="129" t="s">
        <v>25</v>
      </c>
      <c r="C26" s="40" t="s">
        <v>24</v>
      </c>
      <c r="D26" s="41"/>
      <c r="E26" s="41"/>
      <c r="F26" s="41"/>
      <c r="G26" s="41">
        <v>578340</v>
      </c>
      <c r="H26" s="41"/>
      <c r="I26" s="41">
        <v>510000</v>
      </c>
      <c r="J26" s="41">
        <f>SUM(D26:H26)</f>
        <v>578340</v>
      </c>
      <c r="K26" s="42"/>
      <c r="L26" s="42"/>
      <c r="M26" s="41"/>
      <c r="N26" s="41">
        <v>3</v>
      </c>
      <c r="O26" s="42">
        <f>J26/N26</f>
        <v>192780</v>
      </c>
      <c r="P26" s="41">
        <v>2</v>
      </c>
      <c r="Q26" s="43" t="s">
        <v>51</v>
      </c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ht="33.75" customHeight="1" x14ac:dyDescent="0.45">
      <c r="A27" s="62"/>
      <c r="B27" s="62"/>
      <c r="C27" s="44" t="s">
        <v>22</v>
      </c>
      <c r="D27" s="41"/>
      <c r="E27" s="41">
        <v>2154600</v>
      </c>
      <c r="F27" s="41">
        <v>41280288</v>
      </c>
      <c r="G27" s="41"/>
      <c r="H27" s="41">
        <v>13831965</v>
      </c>
      <c r="I27" s="41">
        <v>50489500</v>
      </c>
      <c r="J27" s="41">
        <f>SUM(D27:H27)</f>
        <v>57266853</v>
      </c>
      <c r="K27" s="42"/>
      <c r="L27" s="42"/>
      <c r="M27" s="41"/>
      <c r="N27" s="41">
        <v>36</v>
      </c>
      <c r="O27" s="42">
        <f>J27/N27</f>
        <v>1590745.9166666667</v>
      </c>
      <c r="P27" s="41">
        <v>9</v>
      </c>
      <c r="Q27" s="43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33.75" customHeight="1" x14ac:dyDescent="0.45">
      <c r="A28" s="128">
        <v>45361</v>
      </c>
      <c r="B28" s="129" t="s">
        <v>27</v>
      </c>
      <c r="C28" s="129" t="s">
        <v>22</v>
      </c>
      <c r="D28" s="130"/>
      <c r="E28" s="130"/>
      <c r="F28" s="130">
        <v>8567433</v>
      </c>
      <c r="G28" s="130">
        <v>24549941</v>
      </c>
      <c r="H28" s="130"/>
      <c r="I28" s="130">
        <v>29145700</v>
      </c>
      <c r="J28" s="130">
        <f>SUM(D28:H29)</f>
        <v>33117374</v>
      </c>
      <c r="K28" s="130"/>
      <c r="L28" s="130"/>
      <c r="M28" s="130"/>
      <c r="N28" s="130">
        <v>30</v>
      </c>
      <c r="O28" s="130">
        <f>J28/N28</f>
        <v>1103912.4666666666</v>
      </c>
      <c r="P28" s="130">
        <v>6</v>
      </c>
      <c r="Q28" s="133" t="s">
        <v>52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33.75" customHeight="1" x14ac:dyDescent="0.4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33.75" customHeight="1" x14ac:dyDescent="0.45">
      <c r="A30" s="135" t="s">
        <v>34</v>
      </c>
      <c r="B30" s="64"/>
      <c r="C30" s="65"/>
      <c r="D30" s="38">
        <f t="shared" ref="D30:P30" si="2">SUBTOTAL(9,D31:D44)</f>
        <v>8859243</v>
      </c>
      <c r="E30" s="38">
        <f t="shared" si="2"/>
        <v>8217930</v>
      </c>
      <c r="F30" s="38">
        <f t="shared" si="2"/>
        <v>141538404</v>
      </c>
      <c r="G30" s="38">
        <f t="shared" si="2"/>
        <v>1980815</v>
      </c>
      <c r="H30" s="38">
        <f t="shared" si="2"/>
        <v>16490832</v>
      </c>
      <c r="I30" s="38">
        <f t="shared" si="2"/>
        <v>155634350</v>
      </c>
      <c r="J30" s="38">
        <f t="shared" si="2"/>
        <v>177087224</v>
      </c>
      <c r="K30" s="38">
        <f t="shared" si="2"/>
        <v>0</v>
      </c>
      <c r="L30" s="38">
        <f t="shared" si="2"/>
        <v>0</v>
      </c>
      <c r="M30" s="38">
        <f t="shared" si="2"/>
        <v>0</v>
      </c>
      <c r="N30" s="38">
        <f t="shared" si="2"/>
        <v>140</v>
      </c>
      <c r="O30" s="38">
        <f t="shared" si="2"/>
        <v>10282145.733178053</v>
      </c>
      <c r="P30" s="38">
        <f t="shared" si="2"/>
        <v>55</v>
      </c>
      <c r="Q30" s="38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spans="1:37" ht="33.75" customHeight="1" x14ac:dyDescent="0.45">
      <c r="A31" s="128">
        <v>45362</v>
      </c>
      <c r="B31" s="132" t="s">
        <v>30</v>
      </c>
      <c r="C31" s="129" t="s">
        <v>22</v>
      </c>
      <c r="D31" s="130"/>
      <c r="E31" s="130"/>
      <c r="F31" s="130">
        <v>8376900</v>
      </c>
      <c r="G31" s="130"/>
      <c r="H31" s="130"/>
      <c r="I31" s="130">
        <f>7925000-625000</f>
        <v>7300000</v>
      </c>
      <c r="J31" s="130">
        <f>SUM(D31:H32)</f>
        <v>8376900</v>
      </c>
      <c r="K31" s="130"/>
      <c r="L31" s="130"/>
      <c r="M31" s="130"/>
      <c r="N31" s="130">
        <v>6</v>
      </c>
      <c r="O31" s="130">
        <f>J31/N31</f>
        <v>1396150</v>
      </c>
      <c r="P31" s="130">
        <v>3</v>
      </c>
      <c r="Q31" s="1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spans="1:37" ht="33.75" customHeight="1" x14ac:dyDescent="0.4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spans="1:37" ht="33.75" customHeight="1" x14ac:dyDescent="0.45">
      <c r="A33" s="128">
        <v>45363</v>
      </c>
      <c r="B33" s="129" t="s">
        <v>31</v>
      </c>
      <c r="C33" s="129" t="s">
        <v>22</v>
      </c>
      <c r="D33" s="130">
        <v>359520</v>
      </c>
      <c r="E33" s="130">
        <v>3024420</v>
      </c>
      <c r="F33" s="130">
        <v>22356894</v>
      </c>
      <c r="G33" s="130"/>
      <c r="H33" s="130">
        <v>4135131</v>
      </c>
      <c r="I33" s="130">
        <v>26317500</v>
      </c>
      <c r="J33" s="130">
        <f>SUM(D33:H34)</f>
        <v>29875965</v>
      </c>
      <c r="K33" s="130"/>
      <c r="L33" s="130"/>
      <c r="M33" s="130"/>
      <c r="N33" s="130">
        <v>30</v>
      </c>
      <c r="O33" s="130">
        <f>J33/N33</f>
        <v>995865.5</v>
      </c>
      <c r="P33" s="130">
        <v>9</v>
      </c>
      <c r="Q33" s="1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spans="1:37" ht="33" customHeigh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spans="1:37" ht="33.75" customHeight="1" x14ac:dyDescent="0.45">
      <c r="A35" s="128">
        <v>45364</v>
      </c>
      <c r="B35" s="129" t="s">
        <v>32</v>
      </c>
      <c r="C35" s="129" t="s">
        <v>22</v>
      </c>
      <c r="D35" s="130"/>
      <c r="E35" s="130">
        <v>4337550</v>
      </c>
      <c r="F35" s="130">
        <v>42224490</v>
      </c>
      <c r="G35" s="130"/>
      <c r="H35" s="130"/>
      <c r="I35" s="130">
        <v>41060000</v>
      </c>
      <c r="J35" s="130">
        <f>SUM(D35:H36)</f>
        <v>46562040</v>
      </c>
      <c r="K35" s="130"/>
      <c r="L35" s="130"/>
      <c r="M35" s="130"/>
      <c r="N35" s="130">
        <v>27</v>
      </c>
      <c r="O35" s="130">
        <f>J35/N35</f>
        <v>1724520</v>
      </c>
      <c r="P35" s="130">
        <v>5</v>
      </c>
      <c r="Q35" s="1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spans="1:37" ht="33.75" customHeight="1" x14ac:dyDescent="0.4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 spans="1:37" ht="33.75" customHeight="1" x14ac:dyDescent="0.45">
      <c r="A37" s="128">
        <v>45365</v>
      </c>
      <c r="B37" s="129" t="s">
        <v>21</v>
      </c>
      <c r="C37" s="129" t="s">
        <v>22</v>
      </c>
      <c r="D37" s="130">
        <v>236775</v>
      </c>
      <c r="E37" s="130"/>
      <c r="F37" s="130">
        <v>13777680</v>
      </c>
      <c r="G37" s="130">
        <v>1633811</v>
      </c>
      <c r="H37" s="130"/>
      <c r="I37" s="130">
        <v>13735750</v>
      </c>
      <c r="J37" s="130">
        <f>SUM(D37:H38)</f>
        <v>15648266</v>
      </c>
      <c r="K37" s="130"/>
      <c r="L37" s="130"/>
      <c r="M37" s="130"/>
      <c r="N37" s="130">
        <v>14</v>
      </c>
      <c r="O37" s="130">
        <f>J37/N37</f>
        <v>1117733.2857142857</v>
      </c>
      <c r="P37" s="130">
        <v>8</v>
      </c>
      <c r="Q37" s="133" t="s">
        <v>53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 spans="1:37" ht="34.5" customHeight="1" x14ac:dyDescent="0.4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spans="1:37" ht="33.75" customHeight="1" x14ac:dyDescent="0.45">
      <c r="A39" s="128">
        <v>45366</v>
      </c>
      <c r="B39" s="129" t="s">
        <v>23</v>
      </c>
      <c r="C39" s="129" t="s">
        <v>22</v>
      </c>
      <c r="D39" s="130"/>
      <c r="E39" s="130"/>
      <c r="F39" s="130">
        <v>29075340</v>
      </c>
      <c r="G39" s="130">
        <v>347004</v>
      </c>
      <c r="H39" s="130">
        <v>12010902</v>
      </c>
      <c r="I39" s="130">
        <v>36363550</v>
      </c>
      <c r="J39" s="130">
        <f>SUM(D39:H40)</f>
        <v>41433246</v>
      </c>
      <c r="K39" s="130"/>
      <c r="L39" s="130"/>
      <c r="M39" s="130"/>
      <c r="N39" s="130">
        <v>46</v>
      </c>
      <c r="O39" s="130">
        <f>J39/N39</f>
        <v>900722.73913043481</v>
      </c>
      <c r="P39" s="130">
        <v>12</v>
      </c>
      <c r="Q39" s="134" t="s">
        <v>54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spans="1:37" ht="33" customHeight="1" x14ac:dyDescent="0.4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spans="1:37" ht="33.75" customHeight="1" x14ac:dyDescent="0.45">
      <c r="A41" s="128">
        <v>45367</v>
      </c>
      <c r="B41" s="129" t="s">
        <v>25</v>
      </c>
      <c r="C41" s="129" t="s">
        <v>22</v>
      </c>
      <c r="D41" s="130">
        <v>234228</v>
      </c>
      <c r="E41" s="130">
        <v>855960</v>
      </c>
      <c r="F41" s="130">
        <v>15633660</v>
      </c>
      <c r="G41" s="130"/>
      <c r="H41" s="130">
        <v>344799</v>
      </c>
      <c r="I41" s="130">
        <v>14977550</v>
      </c>
      <c r="J41" s="130">
        <f>SUM(D41:H42)</f>
        <v>17068647</v>
      </c>
      <c r="K41" s="130"/>
      <c r="L41" s="130"/>
      <c r="M41" s="130"/>
      <c r="N41" s="130">
        <v>8</v>
      </c>
      <c r="O41" s="130">
        <f>J41/N41</f>
        <v>2133580.875</v>
      </c>
      <c r="P41" s="130">
        <v>12</v>
      </c>
      <c r="Q41" s="130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spans="1:37" ht="33.75" customHeight="1" x14ac:dyDescent="0.4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spans="1:37" ht="33.75" customHeight="1" x14ac:dyDescent="0.45">
      <c r="A43" s="128">
        <v>45368</v>
      </c>
      <c r="B43" s="129" t="s">
        <v>27</v>
      </c>
      <c r="C43" s="129" t="s">
        <v>22</v>
      </c>
      <c r="D43" s="130">
        <v>8028720</v>
      </c>
      <c r="E43" s="130"/>
      <c r="F43" s="130">
        <v>10093440</v>
      </c>
      <c r="G43" s="130"/>
      <c r="H43" s="130"/>
      <c r="I43" s="130">
        <v>15880000</v>
      </c>
      <c r="J43" s="130">
        <f>SUM(D43:H44)</f>
        <v>18122160</v>
      </c>
      <c r="K43" s="130"/>
      <c r="L43" s="130"/>
      <c r="M43" s="130"/>
      <c r="N43" s="130">
        <v>9</v>
      </c>
      <c r="O43" s="130">
        <f>J43/N43</f>
        <v>2013573.3333333333</v>
      </c>
      <c r="P43" s="130">
        <v>6</v>
      </c>
      <c r="Q43" s="130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spans="1:37" ht="33.75" customHeight="1" x14ac:dyDescent="0.4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spans="1:37" ht="33.75" customHeight="1" x14ac:dyDescent="0.45">
      <c r="A45" s="135" t="s">
        <v>36</v>
      </c>
      <c r="B45" s="64"/>
      <c r="C45" s="65"/>
      <c r="D45" s="38">
        <f t="shared" ref="D45:P45" si="3">SUBTOTAL(9,D46:D59)</f>
        <v>22023372</v>
      </c>
      <c r="E45" s="38">
        <f t="shared" si="3"/>
        <v>19452182</v>
      </c>
      <c r="F45" s="38">
        <f t="shared" si="3"/>
        <v>106936240</v>
      </c>
      <c r="G45" s="38">
        <f t="shared" si="3"/>
        <v>51451962</v>
      </c>
      <c r="H45" s="38">
        <f t="shared" si="3"/>
        <v>51858268</v>
      </c>
      <c r="I45" s="38">
        <f t="shared" si="3"/>
        <v>221264500</v>
      </c>
      <c r="J45" s="38">
        <f t="shared" si="3"/>
        <v>251722024</v>
      </c>
      <c r="K45" s="38">
        <f t="shared" si="3"/>
        <v>0</v>
      </c>
      <c r="L45" s="38">
        <f t="shared" si="3"/>
        <v>0</v>
      </c>
      <c r="M45" s="38">
        <f t="shared" si="3"/>
        <v>0</v>
      </c>
      <c r="N45" s="38">
        <f t="shared" si="3"/>
        <v>209</v>
      </c>
      <c r="O45" s="38">
        <f t="shared" si="3"/>
        <v>8952172.6438290216</v>
      </c>
      <c r="P45" s="38">
        <f t="shared" si="3"/>
        <v>85</v>
      </c>
      <c r="Q45" s="39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spans="1:37" ht="33" customHeight="1" x14ac:dyDescent="0.45">
      <c r="A46" s="128">
        <v>45369</v>
      </c>
      <c r="B46" s="132" t="s">
        <v>30</v>
      </c>
      <c r="C46" s="129" t="s">
        <v>22</v>
      </c>
      <c r="D46" s="130">
        <v>3377220</v>
      </c>
      <c r="E46" s="130">
        <v>8155274</v>
      </c>
      <c r="F46" s="130">
        <v>12176640</v>
      </c>
      <c r="G46" s="130">
        <v>2032800</v>
      </c>
      <c r="H46" s="130">
        <v>11863681</v>
      </c>
      <c r="I46" s="130">
        <v>33053400</v>
      </c>
      <c r="J46" s="130">
        <f>SUM(D46:H47)</f>
        <v>37605615</v>
      </c>
      <c r="K46" s="130"/>
      <c r="L46" s="130"/>
      <c r="M46" s="130"/>
      <c r="N46" s="130">
        <v>26</v>
      </c>
      <c r="O46" s="130">
        <f>J46/N46</f>
        <v>1446369.8076923077</v>
      </c>
      <c r="P46" s="130">
        <v>15</v>
      </c>
      <c r="Q46" s="133" t="s">
        <v>55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spans="1:37" ht="33" customHeight="1" x14ac:dyDescent="0.4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spans="1:37" ht="33" customHeight="1" x14ac:dyDescent="0.45">
      <c r="A48" s="128">
        <v>45370</v>
      </c>
      <c r="B48" s="132" t="s">
        <v>31</v>
      </c>
      <c r="C48" s="129" t="s">
        <v>22</v>
      </c>
      <c r="D48" s="130"/>
      <c r="E48" s="130"/>
      <c r="F48" s="130">
        <v>14040897</v>
      </c>
      <c r="G48" s="130"/>
      <c r="H48" s="130">
        <v>1628991</v>
      </c>
      <c r="I48" s="130">
        <v>13793150</v>
      </c>
      <c r="J48" s="130">
        <f>SUM(D48:H49)</f>
        <v>15669888</v>
      </c>
      <c r="K48" s="130"/>
      <c r="L48" s="130"/>
      <c r="M48" s="130"/>
      <c r="N48" s="130">
        <v>12</v>
      </c>
      <c r="O48" s="130">
        <f>J48/N48</f>
        <v>1305824</v>
      </c>
      <c r="P48" s="130">
        <v>7</v>
      </c>
      <c r="Q48" s="1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spans="1:37" ht="33" customHeight="1" x14ac:dyDescent="0.4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spans="1:37" ht="33" customHeight="1" x14ac:dyDescent="0.45">
      <c r="A50" s="128">
        <v>45371</v>
      </c>
      <c r="B50" s="132" t="s">
        <v>32</v>
      </c>
      <c r="C50" s="129" t="s">
        <v>22</v>
      </c>
      <c r="D50" s="130">
        <v>3016230</v>
      </c>
      <c r="E50" s="130">
        <v>510300</v>
      </c>
      <c r="F50" s="130">
        <v>29223805</v>
      </c>
      <c r="G50" s="130">
        <v>49419162</v>
      </c>
      <c r="H50" s="130">
        <v>10693914</v>
      </c>
      <c r="I50" s="130">
        <v>81639300</v>
      </c>
      <c r="J50" s="130">
        <f>SUM(D50:H51)</f>
        <v>92863411</v>
      </c>
      <c r="K50" s="130"/>
      <c r="L50" s="130"/>
      <c r="M50" s="130"/>
      <c r="N50" s="130">
        <v>62</v>
      </c>
      <c r="O50" s="130">
        <f>J50/N50</f>
        <v>1497796.9516129033</v>
      </c>
      <c r="P50" s="130">
        <v>19</v>
      </c>
      <c r="Q50" s="133" t="s">
        <v>28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 spans="1:37" ht="33" customHeight="1" x14ac:dyDescent="0.4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 spans="1:37" ht="33" customHeight="1" x14ac:dyDescent="0.45">
      <c r="A52" s="128">
        <v>45372</v>
      </c>
      <c r="B52" s="132" t="s">
        <v>21</v>
      </c>
      <c r="C52" s="129" t="s">
        <v>22</v>
      </c>
      <c r="D52" s="130"/>
      <c r="E52" s="130">
        <v>782460</v>
      </c>
      <c r="F52" s="130">
        <v>20018019</v>
      </c>
      <c r="G52" s="130"/>
      <c r="H52" s="130">
        <v>3325455</v>
      </c>
      <c r="I52" s="130">
        <v>21133500</v>
      </c>
      <c r="J52" s="130">
        <f>SUM(D52:H53)</f>
        <v>24125934</v>
      </c>
      <c r="K52" s="130"/>
      <c r="L52" s="130"/>
      <c r="M52" s="130"/>
      <c r="N52" s="130">
        <v>20</v>
      </c>
      <c r="O52" s="130">
        <f>J52/N52</f>
        <v>1206296.7</v>
      </c>
      <c r="P52" s="130">
        <v>8</v>
      </c>
      <c r="Q52" s="1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 spans="1:37" ht="33" customHeight="1" x14ac:dyDescent="0.4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 spans="1:37" ht="48.75" customHeight="1" x14ac:dyDescent="0.45">
      <c r="A54" s="128">
        <v>45373</v>
      </c>
      <c r="B54" s="132" t="s">
        <v>23</v>
      </c>
      <c r="C54" s="40" t="s">
        <v>24</v>
      </c>
      <c r="D54" s="41"/>
      <c r="E54" s="41">
        <v>8450568</v>
      </c>
      <c r="F54" s="41"/>
      <c r="G54" s="41"/>
      <c r="H54" s="41"/>
      <c r="I54" s="41">
        <v>7452000</v>
      </c>
      <c r="J54" s="41">
        <f>SUM(D54:H54)</f>
        <v>8450568</v>
      </c>
      <c r="K54" s="43"/>
      <c r="L54" s="43"/>
      <c r="M54" s="43"/>
      <c r="N54" s="41">
        <v>23</v>
      </c>
      <c r="O54" s="41">
        <f>J54/N54</f>
        <v>367416</v>
      </c>
      <c r="P54" s="41">
        <v>1</v>
      </c>
      <c r="Q54" s="43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 spans="1:37" ht="55.5" customHeight="1" x14ac:dyDescent="0.45">
      <c r="A55" s="62"/>
      <c r="B55" s="62"/>
      <c r="C55" s="44" t="s">
        <v>22</v>
      </c>
      <c r="D55" s="41">
        <v>12682152</v>
      </c>
      <c r="E55" s="41">
        <v>158760</v>
      </c>
      <c r="F55" s="41">
        <v>21158319</v>
      </c>
      <c r="G55" s="41"/>
      <c r="H55" s="41">
        <v>9842383</v>
      </c>
      <c r="I55" s="41">
        <v>38548350</v>
      </c>
      <c r="J55" s="41">
        <f>SUM(D55:H55)</f>
        <v>43841614</v>
      </c>
      <c r="K55" s="43"/>
      <c r="L55" s="43"/>
      <c r="M55" s="43"/>
      <c r="N55" s="41">
        <v>35</v>
      </c>
      <c r="O55" s="41">
        <f>J55/N55</f>
        <v>1252617.5428571429</v>
      </c>
      <c r="P55" s="41">
        <v>18</v>
      </c>
      <c r="Q55" s="43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 spans="1:37" ht="33" customHeight="1" x14ac:dyDescent="0.45">
      <c r="A56" s="128">
        <v>45374</v>
      </c>
      <c r="B56" s="129" t="s">
        <v>25</v>
      </c>
      <c r="C56" s="129" t="s">
        <v>22</v>
      </c>
      <c r="D56" s="130">
        <v>2947770</v>
      </c>
      <c r="E56" s="130">
        <v>1394820</v>
      </c>
      <c r="F56" s="130"/>
      <c r="G56" s="130"/>
      <c r="H56" s="130">
        <v>8386894</v>
      </c>
      <c r="I56" s="130">
        <v>11220850</v>
      </c>
      <c r="J56" s="130">
        <f>SUM(D56:H57)</f>
        <v>12729484</v>
      </c>
      <c r="K56" s="130"/>
      <c r="L56" s="130"/>
      <c r="M56" s="130"/>
      <c r="N56" s="130">
        <v>15</v>
      </c>
      <c r="O56" s="130">
        <f>J56/N56</f>
        <v>848632.26666666672</v>
      </c>
      <c r="P56" s="130">
        <v>5</v>
      </c>
      <c r="Q56" s="130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 spans="1:37" ht="33" customHeight="1" x14ac:dyDescent="0.4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 spans="1:37" ht="33" customHeight="1" x14ac:dyDescent="0.45">
      <c r="A58" s="128">
        <v>45375</v>
      </c>
      <c r="B58" s="129" t="s">
        <v>27</v>
      </c>
      <c r="C58" s="129" t="s">
        <v>22</v>
      </c>
      <c r="D58" s="130"/>
      <c r="E58" s="130"/>
      <c r="F58" s="130">
        <v>10318560</v>
      </c>
      <c r="G58" s="130"/>
      <c r="H58" s="130">
        <v>6116950</v>
      </c>
      <c r="I58" s="130">
        <v>14423950</v>
      </c>
      <c r="J58" s="130">
        <f>SUM(D58:H59)</f>
        <v>16435510</v>
      </c>
      <c r="K58" s="130"/>
      <c r="L58" s="130"/>
      <c r="M58" s="130"/>
      <c r="N58" s="130">
        <v>16</v>
      </c>
      <c r="O58" s="130">
        <f>J58/N58</f>
        <v>1027219.375</v>
      </c>
      <c r="P58" s="130">
        <v>12</v>
      </c>
      <c r="Q58" s="130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 spans="1:37" ht="33" customHeight="1" x14ac:dyDescent="0.4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 spans="1:37" ht="40.5" customHeight="1" x14ac:dyDescent="0.45">
      <c r="A60" s="135" t="s">
        <v>39</v>
      </c>
      <c r="B60" s="64"/>
      <c r="C60" s="65"/>
      <c r="D60" s="38">
        <f t="shared" ref="D60:P60" si="4">SUBTOTAL(9,D61:D74)</f>
        <v>13557887</v>
      </c>
      <c r="E60" s="38">
        <f t="shared" si="4"/>
        <v>19332411</v>
      </c>
      <c r="F60" s="38">
        <f t="shared" si="4"/>
        <v>112256553</v>
      </c>
      <c r="G60" s="38">
        <f t="shared" si="4"/>
        <v>85200721</v>
      </c>
      <c r="H60" s="38">
        <f t="shared" si="4"/>
        <v>54426191</v>
      </c>
      <c r="I60" s="38">
        <f t="shared" si="4"/>
        <v>249700100</v>
      </c>
      <c r="J60" s="38">
        <f t="shared" si="4"/>
        <v>284773763</v>
      </c>
      <c r="K60" s="38">
        <f t="shared" si="4"/>
        <v>0</v>
      </c>
      <c r="L60" s="38">
        <f t="shared" si="4"/>
        <v>0</v>
      </c>
      <c r="M60" s="38">
        <f t="shared" si="4"/>
        <v>0</v>
      </c>
      <c r="N60" s="38">
        <f t="shared" si="4"/>
        <v>160</v>
      </c>
      <c r="O60" s="38">
        <f t="shared" si="4"/>
        <v>11491633.430081187</v>
      </c>
      <c r="P60" s="38">
        <f t="shared" si="4"/>
        <v>73</v>
      </c>
      <c r="Q60" s="38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 spans="1:37" ht="33.75" customHeight="1" x14ac:dyDescent="0.45">
      <c r="A61" s="128">
        <v>45376</v>
      </c>
      <c r="B61" s="132" t="s">
        <v>30</v>
      </c>
      <c r="C61" s="129" t="s">
        <v>22</v>
      </c>
      <c r="D61" s="130">
        <v>515550</v>
      </c>
      <c r="E61" s="130"/>
      <c r="F61" s="130">
        <v>18063465</v>
      </c>
      <c r="G61" s="130"/>
      <c r="H61" s="130"/>
      <c r="I61" s="130">
        <v>16335000</v>
      </c>
      <c r="J61" s="130">
        <f>SUM(D61:H62)</f>
        <v>18579015</v>
      </c>
      <c r="K61" s="130"/>
      <c r="L61" s="130"/>
      <c r="M61" s="130"/>
      <c r="N61" s="130">
        <v>16</v>
      </c>
      <c r="O61" s="130">
        <f>J61/N61</f>
        <v>1161188.4375</v>
      </c>
      <c r="P61" s="130">
        <v>8</v>
      </c>
      <c r="Q61" s="130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 spans="1:37" ht="33.75" customHeight="1" x14ac:dyDescent="0.4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 spans="1:37" ht="34.5" customHeight="1" x14ac:dyDescent="0.45">
      <c r="A63" s="128">
        <v>45377</v>
      </c>
      <c r="B63" s="132" t="s">
        <v>31</v>
      </c>
      <c r="C63" s="129" t="s">
        <v>22</v>
      </c>
      <c r="D63" s="130">
        <v>226800</v>
      </c>
      <c r="E63" s="130">
        <v>102060</v>
      </c>
      <c r="F63" s="130">
        <v>102060</v>
      </c>
      <c r="G63" s="130">
        <v>84701421</v>
      </c>
      <c r="H63" s="130">
        <v>7308630</v>
      </c>
      <c r="I63" s="130">
        <v>81031500</v>
      </c>
      <c r="J63" s="130">
        <f>SUM(D63:H64)</f>
        <v>92440971</v>
      </c>
      <c r="K63" s="130"/>
      <c r="L63" s="130"/>
      <c r="M63" s="130"/>
      <c r="N63" s="130">
        <v>47</v>
      </c>
      <c r="O63" s="130">
        <f>J63/N63</f>
        <v>1966829.1702127659</v>
      </c>
      <c r="P63" s="130">
        <v>9</v>
      </c>
      <c r="Q63" s="133" t="s">
        <v>56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 spans="1:37" ht="34.5" customHeight="1" x14ac:dyDescent="0.4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 spans="1:37" ht="33.75" customHeight="1" x14ac:dyDescent="0.45">
      <c r="A65" s="128">
        <v>45378</v>
      </c>
      <c r="B65" s="132" t="s">
        <v>32</v>
      </c>
      <c r="C65" s="129" t="s">
        <v>22</v>
      </c>
      <c r="D65" s="130"/>
      <c r="E65" s="130">
        <v>4119150</v>
      </c>
      <c r="F65" s="130">
        <v>41907865</v>
      </c>
      <c r="G65" s="130">
        <v>499300</v>
      </c>
      <c r="H65" s="130">
        <v>37039065</v>
      </c>
      <c r="I65" s="130">
        <v>73207200</v>
      </c>
      <c r="J65" s="130">
        <f>SUM(D65:H66)</f>
        <v>83565380</v>
      </c>
      <c r="K65" s="130"/>
      <c r="L65" s="130"/>
      <c r="M65" s="130"/>
      <c r="N65" s="130">
        <v>38</v>
      </c>
      <c r="O65" s="130">
        <f>J65/N65</f>
        <v>2199088.9473684211</v>
      </c>
      <c r="P65" s="130">
        <v>24</v>
      </c>
      <c r="Q65" s="133" t="s">
        <v>35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 spans="1:37" ht="33.75" customHeight="1" x14ac:dyDescent="0.4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 spans="1:37" ht="33.75" customHeight="1" x14ac:dyDescent="0.45">
      <c r="A67" s="128">
        <v>45379</v>
      </c>
      <c r="B67" s="132" t="s">
        <v>21</v>
      </c>
      <c r="C67" s="129" t="s">
        <v>22</v>
      </c>
      <c r="D67" s="130">
        <v>8135757</v>
      </c>
      <c r="E67" s="130"/>
      <c r="F67" s="130">
        <v>4911900</v>
      </c>
      <c r="G67" s="130"/>
      <c r="H67" s="130">
        <v>3701376</v>
      </c>
      <c r="I67" s="130">
        <v>14699500</v>
      </c>
      <c r="J67" s="130">
        <f>SUM(D67:H68)</f>
        <v>16749033</v>
      </c>
      <c r="K67" s="130"/>
      <c r="L67" s="130"/>
      <c r="M67" s="130"/>
      <c r="N67" s="130">
        <v>12</v>
      </c>
      <c r="O67" s="130">
        <f>J67/N67</f>
        <v>1395752.75</v>
      </c>
      <c r="P67" s="130">
        <v>7</v>
      </c>
      <c r="Q67" s="1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 spans="1:37" ht="33.75" customHeight="1" x14ac:dyDescent="0.4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 spans="1:37" ht="40.5" customHeight="1" x14ac:dyDescent="0.45">
      <c r="A69" s="128">
        <v>45380</v>
      </c>
      <c r="B69" s="132" t="s">
        <v>23</v>
      </c>
      <c r="C69" s="129" t="s">
        <v>22</v>
      </c>
      <c r="D69" s="130"/>
      <c r="E69" s="130">
        <v>15111201</v>
      </c>
      <c r="F69" s="130">
        <v>10631632</v>
      </c>
      <c r="G69" s="130"/>
      <c r="H69" s="130">
        <v>6377120</v>
      </c>
      <c r="I69" s="130">
        <v>28177900</v>
      </c>
      <c r="J69" s="130">
        <f>SUM(D69:H70)</f>
        <v>32119953</v>
      </c>
      <c r="K69" s="130"/>
      <c r="L69" s="130"/>
      <c r="M69" s="130"/>
      <c r="N69" s="130">
        <v>24</v>
      </c>
      <c r="O69" s="130">
        <f>J69/N69</f>
        <v>1338331.375</v>
      </c>
      <c r="P69" s="130">
        <v>11</v>
      </c>
      <c r="Q69" s="133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 spans="1:37" ht="40.5" customHeight="1" x14ac:dyDescent="0.4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 spans="1:37" ht="33.75" customHeight="1" x14ac:dyDescent="0.45">
      <c r="A71" s="128">
        <v>45381</v>
      </c>
      <c r="B71" s="129" t="s">
        <v>25</v>
      </c>
      <c r="C71" s="129" t="s">
        <v>22</v>
      </c>
      <c r="D71" s="130"/>
      <c r="E71" s="130"/>
      <c r="F71" s="130">
        <v>11585406</v>
      </c>
      <c r="G71" s="130"/>
      <c r="H71" s="130"/>
      <c r="I71" s="130">
        <v>10174000</v>
      </c>
      <c r="J71" s="130">
        <f>SUM(D71:H72)</f>
        <v>11585406</v>
      </c>
      <c r="K71" s="130"/>
      <c r="L71" s="130"/>
      <c r="M71" s="130"/>
      <c r="N71" s="130">
        <v>8</v>
      </c>
      <c r="O71" s="130">
        <f>J71/N71</f>
        <v>1448175.75</v>
      </c>
      <c r="P71" s="130">
        <v>6</v>
      </c>
      <c r="Q71" s="130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 spans="1:37" ht="33.75" customHeight="1" x14ac:dyDescent="0.4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 spans="1:37" ht="33.75" customHeight="1" x14ac:dyDescent="0.45">
      <c r="A73" s="128">
        <v>45382</v>
      </c>
      <c r="B73" s="129" t="s">
        <v>27</v>
      </c>
      <c r="C73" s="129" t="s">
        <v>22</v>
      </c>
      <c r="D73" s="130">
        <v>4679780</v>
      </c>
      <c r="E73" s="130"/>
      <c r="F73" s="130">
        <v>25054225</v>
      </c>
      <c r="G73" s="130"/>
      <c r="H73" s="130"/>
      <c r="I73" s="130">
        <v>26075000</v>
      </c>
      <c r="J73" s="130">
        <f>SUM(D73:H74)</f>
        <v>29734005</v>
      </c>
      <c r="K73" s="130"/>
      <c r="L73" s="130"/>
      <c r="M73" s="130"/>
      <c r="N73" s="130">
        <v>15</v>
      </c>
      <c r="O73" s="130">
        <f>J73/N73</f>
        <v>1982267</v>
      </c>
      <c r="P73" s="130">
        <v>8</v>
      </c>
      <c r="Q73" s="130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spans="1:37" ht="33.75" customHeight="1" x14ac:dyDescent="0.4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 spans="1:37" ht="43.5" customHeight="1" x14ac:dyDescent="0.45">
      <c r="A75" s="131" t="s">
        <v>40</v>
      </c>
      <c r="B75" s="64"/>
      <c r="C75" s="65"/>
      <c r="D75" s="45">
        <f t="shared" ref="D75:N75" si="5">SUBTOTAL(9,D8:D74)</f>
        <v>53181500</v>
      </c>
      <c r="E75" s="45">
        <f t="shared" si="5"/>
        <v>78731633</v>
      </c>
      <c r="F75" s="45">
        <f t="shared" si="5"/>
        <v>639041839</v>
      </c>
      <c r="G75" s="45">
        <f t="shared" si="5"/>
        <v>183944093</v>
      </c>
      <c r="H75" s="45">
        <f t="shared" si="5"/>
        <v>210466105</v>
      </c>
      <c r="I75" s="45">
        <f t="shared" si="5"/>
        <v>1022014100</v>
      </c>
      <c r="J75" s="45">
        <f t="shared" si="5"/>
        <v>1163225312</v>
      </c>
      <c r="K75" s="45">
        <f t="shared" si="5"/>
        <v>0</v>
      </c>
      <c r="L75" s="45">
        <f t="shared" si="5"/>
        <v>0</v>
      </c>
      <c r="M75" s="45">
        <f t="shared" si="5"/>
        <v>0</v>
      </c>
      <c r="N75" s="45">
        <f t="shared" si="5"/>
        <v>847</v>
      </c>
      <c r="O75" s="45">
        <f>SUBTOTAL(9,O8:O60)</f>
        <v>34314219.048605755</v>
      </c>
      <c r="P75" s="45">
        <f>SUBTOTAL(9,P8:P74)</f>
        <v>333</v>
      </c>
      <c r="Q75" s="45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 spans="1:37" ht="33.75" customHeight="1" x14ac:dyDescent="0.5">
      <c r="A76" s="33"/>
      <c r="B76" s="33"/>
      <c r="C76" s="33"/>
      <c r="D76" s="46"/>
      <c r="E76" s="46"/>
      <c r="F76" s="46"/>
      <c r="G76" s="46"/>
      <c r="H76" s="46"/>
      <c r="I76" s="46"/>
      <c r="J76" s="46"/>
      <c r="K76" s="33"/>
      <c r="L76" s="33"/>
      <c r="M76" s="33"/>
      <c r="N76" s="46"/>
      <c r="O76" s="46"/>
      <c r="P76" s="46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spans="1:37" ht="33.75" customHeight="1" x14ac:dyDescent="0.5">
      <c r="A77" s="33"/>
      <c r="B77" s="33"/>
      <c r="C77" s="33"/>
      <c r="D77" s="46"/>
      <c r="E77" s="46"/>
      <c r="F77" s="46"/>
      <c r="G77" s="46"/>
      <c r="H77" s="46"/>
      <c r="I77" s="46"/>
      <c r="J77" s="46"/>
      <c r="K77" s="33"/>
      <c r="L77" s="33"/>
      <c r="M77" s="33"/>
      <c r="N77" s="46"/>
      <c r="O77" s="46"/>
      <c r="P77" s="46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</row>
    <row r="78" spans="1:37" ht="33.75" customHeight="1" x14ac:dyDescent="0.5">
      <c r="A78" s="33"/>
      <c r="B78" s="33"/>
      <c r="C78" s="33"/>
      <c r="D78" s="46"/>
      <c r="E78" s="46"/>
      <c r="F78" s="46"/>
      <c r="G78" s="46"/>
      <c r="H78" s="46"/>
      <c r="I78" s="46"/>
      <c r="J78" s="46"/>
      <c r="K78" s="33"/>
      <c r="L78" s="33"/>
      <c r="M78" s="33"/>
      <c r="N78" s="46"/>
      <c r="O78" s="46"/>
      <c r="P78" s="46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</row>
    <row r="79" spans="1:37" ht="33.75" customHeight="1" x14ac:dyDescent="0.5">
      <c r="A79" s="33"/>
      <c r="B79" s="33"/>
      <c r="C79" s="33"/>
      <c r="D79" s="46"/>
      <c r="E79" s="46"/>
      <c r="F79" s="46"/>
      <c r="G79" s="46"/>
      <c r="H79" s="46"/>
      <c r="I79" s="46"/>
      <c r="J79" s="46"/>
      <c r="K79" s="33"/>
      <c r="L79" s="33"/>
      <c r="M79" s="33"/>
      <c r="N79" s="46"/>
      <c r="O79" s="46"/>
      <c r="P79" s="46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</row>
    <row r="80" spans="1:37" ht="33.75" customHeight="1" x14ac:dyDescent="0.5">
      <c r="A80" s="33"/>
      <c r="B80" s="33"/>
      <c r="C80" s="33"/>
      <c r="D80" s="46"/>
      <c r="E80" s="46"/>
      <c r="F80" s="46"/>
      <c r="G80" s="46"/>
      <c r="H80" s="46"/>
      <c r="I80" s="46"/>
      <c r="J80" s="46"/>
      <c r="K80" s="33"/>
      <c r="L80" s="33"/>
      <c r="M80" s="33"/>
      <c r="N80" s="46"/>
      <c r="O80" s="46"/>
      <c r="P80" s="46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</row>
    <row r="81" spans="1:37" ht="33.75" customHeight="1" x14ac:dyDescent="0.5">
      <c r="A81" s="33"/>
      <c r="B81" s="33"/>
      <c r="C81" s="33"/>
      <c r="D81" s="46"/>
      <c r="E81" s="46"/>
      <c r="F81" s="46"/>
      <c r="G81" s="46"/>
      <c r="H81" s="46"/>
      <c r="I81" s="46"/>
      <c r="J81" s="46"/>
      <c r="K81" s="33"/>
      <c r="L81" s="33"/>
      <c r="M81" s="33"/>
      <c r="N81" s="46"/>
      <c r="O81" s="46"/>
      <c r="P81" s="46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spans="1:37" ht="33.75" customHeight="1" x14ac:dyDescent="0.5">
      <c r="A82" s="33"/>
      <c r="B82" s="33"/>
      <c r="C82" s="33"/>
      <c r="D82" s="46"/>
      <c r="E82" s="46"/>
      <c r="F82" s="46"/>
      <c r="G82" s="46"/>
      <c r="H82" s="46"/>
      <c r="I82" s="46"/>
      <c r="J82" s="46"/>
      <c r="K82" s="33"/>
      <c r="L82" s="33"/>
      <c r="M82" s="33"/>
      <c r="N82" s="46"/>
      <c r="O82" s="46"/>
      <c r="P82" s="46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</row>
    <row r="83" spans="1:37" ht="33.75" customHeight="1" x14ac:dyDescent="0.5">
      <c r="A83" s="33"/>
      <c r="B83" s="33"/>
      <c r="C83" s="33"/>
      <c r="D83" s="46"/>
      <c r="E83" s="46"/>
      <c r="F83" s="46"/>
      <c r="G83" s="46"/>
      <c r="H83" s="46"/>
      <c r="I83" s="46"/>
      <c r="J83" s="46"/>
      <c r="K83" s="33"/>
      <c r="L83" s="33"/>
      <c r="M83" s="33"/>
      <c r="N83" s="46"/>
      <c r="O83" s="46"/>
      <c r="P83" s="46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</row>
    <row r="84" spans="1:37" ht="33.75" customHeight="1" x14ac:dyDescent="0.5">
      <c r="A84" s="33"/>
      <c r="B84" s="33"/>
      <c r="C84" s="33"/>
      <c r="D84" s="46"/>
      <c r="E84" s="46"/>
      <c r="F84" s="46"/>
      <c r="G84" s="46"/>
      <c r="H84" s="46"/>
      <c r="I84" s="46"/>
      <c r="J84" s="46"/>
      <c r="K84" s="33"/>
      <c r="L84" s="33"/>
      <c r="M84" s="33"/>
      <c r="N84" s="46"/>
      <c r="O84" s="46"/>
      <c r="P84" s="46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spans="1:37" ht="33.75" customHeight="1" x14ac:dyDescent="0.5">
      <c r="A85" s="33"/>
      <c r="B85" s="33"/>
      <c r="C85" s="33"/>
      <c r="D85" s="46"/>
      <c r="E85" s="46"/>
      <c r="F85" s="46"/>
      <c r="G85" s="46"/>
      <c r="H85" s="46"/>
      <c r="I85" s="46"/>
      <c r="J85" s="46"/>
      <c r="K85" s="33"/>
      <c r="L85" s="33"/>
      <c r="M85" s="33"/>
      <c r="N85" s="46"/>
      <c r="O85" s="46"/>
      <c r="P85" s="46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spans="1:37" ht="33.75" customHeight="1" x14ac:dyDescent="0.5">
      <c r="A86" s="33"/>
      <c r="B86" s="33"/>
      <c r="C86" s="33"/>
      <c r="D86" s="46"/>
      <c r="E86" s="46"/>
      <c r="F86" s="46"/>
      <c r="G86" s="46"/>
      <c r="H86" s="46"/>
      <c r="I86" s="46"/>
      <c r="J86" s="46"/>
      <c r="K86" s="33"/>
      <c r="L86" s="33"/>
      <c r="M86" s="33"/>
      <c r="N86" s="46"/>
      <c r="O86" s="46"/>
      <c r="P86" s="46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spans="1:37" ht="33.75" customHeight="1" x14ac:dyDescent="0.5">
      <c r="A87" s="33"/>
      <c r="B87" s="33"/>
      <c r="C87" s="33"/>
      <c r="D87" s="46"/>
      <c r="E87" s="46"/>
      <c r="F87" s="46"/>
      <c r="G87" s="46"/>
      <c r="H87" s="46"/>
      <c r="I87" s="46"/>
      <c r="J87" s="46"/>
      <c r="K87" s="33"/>
      <c r="L87" s="33"/>
      <c r="M87" s="33"/>
      <c r="N87" s="46"/>
      <c r="O87" s="46"/>
      <c r="P87" s="46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spans="1:37" ht="33.75" customHeight="1" x14ac:dyDescent="0.5">
      <c r="A88" s="33"/>
      <c r="B88" s="33"/>
      <c r="C88" s="33"/>
      <c r="D88" s="46"/>
      <c r="E88" s="46"/>
      <c r="F88" s="46"/>
      <c r="G88" s="46"/>
      <c r="H88" s="46"/>
      <c r="I88" s="46"/>
      <c r="J88" s="46"/>
      <c r="K88" s="33"/>
      <c r="L88" s="33"/>
      <c r="M88" s="33"/>
      <c r="N88" s="46"/>
      <c r="O88" s="46"/>
      <c r="P88" s="46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</row>
    <row r="89" spans="1:37" ht="33.75" customHeight="1" x14ac:dyDescent="0.5">
      <c r="A89" s="33"/>
      <c r="B89" s="33"/>
      <c r="C89" s="33"/>
      <c r="D89" s="46"/>
      <c r="E89" s="46"/>
      <c r="F89" s="46"/>
      <c r="G89" s="46"/>
      <c r="H89" s="46"/>
      <c r="I89" s="46"/>
      <c r="J89" s="46"/>
      <c r="K89" s="33"/>
      <c r="L89" s="33"/>
      <c r="M89" s="33"/>
      <c r="N89" s="46"/>
      <c r="O89" s="46"/>
      <c r="P89" s="46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spans="1:37" ht="33.75" customHeight="1" x14ac:dyDescent="0.5">
      <c r="A90" s="33"/>
      <c r="B90" s="33"/>
      <c r="C90" s="33"/>
      <c r="D90" s="46"/>
      <c r="E90" s="46"/>
      <c r="F90" s="46"/>
      <c r="G90" s="46"/>
      <c r="H90" s="46"/>
      <c r="I90" s="46"/>
      <c r="J90" s="46"/>
      <c r="K90" s="33"/>
      <c r="L90" s="33"/>
      <c r="M90" s="33"/>
      <c r="N90" s="46"/>
      <c r="O90" s="46"/>
      <c r="P90" s="46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spans="1:37" ht="33.75" customHeight="1" x14ac:dyDescent="0.5">
      <c r="A91" s="33"/>
      <c r="B91" s="33"/>
      <c r="C91" s="33"/>
      <c r="D91" s="46"/>
      <c r="E91" s="46"/>
      <c r="F91" s="46"/>
      <c r="G91" s="46"/>
      <c r="H91" s="46"/>
      <c r="I91" s="46"/>
      <c r="J91" s="46"/>
      <c r="K91" s="33"/>
      <c r="L91" s="33"/>
      <c r="M91" s="33"/>
      <c r="N91" s="46"/>
      <c r="O91" s="46"/>
      <c r="P91" s="46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spans="1:37" ht="33.75" customHeight="1" x14ac:dyDescent="0.5">
      <c r="A92" s="33"/>
      <c r="B92" s="33"/>
      <c r="C92" s="33"/>
      <c r="D92" s="46"/>
      <c r="E92" s="46"/>
      <c r="F92" s="46"/>
      <c r="G92" s="46"/>
      <c r="H92" s="46"/>
      <c r="I92" s="46"/>
      <c r="J92" s="46"/>
      <c r="K92" s="33"/>
      <c r="L92" s="33"/>
      <c r="M92" s="33"/>
      <c r="N92" s="46"/>
      <c r="O92" s="46"/>
      <c r="P92" s="46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spans="1:37" ht="33.75" customHeight="1" x14ac:dyDescent="0.5">
      <c r="A93" s="33"/>
      <c r="B93" s="33"/>
      <c r="C93" s="33"/>
      <c r="D93" s="46"/>
      <c r="E93" s="46"/>
      <c r="F93" s="46"/>
      <c r="G93" s="46"/>
      <c r="H93" s="46"/>
      <c r="I93" s="46"/>
      <c r="J93" s="46"/>
      <c r="K93" s="33"/>
      <c r="L93" s="33"/>
      <c r="M93" s="33"/>
      <c r="N93" s="46"/>
      <c r="O93" s="46"/>
      <c r="P93" s="46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spans="1:37" ht="33.75" customHeight="1" x14ac:dyDescent="0.5">
      <c r="A94" s="33"/>
      <c r="B94" s="33"/>
      <c r="C94" s="33"/>
      <c r="D94" s="46"/>
      <c r="E94" s="46"/>
      <c r="F94" s="46"/>
      <c r="G94" s="46"/>
      <c r="H94" s="46"/>
      <c r="I94" s="46"/>
      <c r="J94" s="46"/>
      <c r="K94" s="33"/>
      <c r="L94" s="33"/>
      <c r="M94" s="33"/>
      <c r="N94" s="46"/>
      <c r="O94" s="46"/>
      <c r="P94" s="46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spans="1:37" ht="33.75" customHeight="1" x14ac:dyDescent="0.5">
      <c r="A95" s="33"/>
      <c r="B95" s="33"/>
      <c r="C95" s="33"/>
      <c r="D95" s="46"/>
      <c r="E95" s="46"/>
      <c r="F95" s="46"/>
      <c r="G95" s="46"/>
      <c r="H95" s="46"/>
      <c r="I95" s="46"/>
      <c r="J95" s="46"/>
      <c r="K95" s="33"/>
      <c r="L95" s="33"/>
      <c r="M95" s="33"/>
      <c r="N95" s="46"/>
      <c r="O95" s="46"/>
      <c r="P95" s="46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spans="1:37" ht="33.75" customHeight="1" x14ac:dyDescent="0.5">
      <c r="A96" s="33"/>
      <c r="B96" s="33"/>
      <c r="C96" s="33"/>
      <c r="D96" s="46"/>
      <c r="E96" s="46"/>
      <c r="F96" s="46"/>
      <c r="G96" s="46"/>
      <c r="H96" s="46"/>
      <c r="I96" s="46"/>
      <c r="J96" s="46"/>
      <c r="K96" s="33"/>
      <c r="L96" s="33"/>
      <c r="M96" s="33"/>
      <c r="N96" s="46"/>
      <c r="O96" s="46"/>
      <c r="P96" s="46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spans="1:37" ht="33.75" customHeight="1" x14ac:dyDescent="0.5">
      <c r="A97" s="33"/>
      <c r="B97" s="33"/>
      <c r="C97" s="33"/>
      <c r="D97" s="46"/>
      <c r="E97" s="46"/>
      <c r="F97" s="46"/>
      <c r="G97" s="46"/>
      <c r="H97" s="46"/>
      <c r="I97" s="46"/>
      <c r="J97" s="46"/>
      <c r="K97" s="33"/>
      <c r="L97" s="33"/>
      <c r="M97" s="33"/>
      <c r="N97" s="46"/>
      <c r="O97" s="46"/>
      <c r="P97" s="46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spans="1:37" ht="33.75" customHeight="1" x14ac:dyDescent="0.5">
      <c r="A98" s="33"/>
      <c r="B98" s="33"/>
      <c r="C98" s="33"/>
      <c r="D98" s="46"/>
      <c r="E98" s="46"/>
      <c r="F98" s="46"/>
      <c r="G98" s="46"/>
      <c r="H98" s="46"/>
      <c r="I98" s="46"/>
      <c r="J98" s="46"/>
      <c r="K98" s="33"/>
      <c r="L98" s="33"/>
      <c r="M98" s="33"/>
      <c r="N98" s="46"/>
      <c r="O98" s="46"/>
      <c r="P98" s="46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spans="1:37" ht="33.75" customHeight="1" x14ac:dyDescent="0.5">
      <c r="A99" s="33"/>
      <c r="B99" s="33"/>
      <c r="C99" s="33"/>
      <c r="D99" s="46"/>
      <c r="E99" s="46"/>
      <c r="F99" s="46"/>
      <c r="G99" s="46"/>
      <c r="H99" s="46"/>
      <c r="I99" s="46"/>
      <c r="J99" s="46"/>
      <c r="K99" s="33"/>
      <c r="L99" s="33"/>
      <c r="M99" s="33"/>
      <c r="N99" s="46"/>
      <c r="O99" s="46"/>
      <c r="P99" s="46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spans="1:37" ht="33.75" customHeight="1" x14ac:dyDescent="0.5">
      <c r="A100" s="33"/>
      <c r="B100" s="33"/>
      <c r="C100" s="33"/>
      <c r="D100" s="46"/>
      <c r="E100" s="46"/>
      <c r="F100" s="46"/>
      <c r="G100" s="46"/>
      <c r="H100" s="46"/>
      <c r="I100" s="46"/>
      <c r="J100" s="46"/>
      <c r="K100" s="33"/>
      <c r="L100" s="33"/>
      <c r="M100" s="33"/>
      <c r="N100" s="46"/>
      <c r="O100" s="46"/>
      <c r="P100" s="46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1:37" ht="33.75" customHeight="1" x14ac:dyDescent="0.5">
      <c r="A101" s="33"/>
      <c r="B101" s="33"/>
      <c r="C101" s="33"/>
      <c r="D101" s="46"/>
      <c r="E101" s="46"/>
      <c r="F101" s="46"/>
      <c r="G101" s="46"/>
      <c r="H101" s="46"/>
      <c r="I101" s="46"/>
      <c r="J101" s="46"/>
      <c r="K101" s="33"/>
      <c r="L101" s="33"/>
      <c r="M101" s="33"/>
      <c r="N101" s="46"/>
      <c r="O101" s="46"/>
      <c r="P101" s="46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spans="1:37" ht="33.75" customHeight="1" x14ac:dyDescent="0.5">
      <c r="A102" s="33"/>
      <c r="B102" s="33"/>
      <c r="C102" s="33"/>
      <c r="D102" s="46"/>
      <c r="E102" s="46"/>
      <c r="F102" s="46"/>
      <c r="G102" s="46"/>
      <c r="H102" s="46"/>
      <c r="I102" s="46"/>
      <c r="J102" s="46"/>
      <c r="K102" s="33"/>
      <c r="L102" s="33"/>
      <c r="M102" s="33"/>
      <c r="N102" s="46"/>
      <c r="O102" s="46"/>
      <c r="P102" s="46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spans="1:37" ht="33.75" customHeight="1" x14ac:dyDescent="0.5">
      <c r="A103" s="33"/>
      <c r="B103" s="33"/>
      <c r="C103" s="33"/>
      <c r="D103" s="46"/>
      <c r="E103" s="46"/>
      <c r="F103" s="46"/>
      <c r="G103" s="46"/>
      <c r="H103" s="46"/>
      <c r="I103" s="46"/>
      <c r="J103" s="46"/>
      <c r="K103" s="33"/>
      <c r="L103" s="33"/>
      <c r="M103" s="33"/>
      <c r="N103" s="46"/>
      <c r="O103" s="46"/>
      <c r="P103" s="46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spans="1:37" ht="33.75" customHeight="1" x14ac:dyDescent="0.5">
      <c r="A104" s="33"/>
      <c r="B104" s="33"/>
      <c r="C104" s="33"/>
      <c r="D104" s="46"/>
      <c r="E104" s="46"/>
      <c r="F104" s="46"/>
      <c r="G104" s="46"/>
      <c r="H104" s="46"/>
      <c r="I104" s="46"/>
      <c r="J104" s="46"/>
      <c r="K104" s="33"/>
      <c r="L104" s="33"/>
      <c r="M104" s="33"/>
      <c r="N104" s="46"/>
      <c r="O104" s="46"/>
      <c r="P104" s="46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spans="1:37" ht="33.75" customHeight="1" x14ac:dyDescent="0.5">
      <c r="A105" s="33"/>
      <c r="B105" s="33"/>
      <c r="C105" s="33"/>
      <c r="D105" s="46"/>
      <c r="E105" s="46"/>
      <c r="F105" s="46"/>
      <c r="G105" s="46"/>
      <c r="H105" s="46"/>
      <c r="I105" s="46"/>
      <c r="J105" s="46"/>
      <c r="K105" s="33"/>
      <c r="L105" s="33"/>
      <c r="M105" s="33"/>
      <c r="N105" s="46"/>
      <c r="O105" s="46"/>
      <c r="P105" s="46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spans="1:37" ht="33.75" customHeight="1" x14ac:dyDescent="0.5">
      <c r="A106" s="33"/>
      <c r="B106" s="33"/>
      <c r="C106" s="33"/>
      <c r="D106" s="46"/>
      <c r="E106" s="46"/>
      <c r="F106" s="46"/>
      <c r="G106" s="46"/>
      <c r="H106" s="46"/>
      <c r="I106" s="46"/>
      <c r="J106" s="46"/>
      <c r="K106" s="33"/>
      <c r="L106" s="33"/>
      <c r="M106" s="33"/>
      <c r="N106" s="46"/>
      <c r="O106" s="46"/>
      <c r="P106" s="46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spans="1:37" ht="33.75" customHeight="1" x14ac:dyDescent="0.5">
      <c r="A107" s="33"/>
      <c r="B107" s="33"/>
      <c r="C107" s="33"/>
      <c r="D107" s="46"/>
      <c r="E107" s="46"/>
      <c r="F107" s="46"/>
      <c r="G107" s="46"/>
      <c r="H107" s="46"/>
      <c r="I107" s="46"/>
      <c r="J107" s="46"/>
      <c r="K107" s="33"/>
      <c r="L107" s="33"/>
      <c r="M107" s="33"/>
      <c r="N107" s="46"/>
      <c r="O107" s="46"/>
      <c r="P107" s="46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spans="1:37" ht="33.75" customHeight="1" x14ac:dyDescent="0.5">
      <c r="A108" s="33"/>
      <c r="B108" s="33"/>
      <c r="C108" s="33"/>
      <c r="D108" s="46"/>
      <c r="E108" s="46"/>
      <c r="F108" s="46"/>
      <c r="G108" s="46"/>
      <c r="H108" s="46"/>
      <c r="I108" s="46"/>
      <c r="J108" s="46"/>
      <c r="K108" s="33"/>
      <c r="L108" s="33"/>
      <c r="M108" s="33"/>
      <c r="N108" s="46"/>
      <c r="O108" s="46"/>
      <c r="P108" s="46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spans="1:37" ht="33.75" customHeight="1" x14ac:dyDescent="0.5">
      <c r="A109" s="33"/>
      <c r="B109" s="33"/>
      <c r="C109" s="33"/>
      <c r="D109" s="46"/>
      <c r="E109" s="46"/>
      <c r="F109" s="46"/>
      <c r="G109" s="46"/>
      <c r="H109" s="46"/>
      <c r="I109" s="46"/>
      <c r="J109" s="46"/>
      <c r="K109" s="33"/>
      <c r="L109" s="33"/>
      <c r="M109" s="33"/>
      <c r="N109" s="46"/>
      <c r="O109" s="46"/>
      <c r="P109" s="46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spans="1:37" ht="33.75" customHeight="1" x14ac:dyDescent="0.5">
      <c r="A110" s="33"/>
      <c r="B110" s="33"/>
      <c r="C110" s="33"/>
      <c r="D110" s="46"/>
      <c r="E110" s="46"/>
      <c r="F110" s="46"/>
      <c r="G110" s="46"/>
      <c r="H110" s="46"/>
      <c r="I110" s="46"/>
      <c r="J110" s="46"/>
      <c r="K110" s="33"/>
      <c r="L110" s="33"/>
      <c r="M110" s="33"/>
      <c r="N110" s="46"/>
      <c r="O110" s="46"/>
      <c r="P110" s="46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spans="1:37" ht="33.75" customHeight="1" x14ac:dyDescent="0.5">
      <c r="A111" s="33"/>
      <c r="B111" s="33"/>
      <c r="C111" s="33"/>
      <c r="D111" s="46"/>
      <c r="E111" s="46"/>
      <c r="F111" s="46"/>
      <c r="G111" s="46"/>
      <c r="H111" s="46"/>
      <c r="I111" s="46"/>
      <c r="J111" s="46"/>
      <c r="K111" s="33"/>
      <c r="L111" s="33"/>
      <c r="M111" s="33"/>
      <c r="N111" s="46"/>
      <c r="O111" s="46"/>
      <c r="P111" s="46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spans="1:37" ht="33.75" customHeight="1" x14ac:dyDescent="0.5">
      <c r="A112" s="33"/>
      <c r="B112" s="33"/>
      <c r="C112" s="33"/>
      <c r="D112" s="46"/>
      <c r="E112" s="46"/>
      <c r="F112" s="46"/>
      <c r="G112" s="46"/>
      <c r="H112" s="46"/>
      <c r="I112" s="46"/>
      <c r="J112" s="46"/>
      <c r="K112" s="33"/>
      <c r="L112" s="33"/>
      <c r="M112" s="33"/>
      <c r="N112" s="46"/>
      <c r="O112" s="46"/>
      <c r="P112" s="46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spans="1:37" ht="33.75" customHeight="1" x14ac:dyDescent="0.5">
      <c r="A113" s="33"/>
      <c r="B113" s="33"/>
      <c r="C113" s="33"/>
      <c r="D113" s="46"/>
      <c r="E113" s="46"/>
      <c r="F113" s="46"/>
      <c r="G113" s="46"/>
      <c r="H113" s="46"/>
      <c r="I113" s="46"/>
      <c r="J113" s="46"/>
      <c r="K113" s="33"/>
      <c r="L113" s="33"/>
      <c r="M113" s="33"/>
      <c r="N113" s="46"/>
      <c r="O113" s="46"/>
      <c r="P113" s="46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spans="1:37" ht="33.75" customHeight="1" x14ac:dyDescent="0.5">
      <c r="A114" s="33"/>
      <c r="B114" s="33"/>
      <c r="C114" s="33"/>
      <c r="D114" s="46"/>
      <c r="E114" s="46"/>
      <c r="F114" s="46"/>
      <c r="G114" s="46"/>
      <c r="H114" s="46"/>
      <c r="I114" s="46"/>
      <c r="J114" s="46"/>
      <c r="K114" s="33"/>
      <c r="L114" s="33"/>
      <c r="M114" s="33"/>
      <c r="N114" s="46"/>
      <c r="O114" s="46"/>
      <c r="P114" s="46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spans="1:37" ht="33.75" customHeight="1" x14ac:dyDescent="0.5">
      <c r="A115" s="33"/>
      <c r="B115" s="33"/>
      <c r="C115" s="33"/>
      <c r="D115" s="46"/>
      <c r="E115" s="46"/>
      <c r="F115" s="46"/>
      <c r="G115" s="46"/>
      <c r="H115" s="46"/>
      <c r="I115" s="46"/>
      <c r="J115" s="46"/>
      <c r="K115" s="33"/>
      <c r="L115" s="33"/>
      <c r="M115" s="33"/>
      <c r="N115" s="46"/>
      <c r="O115" s="46"/>
      <c r="P115" s="46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spans="1:37" ht="33.75" customHeight="1" x14ac:dyDescent="0.5">
      <c r="A116" s="33"/>
      <c r="B116" s="33"/>
      <c r="C116" s="33"/>
      <c r="D116" s="46"/>
      <c r="E116" s="46"/>
      <c r="F116" s="46"/>
      <c r="G116" s="46"/>
      <c r="H116" s="46"/>
      <c r="I116" s="46"/>
      <c r="J116" s="46"/>
      <c r="K116" s="33"/>
      <c r="L116" s="33"/>
      <c r="M116" s="33"/>
      <c r="N116" s="46"/>
      <c r="O116" s="46"/>
      <c r="P116" s="46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spans="1:37" ht="33.75" customHeight="1" x14ac:dyDescent="0.5">
      <c r="A117" s="33"/>
      <c r="B117" s="33"/>
      <c r="C117" s="33"/>
      <c r="D117" s="46"/>
      <c r="E117" s="46"/>
      <c r="F117" s="46"/>
      <c r="G117" s="46"/>
      <c r="H117" s="46"/>
      <c r="I117" s="46"/>
      <c r="J117" s="46"/>
      <c r="K117" s="33"/>
      <c r="L117" s="33"/>
      <c r="M117" s="33"/>
      <c r="N117" s="46"/>
      <c r="O117" s="46"/>
      <c r="P117" s="46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spans="1:37" ht="33.75" customHeight="1" x14ac:dyDescent="0.5">
      <c r="A118" s="33"/>
      <c r="B118" s="33"/>
      <c r="C118" s="33"/>
      <c r="D118" s="46"/>
      <c r="E118" s="46"/>
      <c r="F118" s="46"/>
      <c r="G118" s="46"/>
      <c r="H118" s="46"/>
      <c r="I118" s="46"/>
      <c r="J118" s="46"/>
      <c r="K118" s="33"/>
      <c r="L118" s="33"/>
      <c r="M118" s="33"/>
      <c r="N118" s="46"/>
      <c r="O118" s="46"/>
      <c r="P118" s="46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spans="1:37" ht="33.75" customHeight="1" x14ac:dyDescent="0.5">
      <c r="A119" s="33"/>
      <c r="B119" s="33"/>
      <c r="C119" s="33"/>
      <c r="D119" s="46"/>
      <c r="E119" s="46"/>
      <c r="F119" s="46"/>
      <c r="G119" s="46"/>
      <c r="H119" s="46"/>
      <c r="I119" s="46"/>
      <c r="J119" s="46"/>
      <c r="K119" s="33"/>
      <c r="L119" s="33"/>
      <c r="M119" s="33"/>
      <c r="N119" s="46"/>
      <c r="O119" s="46"/>
      <c r="P119" s="46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spans="1:37" ht="33.75" customHeight="1" x14ac:dyDescent="0.5">
      <c r="A120" s="33"/>
      <c r="B120" s="33"/>
      <c r="C120" s="33"/>
      <c r="D120" s="46"/>
      <c r="E120" s="46"/>
      <c r="F120" s="46"/>
      <c r="G120" s="46"/>
      <c r="H120" s="46"/>
      <c r="I120" s="46"/>
      <c r="J120" s="46"/>
      <c r="K120" s="33"/>
      <c r="L120" s="33"/>
      <c r="M120" s="33"/>
      <c r="N120" s="46"/>
      <c r="O120" s="46"/>
      <c r="P120" s="46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spans="1:37" ht="33.75" customHeight="1" x14ac:dyDescent="0.5">
      <c r="A121" s="33"/>
      <c r="B121" s="33"/>
      <c r="C121" s="33"/>
      <c r="D121" s="46"/>
      <c r="E121" s="46"/>
      <c r="F121" s="46"/>
      <c r="G121" s="46"/>
      <c r="H121" s="46"/>
      <c r="I121" s="46"/>
      <c r="J121" s="46"/>
      <c r="K121" s="33"/>
      <c r="L121" s="33"/>
      <c r="M121" s="33"/>
      <c r="N121" s="46"/>
      <c r="O121" s="46"/>
      <c r="P121" s="46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spans="1:37" ht="33.75" customHeight="1" x14ac:dyDescent="0.5">
      <c r="A122" s="33"/>
      <c r="B122" s="33"/>
      <c r="C122" s="33"/>
      <c r="D122" s="46"/>
      <c r="E122" s="46"/>
      <c r="F122" s="46"/>
      <c r="G122" s="46"/>
      <c r="H122" s="46"/>
      <c r="I122" s="46"/>
      <c r="J122" s="46"/>
      <c r="K122" s="33"/>
      <c r="L122" s="33"/>
      <c r="M122" s="33"/>
      <c r="N122" s="46"/>
      <c r="O122" s="46"/>
      <c r="P122" s="46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spans="1:37" ht="33.75" customHeight="1" x14ac:dyDescent="0.5">
      <c r="A123" s="33"/>
      <c r="B123" s="33"/>
      <c r="C123" s="33"/>
      <c r="D123" s="46"/>
      <c r="E123" s="46"/>
      <c r="F123" s="46"/>
      <c r="G123" s="46"/>
      <c r="H123" s="46"/>
      <c r="I123" s="46"/>
      <c r="J123" s="46"/>
      <c r="K123" s="33"/>
      <c r="L123" s="33"/>
      <c r="M123" s="33"/>
      <c r="N123" s="46"/>
      <c r="O123" s="46"/>
      <c r="P123" s="46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spans="1:37" ht="33.75" customHeight="1" x14ac:dyDescent="0.5">
      <c r="A124" s="33"/>
      <c r="B124" s="33"/>
      <c r="C124" s="33"/>
      <c r="D124" s="46"/>
      <c r="E124" s="46"/>
      <c r="F124" s="46"/>
      <c r="G124" s="46"/>
      <c r="H124" s="46"/>
      <c r="I124" s="46"/>
      <c r="J124" s="46"/>
      <c r="K124" s="33"/>
      <c r="L124" s="33"/>
      <c r="M124" s="33"/>
      <c r="N124" s="46"/>
      <c r="O124" s="46"/>
      <c r="P124" s="46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spans="1:37" ht="33.75" customHeight="1" x14ac:dyDescent="0.5">
      <c r="A125" s="33"/>
      <c r="B125" s="33"/>
      <c r="C125" s="33"/>
      <c r="D125" s="46"/>
      <c r="E125" s="46"/>
      <c r="F125" s="46"/>
      <c r="G125" s="46"/>
      <c r="H125" s="46"/>
      <c r="I125" s="46"/>
      <c r="J125" s="46"/>
      <c r="K125" s="33"/>
      <c r="L125" s="33"/>
      <c r="M125" s="33"/>
      <c r="N125" s="46"/>
      <c r="O125" s="46"/>
      <c r="P125" s="46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spans="1:37" ht="33.75" customHeight="1" x14ac:dyDescent="0.5">
      <c r="A126" s="33"/>
      <c r="B126" s="33"/>
      <c r="C126" s="33"/>
      <c r="D126" s="46"/>
      <c r="E126" s="46"/>
      <c r="F126" s="46"/>
      <c r="G126" s="46"/>
      <c r="H126" s="46"/>
      <c r="I126" s="46"/>
      <c r="J126" s="46"/>
      <c r="K126" s="33"/>
      <c r="L126" s="33"/>
      <c r="M126" s="33"/>
      <c r="N126" s="46"/>
      <c r="O126" s="46"/>
      <c r="P126" s="46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spans="1:37" ht="33.75" customHeight="1" x14ac:dyDescent="0.5">
      <c r="A127" s="33"/>
      <c r="B127" s="33"/>
      <c r="C127" s="33"/>
      <c r="D127" s="46"/>
      <c r="E127" s="46"/>
      <c r="F127" s="46"/>
      <c r="G127" s="46"/>
      <c r="H127" s="46"/>
      <c r="I127" s="46"/>
      <c r="J127" s="46"/>
      <c r="K127" s="33"/>
      <c r="L127" s="33"/>
      <c r="M127" s="33"/>
      <c r="N127" s="46"/>
      <c r="O127" s="46"/>
      <c r="P127" s="46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spans="1:37" ht="33.75" customHeight="1" x14ac:dyDescent="0.5">
      <c r="A128" s="33"/>
      <c r="B128" s="33"/>
      <c r="C128" s="33"/>
      <c r="D128" s="46"/>
      <c r="E128" s="46"/>
      <c r="F128" s="46"/>
      <c r="G128" s="46"/>
      <c r="H128" s="46"/>
      <c r="I128" s="46"/>
      <c r="J128" s="46"/>
      <c r="K128" s="33"/>
      <c r="L128" s="33"/>
      <c r="M128" s="33"/>
      <c r="N128" s="46"/>
      <c r="O128" s="46"/>
      <c r="P128" s="46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spans="1:37" ht="33.75" customHeight="1" x14ac:dyDescent="0.5">
      <c r="A129" s="33"/>
      <c r="B129" s="33"/>
      <c r="C129" s="33"/>
      <c r="D129" s="46"/>
      <c r="E129" s="46"/>
      <c r="F129" s="46"/>
      <c r="G129" s="46"/>
      <c r="H129" s="46"/>
      <c r="I129" s="46"/>
      <c r="J129" s="46"/>
      <c r="K129" s="33"/>
      <c r="L129" s="33"/>
      <c r="M129" s="33"/>
      <c r="N129" s="46"/>
      <c r="O129" s="46"/>
      <c r="P129" s="46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spans="1:37" ht="33.75" customHeight="1" x14ac:dyDescent="0.5">
      <c r="A130" s="33"/>
      <c r="B130" s="33"/>
      <c r="C130" s="33"/>
      <c r="D130" s="46"/>
      <c r="E130" s="46"/>
      <c r="F130" s="46"/>
      <c r="G130" s="46"/>
      <c r="H130" s="46"/>
      <c r="I130" s="46"/>
      <c r="J130" s="46"/>
      <c r="K130" s="33"/>
      <c r="L130" s="33"/>
      <c r="M130" s="33"/>
      <c r="N130" s="46"/>
      <c r="O130" s="46"/>
      <c r="P130" s="46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spans="1:37" ht="33.75" customHeight="1" x14ac:dyDescent="0.5">
      <c r="A131" s="33"/>
      <c r="B131" s="33"/>
      <c r="C131" s="33"/>
      <c r="D131" s="46"/>
      <c r="E131" s="46"/>
      <c r="F131" s="46"/>
      <c r="G131" s="46"/>
      <c r="H131" s="46"/>
      <c r="I131" s="46"/>
      <c r="J131" s="46"/>
      <c r="K131" s="33"/>
      <c r="L131" s="33"/>
      <c r="M131" s="33"/>
      <c r="N131" s="46"/>
      <c r="O131" s="46"/>
      <c r="P131" s="46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spans="1:37" ht="33.75" customHeight="1" x14ac:dyDescent="0.5">
      <c r="A132" s="33"/>
      <c r="B132" s="33"/>
      <c r="C132" s="33"/>
      <c r="D132" s="46"/>
      <c r="E132" s="46"/>
      <c r="F132" s="46"/>
      <c r="G132" s="46"/>
      <c r="H132" s="46"/>
      <c r="I132" s="46"/>
      <c r="J132" s="46"/>
      <c r="K132" s="33"/>
      <c r="L132" s="33"/>
      <c r="M132" s="33"/>
      <c r="N132" s="46"/>
      <c r="O132" s="46"/>
      <c r="P132" s="46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spans="1:37" ht="33.75" customHeight="1" x14ac:dyDescent="0.5">
      <c r="A133" s="33"/>
      <c r="B133" s="33"/>
      <c r="C133" s="33"/>
      <c r="D133" s="46"/>
      <c r="E133" s="46"/>
      <c r="F133" s="46"/>
      <c r="G133" s="46"/>
      <c r="H133" s="46"/>
      <c r="I133" s="46"/>
      <c r="J133" s="46"/>
      <c r="K133" s="33"/>
      <c r="L133" s="33"/>
      <c r="M133" s="33"/>
      <c r="N133" s="46"/>
      <c r="O133" s="46"/>
      <c r="P133" s="46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spans="1:37" ht="33.75" customHeight="1" x14ac:dyDescent="0.5">
      <c r="A134" s="33"/>
      <c r="B134" s="33"/>
      <c r="C134" s="33"/>
      <c r="D134" s="46"/>
      <c r="E134" s="46"/>
      <c r="F134" s="46"/>
      <c r="G134" s="46"/>
      <c r="H134" s="46"/>
      <c r="I134" s="46"/>
      <c r="J134" s="46"/>
      <c r="K134" s="33"/>
      <c r="L134" s="33"/>
      <c r="M134" s="33"/>
      <c r="N134" s="46"/>
      <c r="O134" s="46"/>
      <c r="P134" s="46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spans="1:37" ht="33.75" customHeight="1" x14ac:dyDescent="0.5">
      <c r="A135" s="33"/>
      <c r="B135" s="33"/>
      <c r="C135" s="33"/>
      <c r="D135" s="46"/>
      <c r="E135" s="46"/>
      <c r="F135" s="46"/>
      <c r="G135" s="46"/>
      <c r="H135" s="46"/>
      <c r="I135" s="46"/>
      <c r="J135" s="46"/>
      <c r="K135" s="33"/>
      <c r="L135" s="33"/>
      <c r="M135" s="33"/>
      <c r="N135" s="46"/>
      <c r="O135" s="46"/>
      <c r="P135" s="46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spans="1:37" ht="33.75" customHeight="1" x14ac:dyDescent="0.5">
      <c r="A136" s="33"/>
      <c r="B136" s="33"/>
      <c r="C136" s="33"/>
      <c r="D136" s="46"/>
      <c r="E136" s="46"/>
      <c r="F136" s="46"/>
      <c r="G136" s="46"/>
      <c r="H136" s="46"/>
      <c r="I136" s="46"/>
      <c r="J136" s="46"/>
      <c r="K136" s="33"/>
      <c r="L136" s="33"/>
      <c r="M136" s="33"/>
      <c r="N136" s="46"/>
      <c r="O136" s="46"/>
      <c r="P136" s="46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spans="1:37" ht="33.75" customHeight="1" x14ac:dyDescent="0.5">
      <c r="A137" s="33"/>
      <c r="B137" s="33"/>
      <c r="C137" s="33"/>
      <c r="D137" s="46"/>
      <c r="E137" s="46"/>
      <c r="F137" s="46"/>
      <c r="G137" s="46"/>
      <c r="H137" s="46"/>
      <c r="I137" s="46"/>
      <c r="J137" s="46"/>
      <c r="K137" s="33"/>
      <c r="L137" s="33"/>
      <c r="M137" s="33"/>
      <c r="N137" s="46"/>
      <c r="O137" s="46"/>
      <c r="P137" s="46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spans="1:37" ht="33.75" customHeight="1" x14ac:dyDescent="0.5">
      <c r="A138" s="33"/>
      <c r="B138" s="33"/>
      <c r="C138" s="33"/>
      <c r="D138" s="46"/>
      <c r="E138" s="46"/>
      <c r="F138" s="46"/>
      <c r="G138" s="46"/>
      <c r="H138" s="46"/>
      <c r="I138" s="46"/>
      <c r="J138" s="46"/>
      <c r="K138" s="33"/>
      <c r="L138" s="33"/>
      <c r="M138" s="33"/>
      <c r="N138" s="46"/>
      <c r="O138" s="46"/>
      <c r="P138" s="46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spans="1:37" ht="33.75" customHeight="1" x14ac:dyDescent="0.5">
      <c r="A139" s="33"/>
      <c r="B139" s="33"/>
      <c r="C139" s="33"/>
      <c r="D139" s="46"/>
      <c r="E139" s="46"/>
      <c r="F139" s="46"/>
      <c r="G139" s="46"/>
      <c r="H139" s="46"/>
      <c r="I139" s="46"/>
      <c r="J139" s="46"/>
      <c r="K139" s="33"/>
      <c r="L139" s="33"/>
      <c r="M139" s="33"/>
      <c r="N139" s="46"/>
      <c r="O139" s="46"/>
      <c r="P139" s="46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spans="1:37" ht="33.75" customHeight="1" x14ac:dyDescent="0.5">
      <c r="A140" s="33"/>
      <c r="B140" s="33"/>
      <c r="C140" s="33"/>
      <c r="D140" s="46"/>
      <c r="E140" s="46"/>
      <c r="F140" s="46"/>
      <c r="G140" s="46"/>
      <c r="H140" s="46"/>
      <c r="I140" s="46"/>
      <c r="J140" s="46"/>
      <c r="K140" s="33"/>
      <c r="L140" s="33"/>
      <c r="M140" s="33"/>
      <c r="N140" s="46"/>
      <c r="O140" s="46"/>
      <c r="P140" s="46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spans="1:37" ht="33.75" customHeight="1" x14ac:dyDescent="0.5">
      <c r="A141" s="33"/>
      <c r="B141" s="33"/>
      <c r="C141" s="33"/>
      <c r="D141" s="46"/>
      <c r="E141" s="46"/>
      <c r="F141" s="46"/>
      <c r="G141" s="46"/>
      <c r="H141" s="46"/>
      <c r="I141" s="46"/>
      <c r="J141" s="46"/>
      <c r="K141" s="33"/>
      <c r="L141" s="33"/>
      <c r="M141" s="33"/>
      <c r="N141" s="46"/>
      <c r="O141" s="46"/>
      <c r="P141" s="46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spans="1:37" ht="33.75" customHeight="1" x14ac:dyDescent="0.5">
      <c r="A142" s="33"/>
      <c r="B142" s="33"/>
      <c r="C142" s="33"/>
      <c r="D142" s="46"/>
      <c r="E142" s="46"/>
      <c r="F142" s="46"/>
      <c r="G142" s="46"/>
      <c r="H142" s="46"/>
      <c r="I142" s="46"/>
      <c r="J142" s="46"/>
      <c r="K142" s="33"/>
      <c r="L142" s="33"/>
      <c r="M142" s="33"/>
      <c r="N142" s="46"/>
      <c r="O142" s="46"/>
      <c r="P142" s="46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spans="1:37" ht="33.75" customHeight="1" x14ac:dyDescent="0.5">
      <c r="A143" s="33"/>
      <c r="B143" s="33"/>
      <c r="C143" s="33"/>
      <c r="D143" s="46"/>
      <c r="E143" s="46"/>
      <c r="F143" s="46"/>
      <c r="G143" s="46"/>
      <c r="H143" s="46"/>
      <c r="I143" s="46"/>
      <c r="J143" s="46"/>
      <c r="K143" s="33"/>
      <c r="L143" s="33"/>
      <c r="M143" s="33"/>
      <c r="N143" s="46"/>
      <c r="O143" s="46"/>
      <c r="P143" s="46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spans="1:37" ht="33.75" customHeight="1" x14ac:dyDescent="0.5">
      <c r="A144" s="33"/>
      <c r="B144" s="33"/>
      <c r="C144" s="33"/>
      <c r="D144" s="46"/>
      <c r="E144" s="46"/>
      <c r="F144" s="46"/>
      <c r="G144" s="46"/>
      <c r="H144" s="46"/>
      <c r="I144" s="46"/>
      <c r="J144" s="46"/>
      <c r="K144" s="33"/>
      <c r="L144" s="33"/>
      <c r="M144" s="33"/>
      <c r="N144" s="46"/>
      <c r="O144" s="46"/>
      <c r="P144" s="46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spans="1:37" ht="33.75" customHeight="1" x14ac:dyDescent="0.5">
      <c r="A145" s="33"/>
      <c r="B145" s="33"/>
      <c r="C145" s="33"/>
      <c r="D145" s="46"/>
      <c r="E145" s="46"/>
      <c r="F145" s="46"/>
      <c r="G145" s="46"/>
      <c r="H145" s="46"/>
      <c r="I145" s="46"/>
      <c r="J145" s="46"/>
      <c r="K145" s="33"/>
      <c r="L145" s="33"/>
      <c r="M145" s="33"/>
      <c r="N145" s="46"/>
      <c r="O145" s="46"/>
      <c r="P145" s="46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spans="1:37" ht="33.75" customHeight="1" x14ac:dyDescent="0.5">
      <c r="A146" s="33"/>
      <c r="B146" s="33"/>
      <c r="C146" s="33"/>
      <c r="D146" s="46"/>
      <c r="E146" s="46"/>
      <c r="F146" s="46"/>
      <c r="G146" s="46"/>
      <c r="H146" s="46"/>
      <c r="I146" s="46"/>
      <c r="J146" s="46"/>
      <c r="K146" s="33"/>
      <c r="L146" s="33"/>
      <c r="M146" s="33"/>
      <c r="N146" s="46"/>
      <c r="O146" s="46"/>
      <c r="P146" s="46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spans="1:37" ht="33.75" customHeight="1" x14ac:dyDescent="0.5">
      <c r="A147" s="33"/>
      <c r="B147" s="33"/>
      <c r="C147" s="33"/>
      <c r="D147" s="46"/>
      <c r="E147" s="46"/>
      <c r="F147" s="46"/>
      <c r="G147" s="46"/>
      <c r="H147" s="46"/>
      <c r="I147" s="46"/>
      <c r="J147" s="46"/>
      <c r="K147" s="33"/>
      <c r="L147" s="33"/>
      <c r="M147" s="33"/>
      <c r="N147" s="46"/>
      <c r="O147" s="46"/>
      <c r="P147" s="46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spans="1:37" ht="33.75" customHeight="1" x14ac:dyDescent="0.5">
      <c r="A148" s="33"/>
      <c r="B148" s="33"/>
      <c r="C148" s="33"/>
      <c r="D148" s="46"/>
      <c r="E148" s="46"/>
      <c r="F148" s="46"/>
      <c r="G148" s="46"/>
      <c r="H148" s="46"/>
      <c r="I148" s="46"/>
      <c r="J148" s="46"/>
      <c r="K148" s="33"/>
      <c r="L148" s="33"/>
      <c r="M148" s="33"/>
      <c r="N148" s="46"/>
      <c r="O148" s="46"/>
      <c r="P148" s="46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spans="1:37" ht="33.75" customHeight="1" x14ac:dyDescent="0.5">
      <c r="A149" s="33"/>
      <c r="B149" s="33"/>
      <c r="C149" s="33"/>
      <c r="D149" s="46"/>
      <c r="E149" s="46"/>
      <c r="F149" s="46"/>
      <c r="G149" s="46"/>
      <c r="H149" s="46"/>
      <c r="I149" s="46"/>
      <c r="J149" s="46"/>
      <c r="K149" s="33"/>
      <c r="L149" s="33"/>
      <c r="M149" s="33"/>
      <c r="N149" s="46"/>
      <c r="O149" s="46"/>
      <c r="P149" s="46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  <row r="150" spans="1:37" ht="33.75" customHeight="1" x14ac:dyDescent="0.5">
      <c r="A150" s="33"/>
      <c r="B150" s="33"/>
      <c r="C150" s="33"/>
      <c r="D150" s="46"/>
      <c r="E150" s="46"/>
      <c r="F150" s="46"/>
      <c r="G150" s="46"/>
      <c r="H150" s="46"/>
      <c r="I150" s="46"/>
      <c r="J150" s="46"/>
      <c r="K150" s="33"/>
      <c r="L150" s="33"/>
      <c r="M150" s="33"/>
      <c r="N150" s="46"/>
      <c r="O150" s="46"/>
      <c r="P150" s="46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</row>
    <row r="151" spans="1:37" ht="33.75" customHeight="1" x14ac:dyDescent="0.5">
      <c r="A151" s="33"/>
      <c r="B151" s="33"/>
      <c r="C151" s="33"/>
      <c r="D151" s="46"/>
      <c r="E151" s="46"/>
      <c r="F151" s="46"/>
      <c r="G151" s="46"/>
      <c r="H151" s="46"/>
      <c r="I151" s="46"/>
      <c r="J151" s="46"/>
      <c r="K151" s="33"/>
      <c r="L151" s="33"/>
      <c r="M151" s="33"/>
      <c r="N151" s="46"/>
      <c r="O151" s="46"/>
      <c r="P151" s="46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</row>
    <row r="152" spans="1:37" ht="33.75" customHeight="1" x14ac:dyDescent="0.5">
      <c r="A152" s="33"/>
      <c r="B152" s="33"/>
      <c r="C152" s="33"/>
      <c r="D152" s="46"/>
      <c r="E152" s="46"/>
      <c r="F152" s="46"/>
      <c r="G152" s="46"/>
      <c r="H152" s="46"/>
      <c r="I152" s="46"/>
      <c r="J152" s="46"/>
      <c r="K152" s="33"/>
      <c r="L152" s="33"/>
      <c r="M152" s="33"/>
      <c r="N152" s="46"/>
      <c r="O152" s="46"/>
      <c r="P152" s="46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spans="1:37" ht="33.75" customHeight="1" x14ac:dyDescent="0.5">
      <c r="A153" s="33"/>
      <c r="B153" s="33"/>
      <c r="C153" s="33"/>
      <c r="D153" s="46"/>
      <c r="E153" s="46"/>
      <c r="F153" s="46"/>
      <c r="G153" s="46"/>
      <c r="H153" s="46"/>
      <c r="I153" s="46"/>
      <c r="J153" s="46"/>
      <c r="K153" s="33"/>
      <c r="L153" s="33"/>
      <c r="M153" s="33"/>
      <c r="N153" s="46"/>
      <c r="O153" s="46"/>
      <c r="P153" s="46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</row>
    <row r="154" spans="1:37" ht="33.75" customHeight="1" x14ac:dyDescent="0.5">
      <c r="A154" s="33"/>
      <c r="B154" s="33"/>
      <c r="C154" s="33"/>
      <c r="D154" s="46"/>
      <c r="E154" s="46"/>
      <c r="F154" s="46"/>
      <c r="G154" s="46"/>
      <c r="H154" s="46"/>
      <c r="I154" s="46"/>
      <c r="J154" s="46"/>
      <c r="K154" s="33"/>
      <c r="L154" s="33"/>
      <c r="M154" s="33"/>
      <c r="N154" s="46"/>
      <c r="O154" s="46"/>
      <c r="P154" s="46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</row>
    <row r="155" spans="1:37" ht="33.75" customHeight="1" x14ac:dyDescent="0.5">
      <c r="A155" s="33"/>
      <c r="B155" s="33"/>
      <c r="C155" s="33"/>
      <c r="D155" s="46"/>
      <c r="E155" s="46"/>
      <c r="F155" s="46"/>
      <c r="G155" s="46"/>
      <c r="H155" s="46"/>
      <c r="I155" s="46"/>
      <c r="J155" s="46"/>
      <c r="K155" s="33"/>
      <c r="L155" s="33"/>
      <c r="M155" s="33"/>
      <c r="N155" s="46"/>
      <c r="O155" s="46"/>
      <c r="P155" s="46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</row>
    <row r="156" spans="1:37" ht="33.75" customHeight="1" x14ac:dyDescent="0.5">
      <c r="A156" s="33"/>
      <c r="B156" s="33"/>
      <c r="C156" s="33"/>
      <c r="D156" s="46"/>
      <c r="E156" s="46"/>
      <c r="F156" s="46"/>
      <c r="G156" s="46"/>
      <c r="H156" s="46"/>
      <c r="I156" s="46"/>
      <c r="J156" s="46"/>
      <c r="K156" s="33"/>
      <c r="L156" s="33"/>
      <c r="M156" s="33"/>
      <c r="N156" s="46"/>
      <c r="O156" s="46"/>
      <c r="P156" s="46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</row>
    <row r="157" spans="1:37" ht="33.75" customHeight="1" x14ac:dyDescent="0.5">
      <c r="A157" s="33"/>
      <c r="B157" s="33"/>
      <c r="C157" s="33"/>
      <c r="D157" s="46"/>
      <c r="E157" s="46"/>
      <c r="F157" s="46"/>
      <c r="G157" s="46"/>
      <c r="H157" s="46"/>
      <c r="I157" s="46"/>
      <c r="J157" s="46"/>
      <c r="K157" s="33"/>
      <c r="L157" s="33"/>
      <c r="M157" s="33"/>
      <c r="N157" s="46"/>
      <c r="O157" s="46"/>
      <c r="P157" s="46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</row>
    <row r="158" spans="1:37" ht="33.75" customHeight="1" x14ac:dyDescent="0.5">
      <c r="A158" s="33"/>
      <c r="B158" s="33"/>
      <c r="C158" s="33"/>
      <c r="D158" s="46"/>
      <c r="E158" s="46"/>
      <c r="F158" s="46"/>
      <c r="G158" s="46"/>
      <c r="H158" s="46"/>
      <c r="I158" s="46"/>
      <c r="J158" s="46"/>
      <c r="K158" s="33"/>
      <c r="L158" s="33"/>
      <c r="M158" s="33"/>
      <c r="N158" s="46"/>
      <c r="O158" s="46"/>
      <c r="P158" s="46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</row>
    <row r="159" spans="1:37" ht="33.75" customHeight="1" x14ac:dyDescent="0.5">
      <c r="A159" s="33"/>
      <c r="B159" s="33"/>
      <c r="C159" s="33"/>
      <c r="D159" s="46"/>
      <c r="E159" s="46"/>
      <c r="F159" s="46"/>
      <c r="G159" s="46"/>
      <c r="H159" s="46"/>
      <c r="I159" s="46"/>
      <c r="J159" s="46"/>
      <c r="K159" s="33"/>
      <c r="L159" s="33"/>
      <c r="M159" s="33"/>
      <c r="N159" s="46"/>
      <c r="O159" s="46"/>
      <c r="P159" s="46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spans="1:37" ht="33.75" customHeight="1" x14ac:dyDescent="0.5">
      <c r="A160" s="33"/>
      <c r="B160" s="33"/>
      <c r="C160" s="33"/>
      <c r="D160" s="46"/>
      <c r="E160" s="46"/>
      <c r="F160" s="46"/>
      <c r="G160" s="46"/>
      <c r="H160" s="46"/>
      <c r="I160" s="46"/>
      <c r="J160" s="46"/>
      <c r="K160" s="33"/>
      <c r="L160" s="33"/>
      <c r="M160" s="33"/>
      <c r="N160" s="46"/>
      <c r="O160" s="46"/>
      <c r="P160" s="46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</row>
    <row r="161" spans="1:37" ht="33.75" customHeight="1" x14ac:dyDescent="0.5">
      <c r="A161" s="33"/>
      <c r="B161" s="33"/>
      <c r="C161" s="33"/>
      <c r="D161" s="46"/>
      <c r="E161" s="46"/>
      <c r="F161" s="46"/>
      <c r="G161" s="46"/>
      <c r="H161" s="46"/>
      <c r="I161" s="46"/>
      <c r="J161" s="46"/>
      <c r="K161" s="33"/>
      <c r="L161" s="33"/>
      <c r="M161" s="33"/>
      <c r="N161" s="46"/>
      <c r="O161" s="46"/>
      <c r="P161" s="46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</row>
    <row r="162" spans="1:37" ht="33.75" customHeight="1" x14ac:dyDescent="0.5">
      <c r="A162" s="33"/>
      <c r="B162" s="33"/>
      <c r="C162" s="33"/>
      <c r="D162" s="46"/>
      <c r="E162" s="46"/>
      <c r="F162" s="46"/>
      <c r="G162" s="46"/>
      <c r="H162" s="46"/>
      <c r="I162" s="46"/>
      <c r="J162" s="46"/>
      <c r="K162" s="33"/>
      <c r="L162" s="33"/>
      <c r="M162" s="33"/>
      <c r="N162" s="46"/>
      <c r="O162" s="46"/>
      <c r="P162" s="46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</row>
    <row r="163" spans="1:37" ht="33.75" customHeight="1" x14ac:dyDescent="0.5">
      <c r="A163" s="33"/>
      <c r="B163" s="33"/>
      <c r="C163" s="33"/>
      <c r="D163" s="46"/>
      <c r="E163" s="46"/>
      <c r="F163" s="46"/>
      <c r="G163" s="46"/>
      <c r="H163" s="46"/>
      <c r="I163" s="46"/>
      <c r="J163" s="46"/>
      <c r="K163" s="33"/>
      <c r="L163" s="33"/>
      <c r="M163" s="33"/>
      <c r="N163" s="46"/>
      <c r="O163" s="46"/>
      <c r="P163" s="46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spans="1:37" ht="33.75" customHeight="1" x14ac:dyDescent="0.5">
      <c r="A164" s="33"/>
      <c r="B164" s="33"/>
      <c r="C164" s="33"/>
      <c r="D164" s="46"/>
      <c r="E164" s="46"/>
      <c r="F164" s="46"/>
      <c r="G164" s="46"/>
      <c r="H164" s="46"/>
      <c r="I164" s="46"/>
      <c r="J164" s="46"/>
      <c r="K164" s="33"/>
      <c r="L164" s="33"/>
      <c r="M164" s="33"/>
      <c r="N164" s="46"/>
      <c r="O164" s="46"/>
      <c r="P164" s="46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</row>
    <row r="165" spans="1:37" ht="33.75" customHeight="1" x14ac:dyDescent="0.5">
      <c r="A165" s="33"/>
      <c r="B165" s="33"/>
      <c r="C165" s="33"/>
      <c r="D165" s="46"/>
      <c r="E165" s="46"/>
      <c r="F165" s="46"/>
      <c r="G165" s="46"/>
      <c r="H165" s="46"/>
      <c r="I165" s="46"/>
      <c r="J165" s="46"/>
      <c r="K165" s="33"/>
      <c r="L165" s="33"/>
      <c r="M165" s="33"/>
      <c r="N165" s="46"/>
      <c r="O165" s="46"/>
      <c r="P165" s="46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</row>
    <row r="166" spans="1:37" ht="33.75" customHeight="1" x14ac:dyDescent="0.5">
      <c r="A166" s="33"/>
      <c r="B166" s="33"/>
      <c r="C166" s="33"/>
      <c r="D166" s="46"/>
      <c r="E166" s="46"/>
      <c r="F166" s="46"/>
      <c r="G166" s="46"/>
      <c r="H166" s="46"/>
      <c r="I166" s="46"/>
      <c r="J166" s="46"/>
      <c r="K166" s="33"/>
      <c r="L166" s="33"/>
      <c r="M166" s="33"/>
      <c r="N166" s="46"/>
      <c r="O166" s="46"/>
      <c r="P166" s="46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</row>
    <row r="167" spans="1:37" ht="33.75" customHeight="1" x14ac:dyDescent="0.5">
      <c r="A167" s="33"/>
      <c r="B167" s="33"/>
      <c r="C167" s="33"/>
      <c r="D167" s="46"/>
      <c r="E167" s="46"/>
      <c r="F167" s="46"/>
      <c r="G167" s="46"/>
      <c r="H167" s="46"/>
      <c r="I167" s="46"/>
      <c r="J167" s="46"/>
      <c r="K167" s="33"/>
      <c r="L167" s="33"/>
      <c r="M167" s="33"/>
      <c r="N167" s="46"/>
      <c r="O167" s="46"/>
      <c r="P167" s="46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spans="1:37" ht="33.75" customHeight="1" x14ac:dyDescent="0.5">
      <c r="A168" s="33"/>
      <c r="B168" s="33"/>
      <c r="C168" s="33"/>
      <c r="D168" s="46"/>
      <c r="E168" s="46"/>
      <c r="F168" s="46"/>
      <c r="G168" s="46"/>
      <c r="H168" s="46"/>
      <c r="I168" s="46"/>
      <c r="J168" s="46"/>
      <c r="K168" s="33"/>
      <c r="L168" s="33"/>
      <c r="M168" s="33"/>
      <c r="N168" s="46"/>
      <c r="O168" s="46"/>
      <c r="P168" s="46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</row>
    <row r="169" spans="1:37" ht="33.75" customHeight="1" x14ac:dyDescent="0.5">
      <c r="A169" s="33"/>
      <c r="B169" s="33"/>
      <c r="C169" s="33"/>
      <c r="D169" s="46"/>
      <c r="E169" s="46"/>
      <c r="F169" s="46"/>
      <c r="G169" s="46"/>
      <c r="H169" s="46"/>
      <c r="I169" s="46"/>
      <c r="J169" s="46"/>
      <c r="K169" s="33"/>
      <c r="L169" s="33"/>
      <c r="M169" s="33"/>
      <c r="N169" s="46"/>
      <c r="O169" s="46"/>
      <c r="P169" s="46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</row>
    <row r="170" spans="1:37" ht="33.75" customHeight="1" x14ac:dyDescent="0.5">
      <c r="A170" s="33"/>
      <c r="B170" s="33"/>
      <c r="C170" s="33"/>
      <c r="D170" s="46"/>
      <c r="E170" s="46"/>
      <c r="F170" s="46"/>
      <c r="G170" s="46"/>
      <c r="H170" s="46"/>
      <c r="I170" s="46"/>
      <c r="J170" s="46"/>
      <c r="K170" s="33"/>
      <c r="L170" s="33"/>
      <c r="M170" s="33"/>
      <c r="N170" s="46"/>
      <c r="O170" s="46"/>
      <c r="P170" s="46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</row>
    <row r="171" spans="1:37" ht="33.75" customHeight="1" x14ac:dyDescent="0.5">
      <c r="A171" s="33"/>
      <c r="B171" s="33"/>
      <c r="C171" s="33"/>
      <c r="D171" s="46"/>
      <c r="E171" s="46"/>
      <c r="F171" s="46"/>
      <c r="G171" s="46"/>
      <c r="H171" s="46"/>
      <c r="I171" s="46"/>
      <c r="J171" s="46"/>
      <c r="K171" s="33"/>
      <c r="L171" s="33"/>
      <c r="M171" s="33"/>
      <c r="N171" s="46"/>
      <c r="O171" s="46"/>
      <c r="P171" s="46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</row>
    <row r="172" spans="1:37" ht="33.75" customHeight="1" x14ac:dyDescent="0.5">
      <c r="A172" s="33"/>
      <c r="B172" s="33"/>
      <c r="C172" s="33"/>
      <c r="D172" s="46"/>
      <c r="E172" s="46"/>
      <c r="F172" s="46"/>
      <c r="G172" s="46"/>
      <c r="H172" s="46"/>
      <c r="I172" s="46"/>
      <c r="J172" s="46"/>
      <c r="K172" s="33"/>
      <c r="L172" s="33"/>
      <c r="M172" s="33"/>
      <c r="N172" s="46"/>
      <c r="O172" s="46"/>
      <c r="P172" s="46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</row>
    <row r="173" spans="1:37" ht="33.75" customHeight="1" x14ac:dyDescent="0.5">
      <c r="A173" s="33"/>
      <c r="B173" s="33"/>
      <c r="C173" s="33"/>
      <c r="D173" s="46"/>
      <c r="E173" s="46"/>
      <c r="F173" s="46"/>
      <c r="G173" s="46"/>
      <c r="H173" s="46"/>
      <c r="I173" s="46"/>
      <c r="J173" s="46"/>
      <c r="K173" s="33"/>
      <c r="L173" s="33"/>
      <c r="M173" s="33"/>
      <c r="N173" s="46"/>
      <c r="O173" s="46"/>
      <c r="P173" s="46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</row>
    <row r="174" spans="1:37" ht="33.75" customHeight="1" x14ac:dyDescent="0.5">
      <c r="A174" s="33"/>
      <c r="B174" s="33"/>
      <c r="C174" s="33"/>
      <c r="D174" s="46"/>
      <c r="E174" s="46"/>
      <c r="F174" s="46"/>
      <c r="G174" s="46"/>
      <c r="H174" s="46"/>
      <c r="I174" s="46"/>
      <c r="J174" s="46"/>
      <c r="K174" s="33"/>
      <c r="L174" s="33"/>
      <c r="M174" s="33"/>
      <c r="N174" s="46"/>
      <c r="O174" s="46"/>
      <c r="P174" s="46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</row>
    <row r="175" spans="1:37" ht="33.75" customHeight="1" x14ac:dyDescent="0.5">
      <c r="A175" s="33"/>
      <c r="B175" s="33"/>
      <c r="C175" s="33"/>
      <c r="D175" s="46"/>
      <c r="E175" s="46"/>
      <c r="F175" s="46"/>
      <c r="G175" s="46"/>
      <c r="H175" s="46"/>
      <c r="I175" s="46"/>
      <c r="J175" s="46"/>
      <c r="K175" s="33"/>
      <c r="L175" s="33"/>
      <c r="M175" s="33"/>
      <c r="N175" s="46"/>
      <c r="O175" s="46"/>
      <c r="P175" s="46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</row>
    <row r="176" spans="1:37" ht="33.75" customHeight="1" x14ac:dyDescent="0.5">
      <c r="A176" s="33"/>
      <c r="B176" s="33"/>
      <c r="C176" s="33"/>
      <c r="D176" s="46"/>
      <c r="E176" s="46"/>
      <c r="F176" s="46"/>
      <c r="G176" s="46"/>
      <c r="H176" s="46"/>
      <c r="I176" s="46"/>
      <c r="J176" s="46"/>
      <c r="K176" s="33"/>
      <c r="L176" s="33"/>
      <c r="M176" s="33"/>
      <c r="N176" s="46"/>
      <c r="O176" s="46"/>
      <c r="P176" s="46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</row>
    <row r="177" spans="1:37" ht="33.75" customHeight="1" x14ac:dyDescent="0.5">
      <c r="A177" s="33"/>
      <c r="B177" s="33"/>
      <c r="C177" s="33"/>
      <c r="D177" s="46"/>
      <c r="E177" s="46"/>
      <c r="F177" s="46"/>
      <c r="G177" s="46"/>
      <c r="H177" s="46"/>
      <c r="I177" s="46"/>
      <c r="J177" s="46"/>
      <c r="K177" s="33"/>
      <c r="L177" s="33"/>
      <c r="M177" s="33"/>
      <c r="N177" s="46"/>
      <c r="O177" s="46"/>
      <c r="P177" s="46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</row>
    <row r="178" spans="1:37" ht="33.75" customHeight="1" x14ac:dyDescent="0.5">
      <c r="A178" s="33"/>
      <c r="B178" s="33"/>
      <c r="C178" s="33"/>
      <c r="D178" s="46"/>
      <c r="E178" s="46"/>
      <c r="F178" s="46"/>
      <c r="G178" s="46"/>
      <c r="H178" s="46"/>
      <c r="I178" s="46"/>
      <c r="J178" s="46"/>
      <c r="K178" s="33"/>
      <c r="L178" s="33"/>
      <c r="M178" s="33"/>
      <c r="N178" s="46"/>
      <c r="O178" s="46"/>
      <c r="P178" s="46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</row>
    <row r="179" spans="1:37" ht="33.75" customHeight="1" x14ac:dyDescent="0.5">
      <c r="A179" s="33"/>
      <c r="B179" s="33"/>
      <c r="C179" s="33"/>
      <c r="D179" s="46"/>
      <c r="E179" s="46"/>
      <c r="F179" s="46"/>
      <c r="G179" s="46"/>
      <c r="H179" s="46"/>
      <c r="I179" s="46"/>
      <c r="J179" s="46"/>
      <c r="K179" s="33"/>
      <c r="L179" s="33"/>
      <c r="M179" s="33"/>
      <c r="N179" s="46"/>
      <c r="O179" s="46"/>
      <c r="P179" s="46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</row>
    <row r="180" spans="1:37" ht="33.75" customHeight="1" x14ac:dyDescent="0.5">
      <c r="A180" s="33"/>
      <c r="B180" s="33"/>
      <c r="C180" s="33"/>
      <c r="D180" s="46"/>
      <c r="E180" s="46"/>
      <c r="F180" s="46"/>
      <c r="G180" s="46"/>
      <c r="H180" s="46"/>
      <c r="I180" s="46"/>
      <c r="J180" s="46"/>
      <c r="K180" s="33"/>
      <c r="L180" s="33"/>
      <c r="M180" s="33"/>
      <c r="N180" s="46"/>
      <c r="O180" s="46"/>
      <c r="P180" s="46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</row>
    <row r="181" spans="1:37" ht="33.75" customHeight="1" x14ac:dyDescent="0.5">
      <c r="A181" s="33"/>
      <c r="B181" s="33"/>
      <c r="C181" s="33"/>
      <c r="D181" s="46"/>
      <c r="E181" s="46"/>
      <c r="F181" s="46"/>
      <c r="G181" s="46"/>
      <c r="H181" s="46"/>
      <c r="I181" s="46"/>
      <c r="J181" s="46"/>
      <c r="K181" s="33"/>
      <c r="L181" s="33"/>
      <c r="M181" s="33"/>
      <c r="N181" s="46"/>
      <c r="O181" s="46"/>
      <c r="P181" s="46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</row>
    <row r="182" spans="1:37" ht="33.75" customHeight="1" x14ac:dyDescent="0.5">
      <c r="A182" s="33"/>
      <c r="B182" s="33"/>
      <c r="C182" s="33"/>
      <c r="D182" s="46"/>
      <c r="E182" s="46"/>
      <c r="F182" s="46"/>
      <c r="G182" s="46"/>
      <c r="H182" s="46"/>
      <c r="I182" s="46"/>
      <c r="J182" s="46"/>
      <c r="K182" s="33"/>
      <c r="L182" s="33"/>
      <c r="M182" s="33"/>
      <c r="N182" s="46"/>
      <c r="O182" s="46"/>
      <c r="P182" s="46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</row>
    <row r="183" spans="1:37" ht="33.75" customHeight="1" x14ac:dyDescent="0.5">
      <c r="A183" s="33"/>
      <c r="B183" s="33"/>
      <c r="C183" s="33"/>
      <c r="D183" s="46"/>
      <c r="E183" s="46"/>
      <c r="F183" s="46"/>
      <c r="G183" s="46"/>
      <c r="H183" s="46"/>
      <c r="I183" s="46"/>
      <c r="J183" s="46"/>
      <c r="K183" s="33"/>
      <c r="L183" s="33"/>
      <c r="M183" s="33"/>
      <c r="N183" s="46"/>
      <c r="O183" s="46"/>
      <c r="P183" s="46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</row>
    <row r="184" spans="1:37" ht="33.75" customHeight="1" x14ac:dyDescent="0.5">
      <c r="A184" s="33"/>
      <c r="B184" s="33"/>
      <c r="C184" s="33"/>
      <c r="D184" s="46"/>
      <c r="E184" s="46"/>
      <c r="F184" s="46"/>
      <c r="G184" s="46"/>
      <c r="H184" s="46"/>
      <c r="I184" s="46"/>
      <c r="J184" s="46"/>
      <c r="K184" s="33"/>
      <c r="L184" s="33"/>
      <c r="M184" s="33"/>
      <c r="N184" s="46"/>
      <c r="O184" s="46"/>
      <c r="P184" s="46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</row>
    <row r="185" spans="1:37" ht="33.75" customHeight="1" x14ac:dyDescent="0.5">
      <c r="A185" s="33"/>
      <c r="B185" s="33"/>
      <c r="C185" s="33"/>
      <c r="D185" s="46"/>
      <c r="E185" s="46"/>
      <c r="F185" s="46"/>
      <c r="G185" s="46"/>
      <c r="H185" s="46"/>
      <c r="I185" s="46"/>
      <c r="J185" s="46"/>
      <c r="K185" s="33"/>
      <c r="L185" s="33"/>
      <c r="M185" s="33"/>
      <c r="N185" s="46"/>
      <c r="O185" s="46"/>
      <c r="P185" s="46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spans="1:37" ht="33.75" customHeight="1" x14ac:dyDescent="0.5">
      <c r="A186" s="33"/>
      <c r="B186" s="33"/>
      <c r="C186" s="33"/>
      <c r="D186" s="46"/>
      <c r="E186" s="46"/>
      <c r="F186" s="46"/>
      <c r="G186" s="46"/>
      <c r="H186" s="46"/>
      <c r="I186" s="46"/>
      <c r="J186" s="46"/>
      <c r="K186" s="33"/>
      <c r="L186" s="33"/>
      <c r="M186" s="33"/>
      <c r="N186" s="46"/>
      <c r="O186" s="46"/>
      <c r="P186" s="46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</row>
    <row r="187" spans="1:37" ht="33.75" customHeight="1" x14ac:dyDescent="0.5">
      <c r="A187" s="33"/>
      <c r="B187" s="33"/>
      <c r="C187" s="33"/>
      <c r="D187" s="46"/>
      <c r="E187" s="46"/>
      <c r="F187" s="46"/>
      <c r="G187" s="46"/>
      <c r="H187" s="46"/>
      <c r="I187" s="46"/>
      <c r="J187" s="46"/>
      <c r="K187" s="33"/>
      <c r="L187" s="33"/>
      <c r="M187" s="33"/>
      <c r="N187" s="46"/>
      <c r="O187" s="46"/>
      <c r="P187" s="46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</row>
    <row r="188" spans="1:37" ht="33.75" customHeight="1" x14ac:dyDescent="0.5">
      <c r="A188" s="33"/>
      <c r="B188" s="33"/>
      <c r="C188" s="33"/>
      <c r="D188" s="46"/>
      <c r="E188" s="46"/>
      <c r="F188" s="46"/>
      <c r="G188" s="46"/>
      <c r="H188" s="46"/>
      <c r="I188" s="46"/>
      <c r="J188" s="46"/>
      <c r="K188" s="33"/>
      <c r="L188" s="33"/>
      <c r="M188" s="33"/>
      <c r="N188" s="46"/>
      <c r="O188" s="46"/>
      <c r="P188" s="46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</row>
    <row r="189" spans="1:37" ht="33.75" customHeight="1" x14ac:dyDescent="0.5">
      <c r="A189" s="33"/>
      <c r="B189" s="33"/>
      <c r="C189" s="33"/>
      <c r="D189" s="46"/>
      <c r="E189" s="46"/>
      <c r="F189" s="46"/>
      <c r="G189" s="46"/>
      <c r="H189" s="46"/>
      <c r="I189" s="46"/>
      <c r="J189" s="46"/>
      <c r="K189" s="33"/>
      <c r="L189" s="33"/>
      <c r="M189" s="33"/>
      <c r="N189" s="46"/>
      <c r="O189" s="46"/>
      <c r="P189" s="46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spans="1:37" ht="33.75" customHeight="1" x14ac:dyDescent="0.5">
      <c r="A190" s="33"/>
      <c r="B190" s="33"/>
      <c r="C190" s="33"/>
      <c r="D190" s="46"/>
      <c r="E190" s="46"/>
      <c r="F190" s="46"/>
      <c r="G190" s="46"/>
      <c r="H190" s="46"/>
      <c r="I190" s="46"/>
      <c r="J190" s="46"/>
      <c r="K190" s="33"/>
      <c r="L190" s="33"/>
      <c r="M190" s="33"/>
      <c r="N190" s="46"/>
      <c r="O190" s="46"/>
      <c r="P190" s="46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</row>
    <row r="191" spans="1:37" ht="33.75" customHeight="1" x14ac:dyDescent="0.5">
      <c r="A191" s="33"/>
      <c r="B191" s="33"/>
      <c r="C191" s="33"/>
      <c r="D191" s="46"/>
      <c r="E191" s="46"/>
      <c r="F191" s="46"/>
      <c r="G191" s="46"/>
      <c r="H191" s="46"/>
      <c r="I191" s="46"/>
      <c r="J191" s="46"/>
      <c r="K191" s="33"/>
      <c r="L191" s="33"/>
      <c r="M191" s="33"/>
      <c r="N191" s="46"/>
      <c r="O191" s="46"/>
      <c r="P191" s="46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</row>
    <row r="192" spans="1:37" ht="33.75" customHeight="1" x14ac:dyDescent="0.5">
      <c r="A192" s="33"/>
      <c r="B192" s="33"/>
      <c r="C192" s="33"/>
      <c r="D192" s="46"/>
      <c r="E192" s="46"/>
      <c r="F192" s="46"/>
      <c r="G192" s="46"/>
      <c r="H192" s="46"/>
      <c r="I192" s="46"/>
      <c r="J192" s="46"/>
      <c r="K192" s="33"/>
      <c r="L192" s="33"/>
      <c r="M192" s="33"/>
      <c r="N192" s="46"/>
      <c r="O192" s="46"/>
      <c r="P192" s="46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</row>
    <row r="193" spans="1:37" ht="33.75" customHeight="1" x14ac:dyDescent="0.5">
      <c r="A193" s="33"/>
      <c r="B193" s="33"/>
      <c r="C193" s="33"/>
      <c r="D193" s="46"/>
      <c r="E193" s="46"/>
      <c r="F193" s="46"/>
      <c r="G193" s="46"/>
      <c r="H193" s="46"/>
      <c r="I193" s="46"/>
      <c r="J193" s="46"/>
      <c r="K193" s="33"/>
      <c r="L193" s="33"/>
      <c r="M193" s="33"/>
      <c r="N193" s="46"/>
      <c r="O193" s="46"/>
      <c r="P193" s="46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</row>
    <row r="194" spans="1:37" ht="33.75" customHeight="1" x14ac:dyDescent="0.5">
      <c r="A194" s="33"/>
      <c r="B194" s="33"/>
      <c r="C194" s="33"/>
      <c r="D194" s="46"/>
      <c r="E194" s="46"/>
      <c r="F194" s="46"/>
      <c r="G194" s="46"/>
      <c r="H194" s="46"/>
      <c r="I194" s="46"/>
      <c r="J194" s="46"/>
      <c r="K194" s="33"/>
      <c r="L194" s="33"/>
      <c r="M194" s="33"/>
      <c r="N194" s="46"/>
      <c r="O194" s="46"/>
      <c r="P194" s="46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</row>
    <row r="195" spans="1:37" ht="33.75" customHeight="1" x14ac:dyDescent="0.5">
      <c r="A195" s="33"/>
      <c r="B195" s="33"/>
      <c r="C195" s="33"/>
      <c r="D195" s="46"/>
      <c r="E195" s="46"/>
      <c r="F195" s="46"/>
      <c r="G195" s="46"/>
      <c r="H195" s="46"/>
      <c r="I195" s="46"/>
      <c r="J195" s="46"/>
      <c r="K195" s="33"/>
      <c r="L195" s="33"/>
      <c r="M195" s="33"/>
      <c r="N195" s="46"/>
      <c r="O195" s="46"/>
      <c r="P195" s="46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</row>
    <row r="196" spans="1:37" ht="33.75" customHeight="1" x14ac:dyDescent="0.5">
      <c r="A196" s="33"/>
      <c r="B196" s="33"/>
      <c r="C196" s="33"/>
      <c r="D196" s="46"/>
      <c r="E196" s="46"/>
      <c r="F196" s="46"/>
      <c r="G196" s="46"/>
      <c r="H196" s="46"/>
      <c r="I196" s="46"/>
      <c r="J196" s="46"/>
      <c r="K196" s="33"/>
      <c r="L196" s="33"/>
      <c r="M196" s="33"/>
      <c r="N196" s="46"/>
      <c r="O196" s="46"/>
      <c r="P196" s="46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</row>
    <row r="197" spans="1:37" ht="33.75" customHeight="1" x14ac:dyDescent="0.5">
      <c r="A197" s="33"/>
      <c r="B197" s="33"/>
      <c r="C197" s="33"/>
      <c r="D197" s="46"/>
      <c r="E197" s="46"/>
      <c r="F197" s="46"/>
      <c r="G197" s="46"/>
      <c r="H197" s="46"/>
      <c r="I197" s="46"/>
      <c r="J197" s="46"/>
      <c r="K197" s="33"/>
      <c r="L197" s="33"/>
      <c r="M197" s="33"/>
      <c r="N197" s="46"/>
      <c r="O197" s="46"/>
      <c r="P197" s="46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</row>
    <row r="198" spans="1:37" ht="33.75" customHeight="1" x14ac:dyDescent="0.5">
      <c r="A198" s="33"/>
      <c r="B198" s="33"/>
      <c r="C198" s="33"/>
      <c r="D198" s="46"/>
      <c r="E198" s="46"/>
      <c r="F198" s="46"/>
      <c r="G198" s="46"/>
      <c r="H198" s="46"/>
      <c r="I198" s="46"/>
      <c r="J198" s="46"/>
      <c r="K198" s="33"/>
      <c r="L198" s="33"/>
      <c r="M198" s="33"/>
      <c r="N198" s="46"/>
      <c r="O198" s="46"/>
      <c r="P198" s="46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</row>
    <row r="199" spans="1:37" ht="33.75" customHeight="1" x14ac:dyDescent="0.5">
      <c r="A199" s="33"/>
      <c r="B199" s="33"/>
      <c r="C199" s="33"/>
      <c r="D199" s="46"/>
      <c r="E199" s="46"/>
      <c r="F199" s="46"/>
      <c r="G199" s="46"/>
      <c r="H199" s="46"/>
      <c r="I199" s="46"/>
      <c r="J199" s="46"/>
      <c r="K199" s="33"/>
      <c r="L199" s="33"/>
      <c r="M199" s="33"/>
      <c r="N199" s="46"/>
      <c r="O199" s="46"/>
      <c r="P199" s="46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</row>
    <row r="200" spans="1:37" ht="33.75" customHeight="1" x14ac:dyDescent="0.5">
      <c r="A200" s="33"/>
      <c r="B200" s="33"/>
      <c r="C200" s="33"/>
      <c r="D200" s="46"/>
      <c r="E200" s="46"/>
      <c r="F200" s="46"/>
      <c r="G200" s="46"/>
      <c r="H200" s="46"/>
      <c r="I200" s="46"/>
      <c r="J200" s="46"/>
      <c r="K200" s="33"/>
      <c r="L200" s="33"/>
      <c r="M200" s="33"/>
      <c r="N200" s="46"/>
      <c r="O200" s="46"/>
      <c r="P200" s="46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</row>
    <row r="201" spans="1:37" ht="33.75" customHeight="1" x14ac:dyDescent="0.5">
      <c r="A201" s="33"/>
      <c r="B201" s="33"/>
      <c r="C201" s="33"/>
      <c r="D201" s="46"/>
      <c r="E201" s="46"/>
      <c r="F201" s="46"/>
      <c r="G201" s="46"/>
      <c r="H201" s="46"/>
      <c r="I201" s="46"/>
      <c r="J201" s="46"/>
      <c r="K201" s="33"/>
      <c r="L201" s="33"/>
      <c r="M201" s="33"/>
      <c r="N201" s="46"/>
      <c r="O201" s="46"/>
      <c r="P201" s="46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spans="1:37" ht="33.75" customHeight="1" x14ac:dyDescent="0.5">
      <c r="A202" s="33"/>
      <c r="B202" s="33"/>
      <c r="C202" s="33"/>
      <c r="D202" s="46"/>
      <c r="E202" s="46"/>
      <c r="F202" s="46"/>
      <c r="G202" s="46"/>
      <c r="H202" s="46"/>
      <c r="I202" s="46"/>
      <c r="J202" s="46"/>
      <c r="K202" s="33"/>
      <c r="L202" s="33"/>
      <c r="M202" s="33"/>
      <c r="N202" s="46"/>
      <c r="O202" s="46"/>
      <c r="P202" s="46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</row>
    <row r="203" spans="1:37" ht="33.75" customHeight="1" x14ac:dyDescent="0.5">
      <c r="A203" s="33"/>
      <c r="B203" s="33"/>
      <c r="C203" s="33"/>
      <c r="D203" s="46"/>
      <c r="E203" s="46"/>
      <c r="F203" s="46"/>
      <c r="G203" s="46"/>
      <c r="H203" s="46"/>
      <c r="I203" s="46"/>
      <c r="J203" s="46"/>
      <c r="K203" s="33"/>
      <c r="L203" s="33"/>
      <c r="M203" s="33"/>
      <c r="N203" s="46"/>
      <c r="O203" s="46"/>
      <c r="P203" s="46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</row>
    <row r="204" spans="1:37" ht="33.75" customHeight="1" x14ac:dyDescent="0.5">
      <c r="A204" s="33"/>
      <c r="B204" s="33"/>
      <c r="C204" s="33"/>
      <c r="D204" s="46"/>
      <c r="E204" s="46"/>
      <c r="F204" s="46"/>
      <c r="G204" s="46"/>
      <c r="H204" s="46"/>
      <c r="I204" s="46"/>
      <c r="J204" s="46"/>
      <c r="K204" s="33"/>
      <c r="L204" s="33"/>
      <c r="M204" s="33"/>
      <c r="N204" s="46"/>
      <c r="O204" s="46"/>
      <c r="P204" s="46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</row>
    <row r="205" spans="1:37" ht="33.75" customHeight="1" x14ac:dyDescent="0.5">
      <c r="A205" s="33"/>
      <c r="B205" s="33"/>
      <c r="C205" s="33"/>
      <c r="D205" s="46"/>
      <c r="E205" s="46"/>
      <c r="F205" s="46"/>
      <c r="G205" s="46"/>
      <c r="H205" s="46"/>
      <c r="I205" s="46"/>
      <c r="J205" s="46"/>
      <c r="K205" s="33"/>
      <c r="L205" s="33"/>
      <c r="M205" s="33"/>
      <c r="N205" s="46"/>
      <c r="O205" s="46"/>
      <c r="P205" s="46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</row>
    <row r="206" spans="1:37" ht="33.75" customHeight="1" x14ac:dyDescent="0.5">
      <c r="A206" s="33"/>
      <c r="B206" s="33"/>
      <c r="C206" s="33"/>
      <c r="D206" s="46"/>
      <c r="E206" s="46"/>
      <c r="F206" s="46"/>
      <c r="G206" s="46"/>
      <c r="H206" s="46"/>
      <c r="I206" s="46"/>
      <c r="J206" s="46"/>
      <c r="K206" s="33"/>
      <c r="L206" s="33"/>
      <c r="M206" s="33"/>
      <c r="N206" s="46"/>
      <c r="O206" s="46"/>
      <c r="P206" s="46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</row>
    <row r="207" spans="1:37" ht="33.75" customHeight="1" x14ac:dyDescent="0.5">
      <c r="A207" s="33"/>
      <c r="B207" s="33"/>
      <c r="C207" s="33"/>
      <c r="D207" s="46"/>
      <c r="E207" s="46"/>
      <c r="F207" s="46"/>
      <c r="G207" s="46"/>
      <c r="H207" s="46"/>
      <c r="I207" s="46"/>
      <c r="J207" s="46"/>
      <c r="K207" s="33"/>
      <c r="L207" s="33"/>
      <c r="M207" s="33"/>
      <c r="N207" s="46"/>
      <c r="O207" s="46"/>
      <c r="P207" s="46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</row>
    <row r="208" spans="1:37" ht="33.75" customHeight="1" x14ac:dyDescent="0.5">
      <c r="A208" s="33"/>
      <c r="B208" s="33"/>
      <c r="C208" s="33"/>
      <c r="D208" s="46"/>
      <c r="E208" s="46"/>
      <c r="F208" s="46"/>
      <c r="G208" s="46"/>
      <c r="H208" s="46"/>
      <c r="I208" s="46"/>
      <c r="J208" s="46"/>
      <c r="K208" s="33"/>
      <c r="L208" s="33"/>
      <c r="M208" s="33"/>
      <c r="N208" s="46"/>
      <c r="O208" s="46"/>
      <c r="P208" s="46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spans="1:37" ht="33.75" customHeight="1" x14ac:dyDescent="0.5">
      <c r="A209" s="33"/>
      <c r="B209" s="33"/>
      <c r="C209" s="33"/>
      <c r="D209" s="46"/>
      <c r="E209" s="46"/>
      <c r="F209" s="46"/>
      <c r="G209" s="46"/>
      <c r="H209" s="46"/>
      <c r="I209" s="46"/>
      <c r="J209" s="46"/>
      <c r="K209" s="33"/>
      <c r="L209" s="33"/>
      <c r="M209" s="33"/>
      <c r="N209" s="46"/>
      <c r="O209" s="46"/>
      <c r="P209" s="46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</row>
    <row r="210" spans="1:37" ht="33.75" customHeight="1" x14ac:dyDescent="0.5">
      <c r="A210" s="33"/>
      <c r="B210" s="33"/>
      <c r="C210" s="33"/>
      <c r="D210" s="46"/>
      <c r="E210" s="46"/>
      <c r="F210" s="46"/>
      <c r="G210" s="46"/>
      <c r="H210" s="46"/>
      <c r="I210" s="46"/>
      <c r="J210" s="46"/>
      <c r="K210" s="33"/>
      <c r="L210" s="33"/>
      <c r="M210" s="33"/>
      <c r="N210" s="46"/>
      <c r="O210" s="46"/>
      <c r="P210" s="46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</row>
    <row r="211" spans="1:37" ht="33.75" customHeight="1" x14ac:dyDescent="0.5">
      <c r="A211" s="33"/>
      <c r="B211" s="33"/>
      <c r="C211" s="33"/>
      <c r="D211" s="46"/>
      <c r="E211" s="46"/>
      <c r="F211" s="46"/>
      <c r="G211" s="46"/>
      <c r="H211" s="46"/>
      <c r="I211" s="46"/>
      <c r="J211" s="46"/>
      <c r="K211" s="33"/>
      <c r="L211" s="33"/>
      <c r="M211" s="33"/>
      <c r="N211" s="46"/>
      <c r="O211" s="46"/>
      <c r="P211" s="46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</row>
    <row r="212" spans="1:37" ht="33.75" customHeight="1" x14ac:dyDescent="0.5">
      <c r="A212" s="33"/>
      <c r="B212" s="33"/>
      <c r="C212" s="33"/>
      <c r="D212" s="46"/>
      <c r="E212" s="46"/>
      <c r="F212" s="46"/>
      <c r="G212" s="46"/>
      <c r="H212" s="46"/>
      <c r="I212" s="46"/>
      <c r="J212" s="46"/>
      <c r="K212" s="33"/>
      <c r="L212" s="33"/>
      <c r="M212" s="33"/>
      <c r="N212" s="46"/>
      <c r="O212" s="46"/>
      <c r="P212" s="46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</row>
    <row r="213" spans="1:37" ht="33.75" customHeight="1" x14ac:dyDescent="0.5">
      <c r="A213" s="33"/>
      <c r="B213" s="33"/>
      <c r="C213" s="33"/>
      <c r="D213" s="46"/>
      <c r="E213" s="46"/>
      <c r="F213" s="46"/>
      <c r="G213" s="46"/>
      <c r="H213" s="46"/>
      <c r="I213" s="46"/>
      <c r="J213" s="46"/>
      <c r="K213" s="33"/>
      <c r="L213" s="33"/>
      <c r="M213" s="33"/>
      <c r="N213" s="46"/>
      <c r="O213" s="46"/>
      <c r="P213" s="46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</row>
    <row r="214" spans="1:37" ht="33.75" customHeight="1" x14ac:dyDescent="0.5">
      <c r="A214" s="33"/>
      <c r="B214" s="33"/>
      <c r="C214" s="33"/>
      <c r="D214" s="46"/>
      <c r="E214" s="46"/>
      <c r="F214" s="46"/>
      <c r="G214" s="46"/>
      <c r="H214" s="46"/>
      <c r="I214" s="46"/>
      <c r="J214" s="46"/>
      <c r="K214" s="33"/>
      <c r="L214" s="33"/>
      <c r="M214" s="33"/>
      <c r="N214" s="46"/>
      <c r="O214" s="46"/>
      <c r="P214" s="46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</row>
    <row r="215" spans="1:37" ht="33.75" customHeight="1" x14ac:dyDescent="0.5">
      <c r="A215" s="33"/>
      <c r="B215" s="33"/>
      <c r="C215" s="33"/>
      <c r="D215" s="46"/>
      <c r="E215" s="46"/>
      <c r="F215" s="46"/>
      <c r="G215" s="46"/>
      <c r="H215" s="46"/>
      <c r="I215" s="46"/>
      <c r="J215" s="46"/>
      <c r="K215" s="33"/>
      <c r="L215" s="33"/>
      <c r="M215" s="33"/>
      <c r="N215" s="46"/>
      <c r="O215" s="46"/>
      <c r="P215" s="46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</row>
    <row r="216" spans="1:37" ht="33.75" customHeight="1" x14ac:dyDescent="0.5">
      <c r="A216" s="33"/>
      <c r="B216" s="33"/>
      <c r="C216" s="33"/>
      <c r="D216" s="46"/>
      <c r="E216" s="46"/>
      <c r="F216" s="46"/>
      <c r="G216" s="46"/>
      <c r="H216" s="46"/>
      <c r="I216" s="46"/>
      <c r="J216" s="46"/>
      <c r="K216" s="33"/>
      <c r="L216" s="33"/>
      <c r="M216" s="33"/>
      <c r="N216" s="46"/>
      <c r="O216" s="46"/>
      <c r="P216" s="46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</row>
    <row r="217" spans="1:37" ht="33.75" customHeight="1" x14ac:dyDescent="0.5">
      <c r="A217" s="33"/>
      <c r="B217" s="33"/>
      <c r="C217" s="33"/>
      <c r="D217" s="46"/>
      <c r="E217" s="46"/>
      <c r="F217" s="46"/>
      <c r="G217" s="46"/>
      <c r="H217" s="46"/>
      <c r="I217" s="46"/>
      <c r="J217" s="46"/>
      <c r="K217" s="33"/>
      <c r="L217" s="33"/>
      <c r="M217" s="33"/>
      <c r="N217" s="46"/>
      <c r="O217" s="46"/>
      <c r="P217" s="46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</row>
    <row r="218" spans="1:37" ht="33.75" customHeight="1" x14ac:dyDescent="0.5">
      <c r="A218" s="33"/>
      <c r="B218" s="33"/>
      <c r="C218" s="33"/>
      <c r="D218" s="46"/>
      <c r="E218" s="46"/>
      <c r="F218" s="46"/>
      <c r="G218" s="46"/>
      <c r="H218" s="46"/>
      <c r="I218" s="46"/>
      <c r="J218" s="46"/>
      <c r="K218" s="33"/>
      <c r="L218" s="33"/>
      <c r="M218" s="33"/>
      <c r="N218" s="46"/>
      <c r="O218" s="46"/>
      <c r="P218" s="46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</row>
    <row r="219" spans="1:37" ht="33.75" customHeight="1" x14ac:dyDescent="0.5">
      <c r="A219" s="33"/>
      <c r="B219" s="33"/>
      <c r="C219" s="33"/>
      <c r="D219" s="46"/>
      <c r="E219" s="46"/>
      <c r="F219" s="46"/>
      <c r="G219" s="46"/>
      <c r="H219" s="46"/>
      <c r="I219" s="46"/>
      <c r="J219" s="46"/>
      <c r="K219" s="33"/>
      <c r="L219" s="33"/>
      <c r="M219" s="33"/>
      <c r="N219" s="46"/>
      <c r="O219" s="46"/>
      <c r="P219" s="46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</row>
    <row r="220" spans="1:37" ht="33.75" customHeight="1" x14ac:dyDescent="0.5">
      <c r="A220" s="33"/>
      <c r="B220" s="33"/>
      <c r="C220" s="33"/>
      <c r="D220" s="46"/>
      <c r="E220" s="46"/>
      <c r="F220" s="46"/>
      <c r="G220" s="46"/>
      <c r="H220" s="46"/>
      <c r="I220" s="46"/>
      <c r="J220" s="46"/>
      <c r="K220" s="33"/>
      <c r="L220" s="33"/>
      <c r="M220" s="33"/>
      <c r="N220" s="46"/>
      <c r="O220" s="46"/>
      <c r="P220" s="46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</row>
    <row r="221" spans="1:37" ht="33.75" customHeight="1" x14ac:dyDescent="0.5">
      <c r="A221" s="33"/>
      <c r="B221" s="33"/>
      <c r="C221" s="33"/>
      <c r="D221" s="46"/>
      <c r="E221" s="46"/>
      <c r="F221" s="46"/>
      <c r="G221" s="46"/>
      <c r="H221" s="46"/>
      <c r="I221" s="46"/>
      <c r="J221" s="46"/>
      <c r="K221" s="33"/>
      <c r="L221" s="33"/>
      <c r="M221" s="33"/>
      <c r="N221" s="46"/>
      <c r="O221" s="46"/>
      <c r="P221" s="46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spans="1:37" ht="33.75" customHeight="1" x14ac:dyDescent="0.5">
      <c r="A222" s="33"/>
      <c r="B222" s="33"/>
      <c r="C222" s="33"/>
      <c r="D222" s="46"/>
      <c r="E222" s="46"/>
      <c r="F222" s="46"/>
      <c r="G222" s="46"/>
      <c r="H222" s="46"/>
      <c r="I222" s="46"/>
      <c r="J222" s="46"/>
      <c r="K222" s="33"/>
      <c r="L222" s="33"/>
      <c r="M222" s="33"/>
      <c r="N222" s="46"/>
      <c r="O222" s="46"/>
      <c r="P222" s="46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</row>
    <row r="223" spans="1:37" ht="33.75" customHeight="1" x14ac:dyDescent="0.5">
      <c r="A223" s="33"/>
      <c r="B223" s="33"/>
      <c r="C223" s="33"/>
      <c r="D223" s="46"/>
      <c r="E223" s="46"/>
      <c r="F223" s="46"/>
      <c r="G223" s="46"/>
      <c r="H223" s="46"/>
      <c r="I223" s="46"/>
      <c r="J223" s="46"/>
      <c r="K223" s="33"/>
      <c r="L223" s="33"/>
      <c r="M223" s="33"/>
      <c r="N223" s="46"/>
      <c r="O223" s="46"/>
      <c r="P223" s="46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</row>
    <row r="224" spans="1:37" ht="33.75" customHeight="1" x14ac:dyDescent="0.5">
      <c r="A224" s="33"/>
      <c r="B224" s="33"/>
      <c r="C224" s="33"/>
      <c r="D224" s="46"/>
      <c r="E224" s="46"/>
      <c r="F224" s="46"/>
      <c r="G224" s="46"/>
      <c r="H224" s="46"/>
      <c r="I224" s="46"/>
      <c r="J224" s="46"/>
      <c r="K224" s="33"/>
      <c r="L224" s="33"/>
      <c r="M224" s="33"/>
      <c r="N224" s="46"/>
      <c r="O224" s="46"/>
      <c r="P224" s="46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spans="1:37" ht="33.75" customHeight="1" x14ac:dyDescent="0.5">
      <c r="A225" s="33"/>
      <c r="B225" s="33"/>
      <c r="C225" s="33"/>
      <c r="D225" s="46"/>
      <c r="E225" s="46"/>
      <c r="F225" s="46"/>
      <c r="G225" s="46"/>
      <c r="H225" s="46"/>
      <c r="I225" s="46"/>
      <c r="J225" s="46"/>
      <c r="K225" s="33"/>
      <c r="L225" s="33"/>
      <c r="M225" s="33"/>
      <c r="N225" s="46"/>
      <c r="O225" s="46"/>
      <c r="P225" s="46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</row>
    <row r="226" spans="1:37" ht="33.75" customHeight="1" x14ac:dyDescent="0.5">
      <c r="A226" s="33"/>
      <c r="B226" s="33"/>
      <c r="C226" s="33"/>
      <c r="D226" s="46"/>
      <c r="E226" s="46"/>
      <c r="F226" s="46"/>
      <c r="G226" s="46"/>
      <c r="H226" s="46"/>
      <c r="I226" s="46"/>
      <c r="J226" s="46"/>
      <c r="K226" s="33"/>
      <c r="L226" s="33"/>
      <c r="M226" s="33"/>
      <c r="N226" s="46"/>
      <c r="O226" s="46"/>
      <c r="P226" s="46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</row>
    <row r="227" spans="1:37" ht="33.75" customHeight="1" x14ac:dyDescent="0.5">
      <c r="A227" s="33"/>
      <c r="B227" s="33"/>
      <c r="C227" s="33"/>
      <c r="D227" s="46"/>
      <c r="E227" s="46"/>
      <c r="F227" s="46"/>
      <c r="G227" s="46"/>
      <c r="H227" s="46"/>
      <c r="I227" s="46"/>
      <c r="J227" s="46"/>
      <c r="K227" s="33"/>
      <c r="L227" s="33"/>
      <c r="M227" s="33"/>
      <c r="N227" s="46"/>
      <c r="O227" s="46"/>
      <c r="P227" s="46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</row>
    <row r="228" spans="1:37" ht="33.75" customHeight="1" x14ac:dyDescent="0.5">
      <c r="A228" s="33"/>
      <c r="B228" s="33"/>
      <c r="C228" s="33"/>
      <c r="D228" s="46"/>
      <c r="E228" s="46"/>
      <c r="F228" s="46"/>
      <c r="G228" s="46"/>
      <c r="H228" s="46"/>
      <c r="I228" s="46"/>
      <c r="J228" s="46"/>
      <c r="K228" s="33"/>
      <c r="L228" s="33"/>
      <c r="M228" s="33"/>
      <c r="N228" s="46"/>
      <c r="O228" s="46"/>
      <c r="P228" s="46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spans="1:37" ht="33.75" customHeight="1" x14ac:dyDescent="0.5">
      <c r="A229" s="33"/>
      <c r="B229" s="33"/>
      <c r="C229" s="33"/>
      <c r="D229" s="46"/>
      <c r="E229" s="46"/>
      <c r="F229" s="46"/>
      <c r="G229" s="46"/>
      <c r="H229" s="46"/>
      <c r="I229" s="46"/>
      <c r="J229" s="46"/>
      <c r="K229" s="33"/>
      <c r="L229" s="33"/>
      <c r="M229" s="33"/>
      <c r="N229" s="46"/>
      <c r="O229" s="46"/>
      <c r="P229" s="46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</row>
    <row r="230" spans="1:37" ht="33.75" customHeight="1" x14ac:dyDescent="0.5">
      <c r="A230" s="33"/>
      <c r="B230" s="33"/>
      <c r="C230" s="33"/>
      <c r="D230" s="46"/>
      <c r="E230" s="46"/>
      <c r="F230" s="46"/>
      <c r="G230" s="46"/>
      <c r="H230" s="46"/>
      <c r="I230" s="46"/>
      <c r="J230" s="46"/>
      <c r="K230" s="33"/>
      <c r="L230" s="33"/>
      <c r="M230" s="33"/>
      <c r="N230" s="46"/>
      <c r="O230" s="46"/>
      <c r="P230" s="46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</row>
    <row r="231" spans="1:37" ht="33.75" customHeight="1" x14ac:dyDescent="0.5">
      <c r="A231" s="33"/>
      <c r="B231" s="33"/>
      <c r="C231" s="33"/>
      <c r="D231" s="46"/>
      <c r="E231" s="46"/>
      <c r="F231" s="46"/>
      <c r="G231" s="46"/>
      <c r="H231" s="46"/>
      <c r="I231" s="46"/>
      <c r="J231" s="46"/>
      <c r="K231" s="33"/>
      <c r="L231" s="33"/>
      <c r="M231" s="33"/>
      <c r="N231" s="46"/>
      <c r="O231" s="46"/>
      <c r="P231" s="46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spans="1:37" ht="33.75" customHeight="1" x14ac:dyDescent="0.5">
      <c r="A232" s="33"/>
      <c r="B232" s="33"/>
      <c r="C232" s="33"/>
      <c r="D232" s="46"/>
      <c r="E232" s="46"/>
      <c r="F232" s="46"/>
      <c r="G232" s="46"/>
      <c r="H232" s="46"/>
      <c r="I232" s="46"/>
      <c r="J232" s="46"/>
      <c r="K232" s="33"/>
      <c r="L232" s="33"/>
      <c r="M232" s="33"/>
      <c r="N232" s="46"/>
      <c r="O232" s="46"/>
      <c r="P232" s="46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</row>
    <row r="233" spans="1:37" ht="33.75" customHeight="1" x14ac:dyDescent="0.5">
      <c r="A233" s="33"/>
      <c r="B233" s="33"/>
      <c r="C233" s="33"/>
      <c r="D233" s="46"/>
      <c r="E233" s="46"/>
      <c r="F233" s="46"/>
      <c r="G233" s="46"/>
      <c r="H233" s="46"/>
      <c r="I233" s="46"/>
      <c r="J233" s="46"/>
      <c r="K233" s="33"/>
      <c r="L233" s="33"/>
      <c r="M233" s="33"/>
      <c r="N233" s="46"/>
      <c r="O233" s="46"/>
      <c r="P233" s="46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</row>
    <row r="234" spans="1:37" ht="33.75" customHeight="1" x14ac:dyDescent="0.5">
      <c r="A234" s="33"/>
      <c r="B234" s="33"/>
      <c r="C234" s="33"/>
      <c r="D234" s="46"/>
      <c r="E234" s="46"/>
      <c r="F234" s="46"/>
      <c r="G234" s="46"/>
      <c r="H234" s="46"/>
      <c r="I234" s="46"/>
      <c r="J234" s="46"/>
      <c r="K234" s="33"/>
      <c r="L234" s="33"/>
      <c r="M234" s="33"/>
      <c r="N234" s="46"/>
      <c r="O234" s="46"/>
      <c r="P234" s="46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</row>
    <row r="235" spans="1:37" ht="33.75" customHeight="1" x14ac:dyDescent="0.5">
      <c r="A235" s="33"/>
      <c r="B235" s="33"/>
      <c r="C235" s="33"/>
      <c r="D235" s="46"/>
      <c r="E235" s="46"/>
      <c r="F235" s="46"/>
      <c r="G235" s="46"/>
      <c r="H235" s="46"/>
      <c r="I235" s="46"/>
      <c r="J235" s="46"/>
      <c r="K235" s="33"/>
      <c r="L235" s="33"/>
      <c r="M235" s="33"/>
      <c r="N235" s="46"/>
      <c r="O235" s="46"/>
      <c r="P235" s="46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</row>
    <row r="236" spans="1:37" ht="33.75" customHeight="1" x14ac:dyDescent="0.5">
      <c r="A236" s="33"/>
      <c r="B236" s="33"/>
      <c r="C236" s="33"/>
      <c r="D236" s="46"/>
      <c r="E236" s="46"/>
      <c r="F236" s="46"/>
      <c r="G236" s="46"/>
      <c r="H236" s="46"/>
      <c r="I236" s="46"/>
      <c r="J236" s="46"/>
      <c r="K236" s="33"/>
      <c r="L236" s="33"/>
      <c r="M236" s="33"/>
      <c r="N236" s="46"/>
      <c r="O236" s="46"/>
      <c r="P236" s="46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spans="1:37" ht="33.75" customHeight="1" x14ac:dyDescent="0.5">
      <c r="A237" s="33"/>
      <c r="B237" s="33"/>
      <c r="C237" s="33"/>
      <c r="D237" s="46"/>
      <c r="E237" s="46"/>
      <c r="F237" s="46"/>
      <c r="G237" s="46"/>
      <c r="H237" s="46"/>
      <c r="I237" s="46"/>
      <c r="J237" s="46"/>
      <c r="K237" s="33"/>
      <c r="L237" s="33"/>
      <c r="M237" s="33"/>
      <c r="N237" s="46"/>
      <c r="O237" s="46"/>
      <c r="P237" s="46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</row>
    <row r="238" spans="1:37" ht="33.75" customHeight="1" x14ac:dyDescent="0.5">
      <c r="A238" s="33"/>
      <c r="B238" s="33"/>
      <c r="C238" s="33"/>
      <c r="D238" s="46"/>
      <c r="E238" s="46"/>
      <c r="F238" s="46"/>
      <c r="G238" s="46"/>
      <c r="H238" s="46"/>
      <c r="I238" s="46"/>
      <c r="J238" s="46"/>
      <c r="K238" s="33"/>
      <c r="L238" s="33"/>
      <c r="M238" s="33"/>
      <c r="N238" s="46"/>
      <c r="O238" s="46"/>
      <c r="P238" s="46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</row>
    <row r="239" spans="1:37" ht="33.75" customHeight="1" x14ac:dyDescent="0.5">
      <c r="A239" s="33"/>
      <c r="B239" s="33"/>
      <c r="C239" s="33"/>
      <c r="D239" s="46"/>
      <c r="E239" s="46"/>
      <c r="F239" s="46"/>
      <c r="G239" s="46"/>
      <c r="H239" s="46"/>
      <c r="I239" s="46"/>
      <c r="J239" s="46"/>
      <c r="K239" s="33"/>
      <c r="L239" s="33"/>
      <c r="M239" s="33"/>
      <c r="N239" s="46"/>
      <c r="O239" s="46"/>
      <c r="P239" s="46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</row>
    <row r="240" spans="1:37" ht="33.75" customHeight="1" x14ac:dyDescent="0.5">
      <c r="A240" s="33"/>
      <c r="B240" s="33"/>
      <c r="C240" s="33"/>
      <c r="D240" s="46"/>
      <c r="E240" s="46"/>
      <c r="F240" s="46"/>
      <c r="G240" s="46"/>
      <c r="H240" s="46"/>
      <c r="I240" s="46"/>
      <c r="J240" s="46"/>
      <c r="K240" s="33"/>
      <c r="L240" s="33"/>
      <c r="M240" s="33"/>
      <c r="N240" s="46"/>
      <c r="O240" s="46"/>
      <c r="P240" s="46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</row>
    <row r="241" spans="1:37" ht="33.75" customHeight="1" x14ac:dyDescent="0.5">
      <c r="A241" s="33"/>
      <c r="B241" s="33"/>
      <c r="C241" s="33"/>
      <c r="D241" s="46"/>
      <c r="E241" s="46"/>
      <c r="F241" s="46"/>
      <c r="G241" s="46"/>
      <c r="H241" s="46"/>
      <c r="I241" s="46"/>
      <c r="J241" s="46"/>
      <c r="K241" s="33"/>
      <c r="L241" s="33"/>
      <c r="M241" s="33"/>
      <c r="N241" s="46"/>
      <c r="O241" s="46"/>
      <c r="P241" s="46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</row>
    <row r="242" spans="1:37" ht="33.75" customHeight="1" x14ac:dyDescent="0.5">
      <c r="A242" s="33"/>
      <c r="B242" s="33"/>
      <c r="C242" s="33"/>
      <c r="D242" s="46"/>
      <c r="E242" s="46"/>
      <c r="F242" s="46"/>
      <c r="G242" s="46"/>
      <c r="H242" s="46"/>
      <c r="I242" s="46"/>
      <c r="J242" s="46"/>
      <c r="K242" s="33"/>
      <c r="L242" s="33"/>
      <c r="M242" s="33"/>
      <c r="N242" s="46"/>
      <c r="O242" s="46"/>
      <c r="P242" s="46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</row>
    <row r="243" spans="1:37" ht="33.75" customHeight="1" x14ac:dyDescent="0.5">
      <c r="A243" s="33"/>
      <c r="B243" s="33"/>
      <c r="C243" s="33"/>
      <c r="D243" s="46"/>
      <c r="E243" s="46"/>
      <c r="F243" s="46"/>
      <c r="G243" s="46"/>
      <c r="H243" s="46"/>
      <c r="I243" s="46"/>
      <c r="J243" s="46"/>
      <c r="K243" s="33"/>
      <c r="L243" s="33"/>
      <c r="M243" s="33"/>
      <c r="N243" s="46"/>
      <c r="O243" s="46"/>
      <c r="P243" s="46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spans="1:37" ht="33.75" customHeight="1" x14ac:dyDescent="0.5">
      <c r="A244" s="33"/>
      <c r="B244" s="33"/>
      <c r="C244" s="33"/>
      <c r="D244" s="46"/>
      <c r="E244" s="46"/>
      <c r="F244" s="46"/>
      <c r="G244" s="46"/>
      <c r="H244" s="46"/>
      <c r="I244" s="46"/>
      <c r="J244" s="46"/>
      <c r="K244" s="33"/>
      <c r="L244" s="33"/>
      <c r="M244" s="33"/>
      <c r="N244" s="46"/>
      <c r="O244" s="46"/>
      <c r="P244" s="46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</row>
    <row r="245" spans="1:37" ht="33.75" customHeight="1" x14ac:dyDescent="0.5">
      <c r="A245" s="33"/>
      <c r="B245" s="33"/>
      <c r="C245" s="33"/>
      <c r="D245" s="46"/>
      <c r="E245" s="46"/>
      <c r="F245" s="46"/>
      <c r="G245" s="46"/>
      <c r="H245" s="46"/>
      <c r="I245" s="46"/>
      <c r="J245" s="46"/>
      <c r="K245" s="33"/>
      <c r="L245" s="33"/>
      <c r="M245" s="33"/>
      <c r="N245" s="46"/>
      <c r="O245" s="46"/>
      <c r="P245" s="46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</row>
    <row r="246" spans="1:37" ht="33.75" customHeight="1" x14ac:dyDescent="0.5">
      <c r="A246" s="33"/>
      <c r="B246" s="33"/>
      <c r="C246" s="33"/>
      <c r="D246" s="46"/>
      <c r="E246" s="46"/>
      <c r="F246" s="46"/>
      <c r="G246" s="46"/>
      <c r="H246" s="46"/>
      <c r="I246" s="46"/>
      <c r="J246" s="46"/>
      <c r="K246" s="33"/>
      <c r="L246" s="33"/>
      <c r="M246" s="33"/>
      <c r="N246" s="46"/>
      <c r="O246" s="46"/>
      <c r="P246" s="46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</row>
    <row r="247" spans="1:37" ht="33.75" customHeight="1" x14ac:dyDescent="0.5">
      <c r="A247" s="33"/>
      <c r="B247" s="33"/>
      <c r="C247" s="33"/>
      <c r="D247" s="46"/>
      <c r="E247" s="46"/>
      <c r="F247" s="46"/>
      <c r="G247" s="46"/>
      <c r="H247" s="46"/>
      <c r="I247" s="46"/>
      <c r="J247" s="46"/>
      <c r="K247" s="33"/>
      <c r="L247" s="33"/>
      <c r="M247" s="33"/>
      <c r="N247" s="46"/>
      <c r="O247" s="46"/>
      <c r="P247" s="46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</row>
    <row r="248" spans="1:37" ht="33.75" customHeight="1" x14ac:dyDescent="0.5">
      <c r="A248" s="33"/>
      <c r="B248" s="33"/>
      <c r="C248" s="33"/>
      <c r="D248" s="46"/>
      <c r="E248" s="46"/>
      <c r="F248" s="46"/>
      <c r="G248" s="46"/>
      <c r="H248" s="46"/>
      <c r="I248" s="46"/>
      <c r="J248" s="46"/>
      <c r="K248" s="33"/>
      <c r="L248" s="33"/>
      <c r="M248" s="33"/>
      <c r="N248" s="46"/>
      <c r="O248" s="46"/>
      <c r="P248" s="46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</row>
    <row r="249" spans="1:37" ht="33.75" customHeight="1" x14ac:dyDescent="0.5">
      <c r="A249" s="33"/>
      <c r="B249" s="33"/>
      <c r="C249" s="33"/>
      <c r="D249" s="46"/>
      <c r="E249" s="46"/>
      <c r="F249" s="46"/>
      <c r="G249" s="46"/>
      <c r="H249" s="46"/>
      <c r="I249" s="46"/>
      <c r="J249" s="46"/>
      <c r="K249" s="33"/>
      <c r="L249" s="33"/>
      <c r="M249" s="33"/>
      <c r="N249" s="46"/>
      <c r="O249" s="46"/>
      <c r="P249" s="46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</row>
    <row r="250" spans="1:37" ht="33.75" customHeight="1" x14ac:dyDescent="0.5">
      <c r="A250" s="33"/>
      <c r="B250" s="33"/>
      <c r="C250" s="33"/>
      <c r="D250" s="46"/>
      <c r="E250" s="46"/>
      <c r="F250" s="46"/>
      <c r="G250" s="46"/>
      <c r="H250" s="46"/>
      <c r="I250" s="46"/>
      <c r="J250" s="46"/>
      <c r="K250" s="33"/>
      <c r="L250" s="33"/>
      <c r="M250" s="33"/>
      <c r="N250" s="46"/>
      <c r="O250" s="46"/>
      <c r="P250" s="46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</row>
    <row r="251" spans="1:37" ht="33.75" customHeight="1" x14ac:dyDescent="0.5">
      <c r="A251" s="33"/>
      <c r="B251" s="33"/>
      <c r="C251" s="33"/>
      <c r="D251" s="46"/>
      <c r="E251" s="46"/>
      <c r="F251" s="46"/>
      <c r="G251" s="46"/>
      <c r="H251" s="46"/>
      <c r="I251" s="46"/>
      <c r="J251" s="46"/>
      <c r="K251" s="33"/>
      <c r="L251" s="33"/>
      <c r="M251" s="33"/>
      <c r="N251" s="46"/>
      <c r="O251" s="46"/>
      <c r="P251" s="46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</row>
    <row r="252" spans="1:37" ht="33.75" customHeight="1" x14ac:dyDescent="0.5">
      <c r="A252" s="33"/>
      <c r="B252" s="33"/>
      <c r="C252" s="33"/>
      <c r="D252" s="46"/>
      <c r="E252" s="46"/>
      <c r="F252" s="46"/>
      <c r="G252" s="46"/>
      <c r="H252" s="46"/>
      <c r="I252" s="46"/>
      <c r="J252" s="46"/>
      <c r="K252" s="33"/>
      <c r="L252" s="33"/>
      <c r="M252" s="33"/>
      <c r="N252" s="46"/>
      <c r="O252" s="46"/>
      <c r="P252" s="46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</row>
    <row r="253" spans="1:37" ht="33.75" customHeight="1" x14ac:dyDescent="0.5">
      <c r="A253" s="33"/>
      <c r="B253" s="33"/>
      <c r="C253" s="33"/>
      <c r="D253" s="46"/>
      <c r="E253" s="46"/>
      <c r="F253" s="46"/>
      <c r="G253" s="46"/>
      <c r="H253" s="46"/>
      <c r="I253" s="46"/>
      <c r="J253" s="46"/>
      <c r="K253" s="33"/>
      <c r="L253" s="33"/>
      <c r="M253" s="33"/>
      <c r="N253" s="46"/>
      <c r="O253" s="46"/>
      <c r="P253" s="46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</row>
    <row r="254" spans="1:37" ht="33.75" customHeight="1" x14ac:dyDescent="0.5">
      <c r="A254" s="33"/>
      <c r="B254" s="33"/>
      <c r="C254" s="33"/>
      <c r="D254" s="46"/>
      <c r="E254" s="46"/>
      <c r="F254" s="46"/>
      <c r="G254" s="46"/>
      <c r="H254" s="46"/>
      <c r="I254" s="46"/>
      <c r="J254" s="46"/>
      <c r="K254" s="33"/>
      <c r="L254" s="33"/>
      <c r="M254" s="33"/>
      <c r="N254" s="46"/>
      <c r="O254" s="46"/>
      <c r="P254" s="46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</row>
    <row r="255" spans="1:37" ht="33.75" customHeight="1" x14ac:dyDescent="0.5">
      <c r="A255" s="33"/>
      <c r="B255" s="33"/>
      <c r="C255" s="33"/>
      <c r="D255" s="46"/>
      <c r="E255" s="46"/>
      <c r="F255" s="46"/>
      <c r="G255" s="46"/>
      <c r="H255" s="46"/>
      <c r="I255" s="46"/>
      <c r="J255" s="46"/>
      <c r="K255" s="33"/>
      <c r="L255" s="33"/>
      <c r="M255" s="33"/>
      <c r="N255" s="46"/>
      <c r="O255" s="46"/>
      <c r="P255" s="46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</row>
    <row r="256" spans="1:37" ht="33.75" customHeight="1" x14ac:dyDescent="0.5">
      <c r="A256" s="33"/>
      <c r="B256" s="33"/>
      <c r="C256" s="33"/>
      <c r="D256" s="46"/>
      <c r="E256" s="46"/>
      <c r="F256" s="46"/>
      <c r="G256" s="46"/>
      <c r="H256" s="46"/>
      <c r="I256" s="46"/>
      <c r="J256" s="46"/>
      <c r="K256" s="33"/>
      <c r="L256" s="33"/>
      <c r="M256" s="33"/>
      <c r="N256" s="46"/>
      <c r="O256" s="46"/>
      <c r="P256" s="46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</row>
    <row r="257" spans="1:37" ht="33.75" customHeight="1" x14ac:dyDescent="0.5">
      <c r="A257" s="33"/>
      <c r="B257" s="33"/>
      <c r="C257" s="33"/>
      <c r="D257" s="46"/>
      <c r="E257" s="46"/>
      <c r="F257" s="46"/>
      <c r="G257" s="46"/>
      <c r="H257" s="46"/>
      <c r="I257" s="46"/>
      <c r="J257" s="46"/>
      <c r="K257" s="33"/>
      <c r="L257" s="33"/>
      <c r="M257" s="33"/>
      <c r="N257" s="46"/>
      <c r="O257" s="46"/>
      <c r="P257" s="46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</row>
    <row r="258" spans="1:37" ht="33.75" customHeight="1" x14ac:dyDescent="0.5">
      <c r="A258" s="33"/>
      <c r="B258" s="33"/>
      <c r="C258" s="33"/>
      <c r="D258" s="46"/>
      <c r="E258" s="46"/>
      <c r="F258" s="46"/>
      <c r="G258" s="46"/>
      <c r="H258" s="46"/>
      <c r="I258" s="46"/>
      <c r="J258" s="46"/>
      <c r="K258" s="33"/>
      <c r="L258" s="33"/>
      <c r="M258" s="33"/>
      <c r="N258" s="46"/>
      <c r="O258" s="46"/>
      <c r="P258" s="46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</row>
    <row r="259" spans="1:37" ht="33.75" customHeight="1" x14ac:dyDescent="0.5">
      <c r="A259" s="33"/>
      <c r="B259" s="33"/>
      <c r="C259" s="33"/>
      <c r="D259" s="46"/>
      <c r="E259" s="46"/>
      <c r="F259" s="46"/>
      <c r="G259" s="46"/>
      <c r="H259" s="46"/>
      <c r="I259" s="46"/>
      <c r="J259" s="46"/>
      <c r="K259" s="33"/>
      <c r="L259" s="33"/>
      <c r="M259" s="33"/>
      <c r="N259" s="46"/>
      <c r="O259" s="46"/>
      <c r="P259" s="46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</row>
    <row r="260" spans="1:37" ht="33.75" customHeight="1" x14ac:dyDescent="0.5">
      <c r="A260" s="33"/>
      <c r="B260" s="33"/>
      <c r="C260" s="33"/>
      <c r="D260" s="46"/>
      <c r="E260" s="46"/>
      <c r="F260" s="46"/>
      <c r="G260" s="46"/>
      <c r="H260" s="46"/>
      <c r="I260" s="46"/>
      <c r="J260" s="46"/>
      <c r="K260" s="33"/>
      <c r="L260" s="33"/>
      <c r="M260" s="33"/>
      <c r="N260" s="46"/>
      <c r="O260" s="46"/>
      <c r="P260" s="46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spans="1:37" ht="33.75" customHeight="1" x14ac:dyDescent="0.5">
      <c r="A261" s="33"/>
      <c r="B261" s="33"/>
      <c r="C261" s="33"/>
      <c r="D261" s="46"/>
      <c r="E261" s="46"/>
      <c r="F261" s="46"/>
      <c r="G261" s="46"/>
      <c r="H261" s="46"/>
      <c r="I261" s="46"/>
      <c r="J261" s="46"/>
      <c r="K261" s="33"/>
      <c r="L261" s="33"/>
      <c r="M261" s="33"/>
      <c r="N261" s="46"/>
      <c r="O261" s="46"/>
      <c r="P261" s="46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</row>
    <row r="262" spans="1:37" ht="33.75" customHeight="1" x14ac:dyDescent="0.5">
      <c r="A262" s="33"/>
      <c r="B262" s="33"/>
      <c r="C262" s="33"/>
      <c r="D262" s="46"/>
      <c r="E262" s="46"/>
      <c r="F262" s="46"/>
      <c r="G262" s="46"/>
      <c r="H262" s="46"/>
      <c r="I262" s="46"/>
      <c r="J262" s="46"/>
      <c r="K262" s="33"/>
      <c r="L262" s="33"/>
      <c r="M262" s="33"/>
      <c r="N262" s="46"/>
      <c r="O262" s="46"/>
      <c r="P262" s="46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</row>
    <row r="263" spans="1:37" ht="33.75" customHeight="1" x14ac:dyDescent="0.5">
      <c r="A263" s="33"/>
      <c r="B263" s="33"/>
      <c r="C263" s="33"/>
      <c r="D263" s="46"/>
      <c r="E263" s="46"/>
      <c r="F263" s="46"/>
      <c r="G263" s="46"/>
      <c r="H263" s="46"/>
      <c r="I263" s="46"/>
      <c r="J263" s="46"/>
      <c r="K263" s="33"/>
      <c r="L263" s="33"/>
      <c r="M263" s="33"/>
      <c r="N263" s="46"/>
      <c r="O263" s="46"/>
      <c r="P263" s="46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</row>
    <row r="264" spans="1:37" ht="33.75" customHeight="1" x14ac:dyDescent="0.5">
      <c r="A264" s="33"/>
      <c r="B264" s="33"/>
      <c r="C264" s="33"/>
      <c r="D264" s="46"/>
      <c r="E264" s="46"/>
      <c r="F264" s="46"/>
      <c r="G264" s="46"/>
      <c r="H264" s="46"/>
      <c r="I264" s="46"/>
      <c r="J264" s="46"/>
      <c r="K264" s="33"/>
      <c r="L264" s="33"/>
      <c r="M264" s="33"/>
      <c r="N264" s="46"/>
      <c r="O264" s="46"/>
      <c r="P264" s="46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</row>
    <row r="265" spans="1:37" ht="33.75" customHeight="1" x14ac:dyDescent="0.5">
      <c r="A265" s="33"/>
      <c r="B265" s="33"/>
      <c r="C265" s="33"/>
      <c r="D265" s="46"/>
      <c r="E265" s="46"/>
      <c r="F265" s="46"/>
      <c r="G265" s="46"/>
      <c r="H265" s="46"/>
      <c r="I265" s="46"/>
      <c r="J265" s="46"/>
      <c r="K265" s="33"/>
      <c r="L265" s="33"/>
      <c r="M265" s="33"/>
      <c r="N265" s="46"/>
      <c r="O265" s="46"/>
      <c r="P265" s="46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</row>
    <row r="266" spans="1:37" ht="33.75" customHeight="1" x14ac:dyDescent="0.5">
      <c r="A266" s="33"/>
      <c r="B266" s="33"/>
      <c r="C266" s="33"/>
      <c r="D266" s="46"/>
      <c r="E266" s="46"/>
      <c r="F266" s="46"/>
      <c r="G266" s="46"/>
      <c r="H266" s="46"/>
      <c r="I266" s="46"/>
      <c r="J266" s="46"/>
      <c r="K266" s="33"/>
      <c r="L266" s="33"/>
      <c r="M266" s="33"/>
      <c r="N266" s="46"/>
      <c r="O266" s="46"/>
      <c r="P266" s="46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</row>
    <row r="267" spans="1:37" ht="33.75" customHeight="1" x14ac:dyDescent="0.5">
      <c r="A267" s="33"/>
      <c r="B267" s="33"/>
      <c r="C267" s="33"/>
      <c r="D267" s="46"/>
      <c r="E267" s="46"/>
      <c r="F267" s="46"/>
      <c r="G267" s="46"/>
      <c r="H267" s="46"/>
      <c r="I267" s="46"/>
      <c r="J267" s="46"/>
      <c r="K267" s="33"/>
      <c r="L267" s="33"/>
      <c r="M267" s="33"/>
      <c r="N267" s="46"/>
      <c r="O267" s="46"/>
      <c r="P267" s="46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</row>
    <row r="268" spans="1:37" ht="33.75" customHeight="1" x14ac:dyDescent="0.5">
      <c r="A268" s="33"/>
      <c r="B268" s="33"/>
      <c r="C268" s="33"/>
      <c r="D268" s="46"/>
      <c r="E268" s="46"/>
      <c r="F268" s="46"/>
      <c r="G268" s="46"/>
      <c r="H268" s="46"/>
      <c r="I268" s="46"/>
      <c r="J268" s="46"/>
      <c r="K268" s="33"/>
      <c r="L268" s="33"/>
      <c r="M268" s="33"/>
      <c r="N268" s="46"/>
      <c r="O268" s="46"/>
      <c r="P268" s="46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spans="1:37" ht="33.75" customHeight="1" x14ac:dyDescent="0.5">
      <c r="A269" s="33"/>
      <c r="B269" s="33"/>
      <c r="C269" s="33"/>
      <c r="D269" s="46"/>
      <c r="E269" s="46"/>
      <c r="F269" s="46"/>
      <c r="G269" s="46"/>
      <c r="H269" s="46"/>
      <c r="I269" s="46"/>
      <c r="J269" s="46"/>
      <c r="K269" s="33"/>
      <c r="L269" s="33"/>
      <c r="M269" s="33"/>
      <c r="N269" s="46"/>
      <c r="O269" s="46"/>
      <c r="P269" s="46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</row>
    <row r="270" spans="1:37" ht="33.75" customHeight="1" x14ac:dyDescent="0.5">
      <c r="A270" s="33"/>
      <c r="B270" s="33"/>
      <c r="C270" s="33"/>
      <c r="D270" s="46"/>
      <c r="E270" s="46"/>
      <c r="F270" s="46"/>
      <c r="G270" s="46"/>
      <c r="H270" s="46"/>
      <c r="I270" s="46"/>
      <c r="J270" s="46"/>
      <c r="K270" s="33"/>
      <c r="L270" s="33"/>
      <c r="M270" s="33"/>
      <c r="N270" s="46"/>
      <c r="O270" s="46"/>
      <c r="P270" s="46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</row>
    <row r="271" spans="1:37" ht="33.75" customHeight="1" x14ac:dyDescent="0.5">
      <c r="A271" s="33"/>
      <c r="B271" s="33"/>
      <c r="C271" s="33"/>
      <c r="D271" s="46"/>
      <c r="E271" s="46"/>
      <c r="F271" s="46"/>
      <c r="G271" s="46"/>
      <c r="H271" s="46"/>
      <c r="I271" s="46"/>
      <c r="J271" s="46"/>
      <c r="K271" s="33"/>
      <c r="L271" s="33"/>
      <c r="M271" s="33"/>
      <c r="N271" s="46"/>
      <c r="O271" s="46"/>
      <c r="P271" s="46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</row>
    <row r="272" spans="1:37" ht="33.75" customHeight="1" x14ac:dyDescent="0.5">
      <c r="A272" s="33"/>
      <c r="B272" s="33"/>
      <c r="C272" s="33"/>
      <c r="D272" s="46"/>
      <c r="E272" s="46"/>
      <c r="F272" s="46"/>
      <c r="G272" s="46"/>
      <c r="H272" s="46"/>
      <c r="I272" s="46"/>
      <c r="J272" s="46"/>
      <c r="K272" s="33"/>
      <c r="L272" s="33"/>
      <c r="M272" s="33"/>
      <c r="N272" s="46"/>
      <c r="O272" s="46"/>
      <c r="P272" s="46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spans="1:37" ht="33.75" customHeight="1" x14ac:dyDescent="0.5">
      <c r="A273" s="33"/>
      <c r="B273" s="33"/>
      <c r="C273" s="33"/>
      <c r="D273" s="46"/>
      <c r="E273" s="46"/>
      <c r="F273" s="46"/>
      <c r="G273" s="46"/>
      <c r="H273" s="46"/>
      <c r="I273" s="46"/>
      <c r="J273" s="46"/>
      <c r="K273" s="33"/>
      <c r="L273" s="33"/>
      <c r="M273" s="33"/>
      <c r="N273" s="46"/>
      <c r="O273" s="46"/>
      <c r="P273" s="46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</row>
    <row r="274" spans="1:37" ht="33.75" customHeight="1" x14ac:dyDescent="0.5">
      <c r="A274" s="33"/>
      <c r="B274" s="33"/>
      <c r="C274" s="33"/>
      <c r="D274" s="46"/>
      <c r="E274" s="46"/>
      <c r="F274" s="46"/>
      <c r="G274" s="46"/>
      <c r="H274" s="46"/>
      <c r="I274" s="46"/>
      <c r="J274" s="46"/>
      <c r="K274" s="33"/>
      <c r="L274" s="33"/>
      <c r="M274" s="33"/>
      <c r="N274" s="46"/>
      <c r="O274" s="46"/>
      <c r="P274" s="46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</row>
    <row r="275" spans="1:37" ht="33.75" customHeight="1" x14ac:dyDescent="0.5">
      <c r="A275" s="33"/>
      <c r="B275" s="33"/>
      <c r="C275" s="33"/>
      <c r="D275" s="46"/>
      <c r="E275" s="46"/>
      <c r="F275" s="46"/>
      <c r="G275" s="46"/>
      <c r="H275" s="46"/>
      <c r="I275" s="46"/>
      <c r="J275" s="46"/>
      <c r="K275" s="33"/>
      <c r="L275" s="33"/>
      <c r="M275" s="33"/>
      <c r="N275" s="46"/>
      <c r="O275" s="46"/>
      <c r="P275" s="46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</row>
    <row r="276" spans="1:37" ht="33.75" customHeight="1" x14ac:dyDescent="0.5">
      <c r="A276" s="33"/>
      <c r="B276" s="33"/>
      <c r="C276" s="33"/>
      <c r="D276" s="46"/>
      <c r="E276" s="46"/>
      <c r="F276" s="46"/>
      <c r="G276" s="46"/>
      <c r="H276" s="46"/>
      <c r="I276" s="46"/>
      <c r="J276" s="46"/>
      <c r="K276" s="33"/>
      <c r="L276" s="33"/>
      <c r="M276" s="33"/>
      <c r="N276" s="46"/>
      <c r="O276" s="46"/>
      <c r="P276" s="46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</row>
    <row r="277" spans="1:37" ht="33.75" customHeight="1" x14ac:dyDescent="0.5">
      <c r="A277" s="33"/>
      <c r="B277" s="33"/>
      <c r="C277" s="33"/>
      <c r="D277" s="46"/>
      <c r="E277" s="46"/>
      <c r="F277" s="46"/>
      <c r="G277" s="46"/>
      <c r="H277" s="46"/>
      <c r="I277" s="46"/>
      <c r="J277" s="46"/>
      <c r="K277" s="33"/>
      <c r="L277" s="33"/>
      <c r="M277" s="33"/>
      <c r="N277" s="46"/>
      <c r="O277" s="46"/>
      <c r="P277" s="46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</row>
    <row r="278" spans="1:37" ht="33.75" customHeight="1" x14ac:dyDescent="0.5">
      <c r="A278" s="33"/>
      <c r="B278" s="33"/>
      <c r="C278" s="33"/>
      <c r="D278" s="46"/>
      <c r="E278" s="46"/>
      <c r="F278" s="46"/>
      <c r="G278" s="46"/>
      <c r="H278" s="46"/>
      <c r="I278" s="46"/>
      <c r="J278" s="46"/>
      <c r="K278" s="33"/>
      <c r="L278" s="33"/>
      <c r="M278" s="33"/>
      <c r="N278" s="46"/>
      <c r="O278" s="46"/>
      <c r="P278" s="46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</row>
    <row r="279" spans="1:37" ht="33.75" customHeight="1" x14ac:dyDescent="0.5">
      <c r="A279" s="33"/>
      <c r="B279" s="33"/>
      <c r="C279" s="33"/>
      <c r="D279" s="46"/>
      <c r="E279" s="46"/>
      <c r="F279" s="46"/>
      <c r="G279" s="46"/>
      <c r="H279" s="46"/>
      <c r="I279" s="46"/>
      <c r="J279" s="46"/>
      <c r="K279" s="33"/>
      <c r="L279" s="33"/>
      <c r="M279" s="33"/>
      <c r="N279" s="46"/>
      <c r="O279" s="46"/>
      <c r="P279" s="46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</row>
    <row r="280" spans="1:37" ht="33.75" customHeight="1" x14ac:dyDescent="0.5">
      <c r="A280" s="33"/>
      <c r="B280" s="33"/>
      <c r="C280" s="33"/>
      <c r="D280" s="46"/>
      <c r="E280" s="46"/>
      <c r="F280" s="46"/>
      <c r="G280" s="46"/>
      <c r="H280" s="46"/>
      <c r="I280" s="46"/>
      <c r="J280" s="46"/>
      <c r="K280" s="33"/>
      <c r="L280" s="33"/>
      <c r="M280" s="33"/>
      <c r="N280" s="46"/>
      <c r="O280" s="46"/>
      <c r="P280" s="46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spans="1:37" ht="33.75" customHeight="1" x14ac:dyDescent="0.5">
      <c r="A281" s="33"/>
      <c r="B281" s="33"/>
      <c r="C281" s="33"/>
      <c r="D281" s="46"/>
      <c r="E281" s="46"/>
      <c r="F281" s="46"/>
      <c r="G281" s="46"/>
      <c r="H281" s="46"/>
      <c r="I281" s="46"/>
      <c r="J281" s="46"/>
      <c r="K281" s="33"/>
      <c r="L281" s="33"/>
      <c r="M281" s="33"/>
      <c r="N281" s="46"/>
      <c r="O281" s="46"/>
      <c r="P281" s="46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</row>
    <row r="282" spans="1:37" ht="33.75" customHeight="1" x14ac:dyDescent="0.5">
      <c r="A282" s="33"/>
      <c r="B282" s="33"/>
      <c r="C282" s="33"/>
      <c r="D282" s="46"/>
      <c r="E282" s="46"/>
      <c r="F282" s="46"/>
      <c r="G282" s="46"/>
      <c r="H282" s="46"/>
      <c r="I282" s="46"/>
      <c r="J282" s="46"/>
      <c r="K282" s="33"/>
      <c r="L282" s="33"/>
      <c r="M282" s="33"/>
      <c r="N282" s="46"/>
      <c r="O282" s="46"/>
      <c r="P282" s="46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spans="1:37" ht="33.75" customHeight="1" x14ac:dyDescent="0.5">
      <c r="A283" s="33"/>
      <c r="B283" s="33"/>
      <c r="C283" s="33"/>
      <c r="D283" s="46"/>
      <c r="E283" s="46"/>
      <c r="F283" s="46"/>
      <c r="G283" s="46"/>
      <c r="H283" s="46"/>
      <c r="I283" s="46"/>
      <c r="J283" s="46"/>
      <c r="K283" s="33"/>
      <c r="L283" s="33"/>
      <c r="M283" s="33"/>
      <c r="N283" s="46"/>
      <c r="O283" s="46"/>
      <c r="P283" s="46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spans="1:37" ht="33.75" customHeight="1" x14ac:dyDescent="0.5">
      <c r="A284" s="33"/>
      <c r="B284" s="33"/>
      <c r="C284" s="33"/>
      <c r="D284" s="46"/>
      <c r="E284" s="46"/>
      <c r="F284" s="46"/>
      <c r="G284" s="46"/>
      <c r="H284" s="46"/>
      <c r="I284" s="46"/>
      <c r="J284" s="46"/>
      <c r="K284" s="33"/>
      <c r="L284" s="33"/>
      <c r="M284" s="33"/>
      <c r="N284" s="46"/>
      <c r="O284" s="46"/>
      <c r="P284" s="46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</row>
    <row r="285" spans="1:37" ht="33.75" customHeight="1" x14ac:dyDescent="0.5">
      <c r="A285" s="33"/>
      <c r="B285" s="33"/>
      <c r="C285" s="33"/>
      <c r="D285" s="46"/>
      <c r="E285" s="46"/>
      <c r="F285" s="46"/>
      <c r="G285" s="46"/>
      <c r="H285" s="46"/>
      <c r="I285" s="46"/>
      <c r="J285" s="46"/>
      <c r="K285" s="33"/>
      <c r="L285" s="33"/>
      <c r="M285" s="33"/>
      <c r="N285" s="46"/>
      <c r="O285" s="46"/>
      <c r="P285" s="46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</row>
    <row r="286" spans="1:37" ht="33.75" customHeight="1" x14ac:dyDescent="0.5">
      <c r="A286" s="33"/>
      <c r="B286" s="33"/>
      <c r="C286" s="33"/>
      <c r="D286" s="46"/>
      <c r="E286" s="46"/>
      <c r="F286" s="46"/>
      <c r="G286" s="46"/>
      <c r="H286" s="46"/>
      <c r="I286" s="46"/>
      <c r="J286" s="46"/>
      <c r="K286" s="33"/>
      <c r="L286" s="33"/>
      <c r="M286" s="33"/>
      <c r="N286" s="46"/>
      <c r="O286" s="46"/>
      <c r="P286" s="46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</row>
    <row r="287" spans="1:37" ht="33.75" customHeight="1" x14ac:dyDescent="0.5">
      <c r="A287" s="33"/>
      <c r="B287" s="33"/>
      <c r="C287" s="33"/>
      <c r="D287" s="46"/>
      <c r="E287" s="46"/>
      <c r="F287" s="46"/>
      <c r="G287" s="46"/>
      <c r="H287" s="46"/>
      <c r="I287" s="46"/>
      <c r="J287" s="46"/>
      <c r="K287" s="33"/>
      <c r="L287" s="33"/>
      <c r="M287" s="33"/>
      <c r="N287" s="46"/>
      <c r="O287" s="46"/>
      <c r="P287" s="46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</row>
    <row r="288" spans="1:37" ht="33.75" customHeight="1" x14ac:dyDescent="0.5">
      <c r="A288" s="33"/>
      <c r="B288" s="33"/>
      <c r="C288" s="33"/>
      <c r="D288" s="46"/>
      <c r="E288" s="46"/>
      <c r="F288" s="46"/>
      <c r="G288" s="46"/>
      <c r="H288" s="46"/>
      <c r="I288" s="46"/>
      <c r="J288" s="46"/>
      <c r="K288" s="33"/>
      <c r="L288" s="33"/>
      <c r="M288" s="33"/>
      <c r="N288" s="46"/>
      <c r="O288" s="46"/>
      <c r="P288" s="46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</row>
    <row r="289" spans="1:37" ht="33.75" customHeight="1" x14ac:dyDescent="0.5">
      <c r="A289" s="33"/>
      <c r="B289" s="33"/>
      <c r="C289" s="33"/>
      <c r="D289" s="46"/>
      <c r="E289" s="46"/>
      <c r="F289" s="46"/>
      <c r="G289" s="46"/>
      <c r="H289" s="46"/>
      <c r="I289" s="46"/>
      <c r="J289" s="46"/>
      <c r="K289" s="33"/>
      <c r="L289" s="33"/>
      <c r="M289" s="33"/>
      <c r="N289" s="46"/>
      <c r="O289" s="46"/>
      <c r="P289" s="46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</row>
    <row r="290" spans="1:37" ht="33.75" customHeight="1" x14ac:dyDescent="0.5">
      <c r="A290" s="33"/>
      <c r="B290" s="33"/>
      <c r="C290" s="33"/>
      <c r="D290" s="46"/>
      <c r="E290" s="46"/>
      <c r="F290" s="46"/>
      <c r="G290" s="46"/>
      <c r="H290" s="46"/>
      <c r="I290" s="46"/>
      <c r="J290" s="46"/>
      <c r="K290" s="33"/>
      <c r="L290" s="33"/>
      <c r="M290" s="33"/>
      <c r="N290" s="46"/>
      <c r="O290" s="46"/>
      <c r="P290" s="46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spans="1:37" ht="33.75" customHeight="1" x14ac:dyDescent="0.5">
      <c r="A291" s="33"/>
      <c r="B291" s="33"/>
      <c r="C291" s="33"/>
      <c r="D291" s="46"/>
      <c r="E291" s="46"/>
      <c r="F291" s="46"/>
      <c r="G291" s="46"/>
      <c r="H291" s="46"/>
      <c r="I291" s="46"/>
      <c r="J291" s="46"/>
      <c r="K291" s="33"/>
      <c r="L291" s="33"/>
      <c r="M291" s="33"/>
      <c r="N291" s="46"/>
      <c r="O291" s="46"/>
      <c r="P291" s="46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</row>
    <row r="292" spans="1:37" ht="33.75" customHeight="1" x14ac:dyDescent="0.5">
      <c r="A292" s="33"/>
      <c r="B292" s="33"/>
      <c r="C292" s="33"/>
      <c r="D292" s="46"/>
      <c r="E292" s="46"/>
      <c r="F292" s="46"/>
      <c r="G292" s="46"/>
      <c r="H292" s="46"/>
      <c r="I292" s="46"/>
      <c r="J292" s="46"/>
      <c r="K292" s="33"/>
      <c r="L292" s="33"/>
      <c r="M292" s="33"/>
      <c r="N292" s="46"/>
      <c r="O292" s="46"/>
      <c r="P292" s="46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</row>
    <row r="293" spans="1:37" ht="33.75" customHeight="1" x14ac:dyDescent="0.5">
      <c r="A293" s="33"/>
      <c r="B293" s="33"/>
      <c r="C293" s="33"/>
      <c r="D293" s="46"/>
      <c r="E293" s="46"/>
      <c r="F293" s="46"/>
      <c r="G293" s="46"/>
      <c r="H293" s="46"/>
      <c r="I293" s="46"/>
      <c r="J293" s="46"/>
      <c r="K293" s="33"/>
      <c r="L293" s="33"/>
      <c r="M293" s="33"/>
      <c r="N293" s="46"/>
      <c r="O293" s="46"/>
      <c r="P293" s="46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</row>
    <row r="294" spans="1:37" ht="33.75" customHeight="1" x14ac:dyDescent="0.5">
      <c r="A294" s="33"/>
      <c r="B294" s="33"/>
      <c r="C294" s="33"/>
      <c r="D294" s="46"/>
      <c r="E294" s="46"/>
      <c r="F294" s="46"/>
      <c r="G294" s="46"/>
      <c r="H294" s="46"/>
      <c r="I294" s="46"/>
      <c r="J294" s="46"/>
      <c r="K294" s="33"/>
      <c r="L294" s="33"/>
      <c r="M294" s="33"/>
      <c r="N294" s="46"/>
      <c r="O294" s="46"/>
      <c r="P294" s="46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</row>
    <row r="295" spans="1:37" ht="33.75" customHeight="1" x14ac:dyDescent="0.5">
      <c r="A295" s="33"/>
      <c r="B295" s="33"/>
      <c r="C295" s="33"/>
      <c r="D295" s="46"/>
      <c r="E295" s="46"/>
      <c r="F295" s="46"/>
      <c r="G295" s="46"/>
      <c r="H295" s="46"/>
      <c r="I295" s="46"/>
      <c r="J295" s="46"/>
      <c r="K295" s="33"/>
      <c r="L295" s="33"/>
      <c r="M295" s="33"/>
      <c r="N295" s="46"/>
      <c r="O295" s="46"/>
      <c r="P295" s="46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</row>
    <row r="296" spans="1:37" ht="33.75" customHeight="1" x14ac:dyDescent="0.5">
      <c r="A296" s="33"/>
      <c r="B296" s="33"/>
      <c r="C296" s="33"/>
      <c r="D296" s="46"/>
      <c r="E296" s="46"/>
      <c r="F296" s="46"/>
      <c r="G296" s="46"/>
      <c r="H296" s="46"/>
      <c r="I296" s="46"/>
      <c r="J296" s="46"/>
      <c r="K296" s="33"/>
      <c r="L296" s="33"/>
      <c r="M296" s="33"/>
      <c r="N296" s="46"/>
      <c r="O296" s="46"/>
      <c r="P296" s="46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</row>
    <row r="297" spans="1:37" ht="33.75" customHeight="1" x14ac:dyDescent="0.5">
      <c r="A297" s="33"/>
      <c r="B297" s="33"/>
      <c r="C297" s="33"/>
      <c r="D297" s="46"/>
      <c r="E297" s="46"/>
      <c r="F297" s="46"/>
      <c r="G297" s="46"/>
      <c r="H297" s="46"/>
      <c r="I297" s="46"/>
      <c r="J297" s="46"/>
      <c r="K297" s="33"/>
      <c r="L297" s="33"/>
      <c r="M297" s="33"/>
      <c r="N297" s="46"/>
      <c r="O297" s="46"/>
      <c r="P297" s="46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spans="1:37" ht="33.75" customHeight="1" x14ac:dyDescent="0.5">
      <c r="A298" s="33"/>
      <c r="B298" s="33"/>
      <c r="C298" s="33"/>
      <c r="D298" s="46"/>
      <c r="E298" s="46"/>
      <c r="F298" s="46"/>
      <c r="G298" s="46"/>
      <c r="H298" s="46"/>
      <c r="I298" s="46"/>
      <c r="J298" s="46"/>
      <c r="K298" s="33"/>
      <c r="L298" s="33"/>
      <c r="M298" s="33"/>
      <c r="N298" s="46"/>
      <c r="O298" s="46"/>
      <c r="P298" s="46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spans="1:37" ht="33.75" customHeight="1" x14ac:dyDescent="0.5">
      <c r="A299" s="33"/>
      <c r="B299" s="33"/>
      <c r="C299" s="33"/>
      <c r="D299" s="46"/>
      <c r="E299" s="46"/>
      <c r="F299" s="46"/>
      <c r="G299" s="46"/>
      <c r="H299" s="46"/>
      <c r="I299" s="46"/>
      <c r="J299" s="46"/>
      <c r="K299" s="33"/>
      <c r="L299" s="33"/>
      <c r="M299" s="33"/>
      <c r="N299" s="46"/>
      <c r="O299" s="46"/>
      <c r="P299" s="46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spans="1:37" ht="33.75" customHeight="1" x14ac:dyDescent="0.5">
      <c r="A300" s="33"/>
      <c r="B300" s="33"/>
      <c r="C300" s="33"/>
      <c r="D300" s="46"/>
      <c r="E300" s="46"/>
      <c r="F300" s="46"/>
      <c r="G300" s="46"/>
      <c r="H300" s="46"/>
      <c r="I300" s="46"/>
      <c r="J300" s="46"/>
      <c r="K300" s="33"/>
      <c r="L300" s="33"/>
      <c r="M300" s="33"/>
      <c r="N300" s="46"/>
      <c r="O300" s="46"/>
      <c r="P300" s="46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spans="1:37" ht="33.75" customHeight="1" x14ac:dyDescent="0.5">
      <c r="A301" s="33"/>
      <c r="B301" s="33"/>
      <c r="C301" s="33"/>
      <c r="D301" s="46"/>
      <c r="E301" s="46"/>
      <c r="F301" s="46"/>
      <c r="G301" s="46"/>
      <c r="H301" s="46"/>
      <c r="I301" s="46"/>
      <c r="J301" s="46"/>
      <c r="K301" s="33"/>
      <c r="L301" s="33"/>
      <c r="M301" s="33"/>
      <c r="N301" s="46"/>
      <c r="O301" s="46"/>
      <c r="P301" s="46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spans="1:37" ht="33.75" customHeight="1" x14ac:dyDescent="0.5">
      <c r="A302" s="33"/>
      <c r="B302" s="33"/>
      <c r="C302" s="33"/>
      <c r="D302" s="46"/>
      <c r="E302" s="46"/>
      <c r="F302" s="46"/>
      <c r="G302" s="46"/>
      <c r="H302" s="46"/>
      <c r="I302" s="46"/>
      <c r="J302" s="46"/>
      <c r="K302" s="33"/>
      <c r="L302" s="33"/>
      <c r="M302" s="33"/>
      <c r="N302" s="46"/>
      <c r="O302" s="46"/>
      <c r="P302" s="46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spans="1:37" ht="33.75" customHeight="1" x14ac:dyDescent="0.5">
      <c r="A303" s="33"/>
      <c r="B303" s="33"/>
      <c r="C303" s="33"/>
      <c r="D303" s="46"/>
      <c r="E303" s="46"/>
      <c r="F303" s="46"/>
      <c r="G303" s="46"/>
      <c r="H303" s="46"/>
      <c r="I303" s="46"/>
      <c r="J303" s="46"/>
      <c r="K303" s="33"/>
      <c r="L303" s="33"/>
      <c r="M303" s="33"/>
      <c r="N303" s="46"/>
      <c r="O303" s="46"/>
      <c r="P303" s="46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spans="1:37" ht="33.75" customHeight="1" x14ac:dyDescent="0.5">
      <c r="A304" s="33"/>
      <c r="B304" s="33"/>
      <c r="C304" s="33"/>
      <c r="D304" s="46"/>
      <c r="E304" s="46"/>
      <c r="F304" s="46"/>
      <c r="G304" s="46"/>
      <c r="H304" s="46"/>
      <c r="I304" s="46"/>
      <c r="J304" s="46"/>
      <c r="K304" s="33"/>
      <c r="L304" s="33"/>
      <c r="M304" s="33"/>
      <c r="N304" s="46"/>
      <c r="O304" s="46"/>
      <c r="P304" s="46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spans="1:37" ht="33.75" customHeight="1" x14ac:dyDescent="0.5">
      <c r="A305" s="33"/>
      <c r="B305" s="33"/>
      <c r="C305" s="33"/>
      <c r="D305" s="46"/>
      <c r="E305" s="46"/>
      <c r="F305" s="46"/>
      <c r="G305" s="46"/>
      <c r="H305" s="46"/>
      <c r="I305" s="46"/>
      <c r="J305" s="46"/>
      <c r="K305" s="33"/>
      <c r="L305" s="33"/>
      <c r="M305" s="33"/>
      <c r="N305" s="46"/>
      <c r="O305" s="46"/>
      <c r="P305" s="46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spans="1:37" ht="33.75" customHeight="1" x14ac:dyDescent="0.5">
      <c r="A306" s="33"/>
      <c r="B306" s="33"/>
      <c r="C306" s="33"/>
      <c r="D306" s="46"/>
      <c r="E306" s="46"/>
      <c r="F306" s="46"/>
      <c r="G306" s="46"/>
      <c r="H306" s="46"/>
      <c r="I306" s="46"/>
      <c r="J306" s="46"/>
      <c r="K306" s="33"/>
      <c r="L306" s="33"/>
      <c r="M306" s="33"/>
      <c r="N306" s="46"/>
      <c r="O306" s="46"/>
      <c r="P306" s="46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spans="1:37" ht="33.75" customHeight="1" x14ac:dyDescent="0.5">
      <c r="A307" s="33"/>
      <c r="B307" s="33"/>
      <c r="C307" s="33"/>
      <c r="D307" s="46"/>
      <c r="E307" s="46"/>
      <c r="F307" s="46"/>
      <c r="G307" s="46"/>
      <c r="H307" s="46"/>
      <c r="I307" s="46"/>
      <c r="J307" s="46"/>
      <c r="K307" s="33"/>
      <c r="L307" s="33"/>
      <c r="M307" s="33"/>
      <c r="N307" s="46"/>
      <c r="O307" s="46"/>
      <c r="P307" s="46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spans="1:37" ht="33.75" customHeight="1" x14ac:dyDescent="0.5">
      <c r="A308" s="33"/>
      <c r="B308" s="33"/>
      <c r="C308" s="33"/>
      <c r="D308" s="46"/>
      <c r="E308" s="46"/>
      <c r="F308" s="46"/>
      <c r="G308" s="46"/>
      <c r="H308" s="46"/>
      <c r="I308" s="46"/>
      <c r="J308" s="46"/>
      <c r="K308" s="33"/>
      <c r="L308" s="33"/>
      <c r="M308" s="33"/>
      <c r="N308" s="46"/>
      <c r="O308" s="46"/>
      <c r="P308" s="46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spans="1:37" ht="33.75" customHeight="1" x14ac:dyDescent="0.5">
      <c r="A309" s="33"/>
      <c r="B309" s="33"/>
      <c r="C309" s="33"/>
      <c r="D309" s="46"/>
      <c r="E309" s="46"/>
      <c r="F309" s="46"/>
      <c r="G309" s="46"/>
      <c r="H309" s="46"/>
      <c r="I309" s="46"/>
      <c r="J309" s="46"/>
      <c r="K309" s="33"/>
      <c r="L309" s="33"/>
      <c r="M309" s="33"/>
      <c r="N309" s="46"/>
      <c r="O309" s="46"/>
      <c r="P309" s="46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spans="1:37" ht="33.75" customHeight="1" x14ac:dyDescent="0.5">
      <c r="A310" s="33"/>
      <c r="B310" s="33"/>
      <c r="C310" s="33"/>
      <c r="D310" s="46"/>
      <c r="E310" s="46"/>
      <c r="F310" s="46"/>
      <c r="G310" s="46"/>
      <c r="H310" s="46"/>
      <c r="I310" s="46"/>
      <c r="J310" s="46"/>
      <c r="K310" s="33"/>
      <c r="L310" s="33"/>
      <c r="M310" s="33"/>
      <c r="N310" s="46"/>
      <c r="O310" s="46"/>
      <c r="P310" s="46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spans="1:37" ht="33.75" customHeight="1" x14ac:dyDescent="0.5">
      <c r="A311" s="33"/>
      <c r="B311" s="33"/>
      <c r="C311" s="33"/>
      <c r="D311" s="46"/>
      <c r="E311" s="46"/>
      <c r="F311" s="46"/>
      <c r="G311" s="46"/>
      <c r="H311" s="46"/>
      <c r="I311" s="46"/>
      <c r="J311" s="46"/>
      <c r="K311" s="33"/>
      <c r="L311" s="33"/>
      <c r="M311" s="33"/>
      <c r="N311" s="46"/>
      <c r="O311" s="46"/>
      <c r="P311" s="46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spans="1:37" ht="33.75" customHeight="1" x14ac:dyDescent="0.5">
      <c r="A312" s="33"/>
      <c r="B312" s="33"/>
      <c r="C312" s="33"/>
      <c r="D312" s="46"/>
      <c r="E312" s="46"/>
      <c r="F312" s="46"/>
      <c r="G312" s="46"/>
      <c r="H312" s="46"/>
      <c r="I312" s="46"/>
      <c r="J312" s="46"/>
      <c r="K312" s="33"/>
      <c r="L312" s="33"/>
      <c r="M312" s="33"/>
      <c r="N312" s="46"/>
      <c r="O312" s="46"/>
      <c r="P312" s="46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spans="1:37" ht="33.75" customHeight="1" x14ac:dyDescent="0.5">
      <c r="A313" s="33"/>
      <c r="B313" s="33"/>
      <c r="C313" s="33"/>
      <c r="D313" s="46"/>
      <c r="E313" s="46"/>
      <c r="F313" s="46"/>
      <c r="G313" s="46"/>
      <c r="H313" s="46"/>
      <c r="I313" s="46"/>
      <c r="J313" s="46"/>
      <c r="K313" s="33"/>
      <c r="L313" s="33"/>
      <c r="M313" s="33"/>
      <c r="N313" s="46"/>
      <c r="O313" s="46"/>
      <c r="P313" s="46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spans="1:37" ht="33.75" customHeight="1" x14ac:dyDescent="0.5">
      <c r="A314" s="33"/>
      <c r="B314" s="33"/>
      <c r="C314" s="33"/>
      <c r="D314" s="46"/>
      <c r="E314" s="46"/>
      <c r="F314" s="46"/>
      <c r="G314" s="46"/>
      <c r="H314" s="46"/>
      <c r="I314" s="46"/>
      <c r="J314" s="46"/>
      <c r="K314" s="33"/>
      <c r="L314" s="33"/>
      <c r="M314" s="33"/>
      <c r="N314" s="46"/>
      <c r="O314" s="46"/>
      <c r="P314" s="46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</row>
    <row r="315" spans="1:37" ht="33.75" customHeight="1" x14ac:dyDescent="0.5">
      <c r="A315" s="33"/>
      <c r="B315" s="33"/>
      <c r="C315" s="33"/>
      <c r="D315" s="46"/>
      <c r="E315" s="46"/>
      <c r="F315" s="46"/>
      <c r="G315" s="46"/>
      <c r="H315" s="46"/>
      <c r="I315" s="46"/>
      <c r="J315" s="46"/>
      <c r="K315" s="33"/>
      <c r="L315" s="33"/>
      <c r="M315" s="33"/>
      <c r="N315" s="46"/>
      <c r="O315" s="46"/>
      <c r="P315" s="46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</row>
    <row r="316" spans="1:37" ht="33.75" customHeight="1" x14ac:dyDescent="0.5">
      <c r="A316" s="33"/>
      <c r="B316" s="33"/>
      <c r="C316" s="33"/>
      <c r="D316" s="46"/>
      <c r="E316" s="46"/>
      <c r="F316" s="46"/>
      <c r="G316" s="46"/>
      <c r="H316" s="46"/>
      <c r="I316" s="46"/>
      <c r="J316" s="46"/>
      <c r="K316" s="33"/>
      <c r="L316" s="33"/>
      <c r="M316" s="33"/>
      <c r="N316" s="46"/>
      <c r="O316" s="46"/>
      <c r="P316" s="46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</row>
    <row r="317" spans="1:37" ht="33.75" customHeight="1" x14ac:dyDescent="0.5">
      <c r="A317" s="33"/>
      <c r="B317" s="33"/>
      <c r="C317" s="33"/>
      <c r="D317" s="46"/>
      <c r="E317" s="46"/>
      <c r="F317" s="46"/>
      <c r="G317" s="46"/>
      <c r="H317" s="46"/>
      <c r="I317" s="46"/>
      <c r="J317" s="46"/>
      <c r="K317" s="33"/>
      <c r="L317" s="33"/>
      <c r="M317" s="33"/>
      <c r="N317" s="46"/>
      <c r="O317" s="46"/>
      <c r="P317" s="46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</row>
    <row r="318" spans="1:37" ht="33.75" customHeight="1" x14ac:dyDescent="0.5">
      <c r="A318" s="33"/>
      <c r="B318" s="33"/>
      <c r="C318" s="33"/>
      <c r="D318" s="46"/>
      <c r="E318" s="46"/>
      <c r="F318" s="46"/>
      <c r="G318" s="46"/>
      <c r="H318" s="46"/>
      <c r="I318" s="46"/>
      <c r="J318" s="46"/>
      <c r="K318" s="33"/>
      <c r="L318" s="33"/>
      <c r="M318" s="33"/>
      <c r="N318" s="46"/>
      <c r="O318" s="46"/>
      <c r="P318" s="46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</row>
    <row r="319" spans="1:37" ht="33.75" customHeight="1" x14ac:dyDescent="0.5">
      <c r="A319" s="33"/>
      <c r="B319" s="33"/>
      <c r="C319" s="33"/>
      <c r="D319" s="46"/>
      <c r="E319" s="46"/>
      <c r="F319" s="46"/>
      <c r="G319" s="46"/>
      <c r="H319" s="46"/>
      <c r="I319" s="46"/>
      <c r="J319" s="46"/>
      <c r="K319" s="33"/>
      <c r="L319" s="33"/>
      <c r="M319" s="33"/>
      <c r="N319" s="46"/>
      <c r="O319" s="46"/>
      <c r="P319" s="46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</row>
    <row r="320" spans="1:37" ht="33.75" customHeight="1" x14ac:dyDescent="0.5">
      <c r="A320" s="33"/>
      <c r="B320" s="33"/>
      <c r="C320" s="33"/>
      <c r="D320" s="46"/>
      <c r="E320" s="46"/>
      <c r="F320" s="46"/>
      <c r="G320" s="46"/>
      <c r="H320" s="46"/>
      <c r="I320" s="46"/>
      <c r="J320" s="46"/>
      <c r="K320" s="33"/>
      <c r="L320" s="33"/>
      <c r="M320" s="33"/>
      <c r="N320" s="46"/>
      <c r="O320" s="46"/>
      <c r="P320" s="46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spans="1:37" ht="33.75" customHeight="1" x14ac:dyDescent="0.5">
      <c r="A321" s="33"/>
      <c r="B321" s="33"/>
      <c r="C321" s="33"/>
      <c r="D321" s="46"/>
      <c r="E321" s="46"/>
      <c r="F321" s="46"/>
      <c r="G321" s="46"/>
      <c r="H321" s="46"/>
      <c r="I321" s="46"/>
      <c r="J321" s="46"/>
      <c r="K321" s="33"/>
      <c r="L321" s="33"/>
      <c r="M321" s="33"/>
      <c r="N321" s="46"/>
      <c r="O321" s="46"/>
      <c r="P321" s="46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</row>
    <row r="322" spans="1:37" ht="33.75" customHeight="1" x14ac:dyDescent="0.5">
      <c r="A322" s="33"/>
      <c r="B322" s="33"/>
      <c r="C322" s="33"/>
      <c r="D322" s="46"/>
      <c r="E322" s="46"/>
      <c r="F322" s="46"/>
      <c r="G322" s="46"/>
      <c r="H322" s="46"/>
      <c r="I322" s="46"/>
      <c r="J322" s="46"/>
      <c r="K322" s="33"/>
      <c r="L322" s="33"/>
      <c r="M322" s="33"/>
      <c r="N322" s="46"/>
      <c r="O322" s="46"/>
      <c r="P322" s="46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</row>
    <row r="323" spans="1:37" ht="33.75" customHeight="1" x14ac:dyDescent="0.5">
      <c r="A323" s="33"/>
      <c r="B323" s="33"/>
      <c r="C323" s="33"/>
      <c r="D323" s="46"/>
      <c r="E323" s="46"/>
      <c r="F323" s="46"/>
      <c r="G323" s="46"/>
      <c r="H323" s="46"/>
      <c r="I323" s="46"/>
      <c r="J323" s="46"/>
      <c r="K323" s="33"/>
      <c r="L323" s="33"/>
      <c r="M323" s="33"/>
      <c r="N323" s="46"/>
      <c r="O323" s="46"/>
      <c r="P323" s="46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</row>
    <row r="324" spans="1:37" ht="33.75" customHeight="1" x14ac:dyDescent="0.5">
      <c r="A324" s="33"/>
      <c r="B324" s="33"/>
      <c r="C324" s="33"/>
      <c r="D324" s="46"/>
      <c r="E324" s="46"/>
      <c r="F324" s="46"/>
      <c r="G324" s="46"/>
      <c r="H324" s="46"/>
      <c r="I324" s="46"/>
      <c r="J324" s="46"/>
      <c r="K324" s="33"/>
      <c r="L324" s="33"/>
      <c r="M324" s="33"/>
      <c r="N324" s="46"/>
      <c r="O324" s="46"/>
      <c r="P324" s="46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</row>
    <row r="325" spans="1:37" ht="33.75" customHeight="1" x14ac:dyDescent="0.5">
      <c r="A325" s="33"/>
      <c r="B325" s="33"/>
      <c r="C325" s="33"/>
      <c r="D325" s="46"/>
      <c r="E325" s="46"/>
      <c r="F325" s="46"/>
      <c r="G325" s="46"/>
      <c r="H325" s="46"/>
      <c r="I325" s="46"/>
      <c r="J325" s="46"/>
      <c r="K325" s="33"/>
      <c r="L325" s="33"/>
      <c r="M325" s="33"/>
      <c r="N325" s="46"/>
      <c r="O325" s="46"/>
      <c r="P325" s="46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</row>
    <row r="326" spans="1:37" ht="33.75" customHeight="1" x14ac:dyDescent="0.5">
      <c r="A326" s="33"/>
      <c r="B326" s="33"/>
      <c r="C326" s="33"/>
      <c r="D326" s="46"/>
      <c r="E326" s="46"/>
      <c r="F326" s="46"/>
      <c r="G326" s="46"/>
      <c r="H326" s="46"/>
      <c r="I326" s="46"/>
      <c r="J326" s="46"/>
      <c r="K326" s="33"/>
      <c r="L326" s="33"/>
      <c r="M326" s="33"/>
      <c r="N326" s="46"/>
      <c r="O326" s="46"/>
      <c r="P326" s="46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</row>
    <row r="327" spans="1:37" ht="33.75" customHeight="1" x14ac:dyDescent="0.5">
      <c r="A327" s="33"/>
      <c r="B327" s="33"/>
      <c r="C327" s="33"/>
      <c r="D327" s="46"/>
      <c r="E327" s="46"/>
      <c r="F327" s="46"/>
      <c r="G327" s="46"/>
      <c r="H327" s="46"/>
      <c r="I327" s="46"/>
      <c r="J327" s="46"/>
      <c r="K327" s="33"/>
      <c r="L327" s="33"/>
      <c r="M327" s="33"/>
      <c r="N327" s="46"/>
      <c r="O327" s="46"/>
      <c r="P327" s="46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</row>
    <row r="328" spans="1:37" ht="33.75" customHeight="1" x14ac:dyDescent="0.5">
      <c r="A328" s="33"/>
      <c r="B328" s="33"/>
      <c r="C328" s="33"/>
      <c r="D328" s="46"/>
      <c r="E328" s="46"/>
      <c r="F328" s="46"/>
      <c r="G328" s="46"/>
      <c r="H328" s="46"/>
      <c r="I328" s="46"/>
      <c r="J328" s="46"/>
      <c r="K328" s="33"/>
      <c r="L328" s="33"/>
      <c r="M328" s="33"/>
      <c r="N328" s="46"/>
      <c r="O328" s="46"/>
      <c r="P328" s="46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</row>
    <row r="329" spans="1:37" ht="33.75" customHeight="1" x14ac:dyDescent="0.5">
      <c r="A329" s="33"/>
      <c r="B329" s="33"/>
      <c r="C329" s="33"/>
      <c r="D329" s="46"/>
      <c r="E329" s="46"/>
      <c r="F329" s="46"/>
      <c r="G329" s="46"/>
      <c r="H329" s="46"/>
      <c r="I329" s="46"/>
      <c r="J329" s="46"/>
      <c r="K329" s="33"/>
      <c r="L329" s="33"/>
      <c r="M329" s="33"/>
      <c r="N329" s="46"/>
      <c r="O329" s="46"/>
      <c r="P329" s="46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spans="1:37" ht="33.75" customHeight="1" x14ac:dyDescent="0.5">
      <c r="A330" s="33"/>
      <c r="B330" s="33"/>
      <c r="C330" s="33"/>
      <c r="D330" s="46"/>
      <c r="E330" s="46"/>
      <c r="F330" s="46"/>
      <c r="G330" s="46"/>
      <c r="H330" s="46"/>
      <c r="I330" s="46"/>
      <c r="J330" s="46"/>
      <c r="K330" s="33"/>
      <c r="L330" s="33"/>
      <c r="M330" s="33"/>
      <c r="N330" s="46"/>
      <c r="O330" s="46"/>
      <c r="P330" s="46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spans="1:37" ht="33.75" customHeight="1" x14ac:dyDescent="0.5">
      <c r="A331" s="33"/>
      <c r="B331" s="33"/>
      <c r="C331" s="33"/>
      <c r="D331" s="46"/>
      <c r="E331" s="46"/>
      <c r="F331" s="46"/>
      <c r="G331" s="46"/>
      <c r="H331" s="46"/>
      <c r="I331" s="46"/>
      <c r="J331" s="46"/>
      <c r="K331" s="33"/>
      <c r="L331" s="33"/>
      <c r="M331" s="33"/>
      <c r="N331" s="46"/>
      <c r="O331" s="46"/>
      <c r="P331" s="46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</row>
    <row r="332" spans="1:37" ht="33.75" customHeight="1" x14ac:dyDescent="0.5">
      <c r="A332" s="33"/>
      <c r="B332" s="33"/>
      <c r="C332" s="33"/>
      <c r="D332" s="46"/>
      <c r="E332" s="46"/>
      <c r="F332" s="46"/>
      <c r="G332" s="46"/>
      <c r="H332" s="46"/>
      <c r="I332" s="46"/>
      <c r="J332" s="46"/>
      <c r="K332" s="33"/>
      <c r="L332" s="33"/>
      <c r="M332" s="33"/>
      <c r="N332" s="46"/>
      <c r="O332" s="46"/>
      <c r="P332" s="46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</row>
    <row r="333" spans="1:37" ht="33.75" customHeight="1" x14ac:dyDescent="0.5">
      <c r="A333" s="33"/>
      <c r="B333" s="33"/>
      <c r="C333" s="33"/>
      <c r="D333" s="46"/>
      <c r="E333" s="46"/>
      <c r="F333" s="46"/>
      <c r="G333" s="46"/>
      <c r="H333" s="46"/>
      <c r="I333" s="46"/>
      <c r="J333" s="46"/>
      <c r="K333" s="33"/>
      <c r="L333" s="33"/>
      <c r="M333" s="33"/>
      <c r="N333" s="46"/>
      <c r="O333" s="46"/>
      <c r="P333" s="46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</row>
    <row r="334" spans="1:37" ht="33.75" customHeight="1" x14ac:dyDescent="0.5">
      <c r="A334" s="33"/>
      <c r="B334" s="33"/>
      <c r="C334" s="33"/>
      <c r="D334" s="46"/>
      <c r="E334" s="46"/>
      <c r="F334" s="46"/>
      <c r="G334" s="46"/>
      <c r="H334" s="46"/>
      <c r="I334" s="46"/>
      <c r="J334" s="46"/>
      <c r="K334" s="33"/>
      <c r="L334" s="33"/>
      <c r="M334" s="33"/>
      <c r="N334" s="46"/>
      <c r="O334" s="46"/>
      <c r="P334" s="46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</row>
    <row r="335" spans="1:37" ht="33.75" customHeight="1" x14ac:dyDescent="0.5">
      <c r="A335" s="33"/>
      <c r="B335" s="33"/>
      <c r="C335" s="33"/>
      <c r="D335" s="46"/>
      <c r="E335" s="46"/>
      <c r="F335" s="46"/>
      <c r="G335" s="46"/>
      <c r="H335" s="46"/>
      <c r="I335" s="46"/>
      <c r="J335" s="46"/>
      <c r="K335" s="33"/>
      <c r="L335" s="33"/>
      <c r="M335" s="33"/>
      <c r="N335" s="46"/>
      <c r="O335" s="46"/>
      <c r="P335" s="46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</row>
    <row r="336" spans="1:37" ht="33.75" customHeight="1" x14ac:dyDescent="0.5">
      <c r="A336" s="33"/>
      <c r="B336" s="33"/>
      <c r="C336" s="33"/>
      <c r="D336" s="46"/>
      <c r="E336" s="46"/>
      <c r="F336" s="46"/>
      <c r="G336" s="46"/>
      <c r="H336" s="46"/>
      <c r="I336" s="46"/>
      <c r="J336" s="46"/>
      <c r="K336" s="33"/>
      <c r="L336" s="33"/>
      <c r="M336" s="33"/>
      <c r="N336" s="46"/>
      <c r="O336" s="46"/>
      <c r="P336" s="46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</row>
    <row r="337" spans="1:37" ht="33.75" customHeight="1" x14ac:dyDescent="0.5">
      <c r="A337" s="33"/>
      <c r="B337" s="33"/>
      <c r="C337" s="33"/>
      <c r="D337" s="46"/>
      <c r="E337" s="46"/>
      <c r="F337" s="46"/>
      <c r="G337" s="46"/>
      <c r="H337" s="46"/>
      <c r="I337" s="46"/>
      <c r="J337" s="46"/>
      <c r="K337" s="33"/>
      <c r="L337" s="33"/>
      <c r="M337" s="33"/>
      <c r="N337" s="46"/>
      <c r="O337" s="46"/>
      <c r="P337" s="46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</row>
    <row r="338" spans="1:37" ht="33.75" customHeight="1" x14ac:dyDescent="0.5">
      <c r="A338" s="33"/>
      <c r="B338" s="33"/>
      <c r="C338" s="33"/>
      <c r="D338" s="46"/>
      <c r="E338" s="46"/>
      <c r="F338" s="46"/>
      <c r="G338" s="46"/>
      <c r="H338" s="46"/>
      <c r="I338" s="46"/>
      <c r="J338" s="46"/>
      <c r="K338" s="33"/>
      <c r="L338" s="33"/>
      <c r="M338" s="33"/>
      <c r="N338" s="46"/>
      <c r="O338" s="46"/>
      <c r="P338" s="46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</row>
    <row r="339" spans="1:37" ht="33.75" customHeight="1" x14ac:dyDescent="0.5">
      <c r="A339" s="33"/>
      <c r="B339" s="33"/>
      <c r="C339" s="33"/>
      <c r="D339" s="46"/>
      <c r="E339" s="46"/>
      <c r="F339" s="46"/>
      <c r="G339" s="46"/>
      <c r="H339" s="46"/>
      <c r="I339" s="46"/>
      <c r="J339" s="46"/>
      <c r="K339" s="33"/>
      <c r="L339" s="33"/>
      <c r="M339" s="33"/>
      <c r="N339" s="46"/>
      <c r="O339" s="46"/>
      <c r="P339" s="46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spans="1:37" ht="33.75" customHeight="1" x14ac:dyDescent="0.5">
      <c r="A340" s="33"/>
      <c r="B340" s="33"/>
      <c r="C340" s="33"/>
      <c r="D340" s="46"/>
      <c r="E340" s="46"/>
      <c r="F340" s="46"/>
      <c r="G340" s="46"/>
      <c r="H340" s="46"/>
      <c r="I340" s="46"/>
      <c r="J340" s="46"/>
      <c r="K340" s="33"/>
      <c r="L340" s="33"/>
      <c r="M340" s="33"/>
      <c r="N340" s="46"/>
      <c r="O340" s="46"/>
      <c r="P340" s="46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</row>
    <row r="341" spans="1:37" ht="33.75" customHeight="1" x14ac:dyDescent="0.5">
      <c r="A341" s="33"/>
      <c r="B341" s="33"/>
      <c r="C341" s="33"/>
      <c r="D341" s="46"/>
      <c r="E341" s="46"/>
      <c r="F341" s="46"/>
      <c r="G341" s="46"/>
      <c r="H341" s="46"/>
      <c r="I341" s="46"/>
      <c r="J341" s="46"/>
      <c r="K341" s="33"/>
      <c r="L341" s="33"/>
      <c r="M341" s="33"/>
      <c r="N341" s="46"/>
      <c r="O341" s="46"/>
      <c r="P341" s="46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</row>
    <row r="342" spans="1:37" ht="33.75" customHeight="1" x14ac:dyDescent="0.5">
      <c r="A342" s="33"/>
      <c r="B342" s="33"/>
      <c r="C342" s="33"/>
      <c r="D342" s="46"/>
      <c r="E342" s="46"/>
      <c r="F342" s="46"/>
      <c r="G342" s="46"/>
      <c r="H342" s="46"/>
      <c r="I342" s="46"/>
      <c r="J342" s="46"/>
      <c r="K342" s="33"/>
      <c r="L342" s="33"/>
      <c r="M342" s="33"/>
      <c r="N342" s="46"/>
      <c r="O342" s="46"/>
      <c r="P342" s="46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</row>
    <row r="343" spans="1:37" ht="33.75" customHeight="1" x14ac:dyDescent="0.5">
      <c r="A343" s="33"/>
      <c r="B343" s="33"/>
      <c r="C343" s="33"/>
      <c r="D343" s="46"/>
      <c r="E343" s="46"/>
      <c r="F343" s="46"/>
      <c r="G343" s="46"/>
      <c r="H343" s="46"/>
      <c r="I343" s="46"/>
      <c r="J343" s="46"/>
      <c r="K343" s="33"/>
      <c r="L343" s="33"/>
      <c r="M343" s="33"/>
      <c r="N343" s="46"/>
      <c r="O343" s="46"/>
      <c r="P343" s="46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</row>
    <row r="344" spans="1:37" ht="33.75" customHeight="1" x14ac:dyDescent="0.5">
      <c r="A344" s="33"/>
      <c r="B344" s="33"/>
      <c r="C344" s="33"/>
      <c r="D344" s="46"/>
      <c r="E344" s="46"/>
      <c r="F344" s="46"/>
      <c r="G344" s="46"/>
      <c r="H344" s="46"/>
      <c r="I344" s="46"/>
      <c r="J344" s="46"/>
      <c r="K344" s="33"/>
      <c r="L344" s="33"/>
      <c r="M344" s="33"/>
      <c r="N344" s="46"/>
      <c r="O344" s="46"/>
      <c r="P344" s="46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</row>
    <row r="345" spans="1:37" ht="33.75" customHeight="1" x14ac:dyDescent="0.5">
      <c r="A345" s="33"/>
      <c r="B345" s="33"/>
      <c r="C345" s="33"/>
      <c r="D345" s="46"/>
      <c r="E345" s="46"/>
      <c r="F345" s="46"/>
      <c r="G345" s="46"/>
      <c r="H345" s="46"/>
      <c r="I345" s="46"/>
      <c r="J345" s="46"/>
      <c r="K345" s="33"/>
      <c r="L345" s="33"/>
      <c r="M345" s="33"/>
      <c r="N345" s="46"/>
      <c r="O345" s="46"/>
      <c r="P345" s="46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</row>
    <row r="346" spans="1:37" ht="33.75" customHeight="1" x14ac:dyDescent="0.5">
      <c r="A346" s="33"/>
      <c r="B346" s="33"/>
      <c r="C346" s="33"/>
      <c r="D346" s="46"/>
      <c r="E346" s="46"/>
      <c r="F346" s="46"/>
      <c r="G346" s="46"/>
      <c r="H346" s="46"/>
      <c r="I346" s="46"/>
      <c r="J346" s="46"/>
      <c r="K346" s="33"/>
      <c r="L346" s="33"/>
      <c r="M346" s="33"/>
      <c r="N346" s="46"/>
      <c r="O346" s="46"/>
      <c r="P346" s="46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</row>
    <row r="347" spans="1:37" ht="33.75" customHeight="1" x14ac:dyDescent="0.5">
      <c r="A347" s="33"/>
      <c r="B347" s="33"/>
      <c r="C347" s="33"/>
      <c r="D347" s="46"/>
      <c r="E347" s="46"/>
      <c r="F347" s="46"/>
      <c r="G347" s="46"/>
      <c r="H347" s="46"/>
      <c r="I347" s="46"/>
      <c r="J347" s="46"/>
      <c r="K347" s="33"/>
      <c r="L347" s="33"/>
      <c r="M347" s="33"/>
      <c r="N347" s="46"/>
      <c r="O347" s="46"/>
      <c r="P347" s="46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</row>
    <row r="348" spans="1:37" ht="33.75" customHeight="1" x14ac:dyDescent="0.5">
      <c r="A348" s="33"/>
      <c r="B348" s="33"/>
      <c r="C348" s="33"/>
      <c r="D348" s="46"/>
      <c r="E348" s="46"/>
      <c r="F348" s="46"/>
      <c r="G348" s="46"/>
      <c r="H348" s="46"/>
      <c r="I348" s="46"/>
      <c r="J348" s="46"/>
      <c r="K348" s="33"/>
      <c r="L348" s="33"/>
      <c r="M348" s="33"/>
      <c r="N348" s="46"/>
      <c r="O348" s="46"/>
      <c r="P348" s="46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</row>
    <row r="349" spans="1:37" ht="33.75" customHeight="1" x14ac:dyDescent="0.5">
      <c r="A349" s="33"/>
      <c r="B349" s="33"/>
      <c r="C349" s="33"/>
      <c r="D349" s="46"/>
      <c r="E349" s="46"/>
      <c r="F349" s="46"/>
      <c r="G349" s="46"/>
      <c r="H349" s="46"/>
      <c r="I349" s="46"/>
      <c r="J349" s="46"/>
      <c r="K349" s="33"/>
      <c r="L349" s="33"/>
      <c r="M349" s="33"/>
      <c r="N349" s="46"/>
      <c r="O349" s="46"/>
      <c r="P349" s="46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</row>
    <row r="350" spans="1:37" ht="33.75" customHeight="1" x14ac:dyDescent="0.5">
      <c r="A350" s="33"/>
      <c r="B350" s="33"/>
      <c r="C350" s="33"/>
      <c r="D350" s="46"/>
      <c r="E350" s="46"/>
      <c r="F350" s="46"/>
      <c r="G350" s="46"/>
      <c r="H350" s="46"/>
      <c r="I350" s="46"/>
      <c r="J350" s="46"/>
      <c r="K350" s="33"/>
      <c r="L350" s="33"/>
      <c r="M350" s="33"/>
      <c r="N350" s="46"/>
      <c r="O350" s="46"/>
      <c r="P350" s="46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</row>
    <row r="351" spans="1:37" ht="33.75" customHeight="1" x14ac:dyDescent="0.5">
      <c r="A351" s="33"/>
      <c r="B351" s="33"/>
      <c r="C351" s="33"/>
      <c r="D351" s="46"/>
      <c r="E351" s="46"/>
      <c r="F351" s="46"/>
      <c r="G351" s="46"/>
      <c r="H351" s="46"/>
      <c r="I351" s="46"/>
      <c r="J351" s="46"/>
      <c r="K351" s="33"/>
      <c r="L351" s="33"/>
      <c r="M351" s="33"/>
      <c r="N351" s="46"/>
      <c r="O351" s="46"/>
      <c r="P351" s="46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</row>
    <row r="352" spans="1:37" ht="33.75" customHeight="1" x14ac:dyDescent="0.5">
      <c r="A352" s="33"/>
      <c r="B352" s="33"/>
      <c r="C352" s="33"/>
      <c r="D352" s="46"/>
      <c r="E352" s="46"/>
      <c r="F352" s="46"/>
      <c r="G352" s="46"/>
      <c r="H352" s="46"/>
      <c r="I352" s="46"/>
      <c r="J352" s="46"/>
      <c r="K352" s="33"/>
      <c r="L352" s="33"/>
      <c r="M352" s="33"/>
      <c r="N352" s="46"/>
      <c r="O352" s="46"/>
      <c r="P352" s="46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</row>
    <row r="353" spans="1:37" ht="33.75" customHeight="1" x14ac:dyDescent="0.5">
      <c r="A353" s="33"/>
      <c r="B353" s="33"/>
      <c r="C353" s="33"/>
      <c r="D353" s="46"/>
      <c r="E353" s="46"/>
      <c r="F353" s="46"/>
      <c r="G353" s="46"/>
      <c r="H353" s="46"/>
      <c r="I353" s="46"/>
      <c r="J353" s="46"/>
      <c r="K353" s="33"/>
      <c r="L353" s="33"/>
      <c r="M353" s="33"/>
      <c r="N353" s="46"/>
      <c r="O353" s="46"/>
      <c r="P353" s="46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</row>
    <row r="354" spans="1:37" ht="33.75" customHeight="1" x14ac:dyDescent="0.5">
      <c r="A354" s="33"/>
      <c r="B354" s="33"/>
      <c r="C354" s="33"/>
      <c r="D354" s="46"/>
      <c r="E354" s="46"/>
      <c r="F354" s="46"/>
      <c r="G354" s="46"/>
      <c r="H354" s="46"/>
      <c r="I354" s="46"/>
      <c r="J354" s="46"/>
      <c r="K354" s="33"/>
      <c r="L354" s="33"/>
      <c r="M354" s="33"/>
      <c r="N354" s="46"/>
      <c r="O354" s="46"/>
      <c r="P354" s="46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</row>
    <row r="355" spans="1:37" ht="33.75" customHeight="1" x14ac:dyDescent="0.5">
      <c r="A355" s="33"/>
      <c r="B355" s="33"/>
      <c r="C355" s="33"/>
      <c r="D355" s="46"/>
      <c r="E355" s="46"/>
      <c r="F355" s="46"/>
      <c r="G355" s="46"/>
      <c r="H355" s="46"/>
      <c r="I355" s="46"/>
      <c r="J355" s="46"/>
      <c r="K355" s="33"/>
      <c r="L355" s="33"/>
      <c r="M355" s="33"/>
      <c r="N355" s="46"/>
      <c r="O355" s="46"/>
      <c r="P355" s="46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</row>
    <row r="356" spans="1:37" ht="33.75" customHeight="1" x14ac:dyDescent="0.5">
      <c r="A356" s="33"/>
      <c r="B356" s="33"/>
      <c r="C356" s="33"/>
      <c r="D356" s="46"/>
      <c r="E356" s="46"/>
      <c r="F356" s="46"/>
      <c r="G356" s="46"/>
      <c r="H356" s="46"/>
      <c r="I356" s="46"/>
      <c r="J356" s="46"/>
      <c r="K356" s="33"/>
      <c r="L356" s="33"/>
      <c r="M356" s="33"/>
      <c r="N356" s="46"/>
      <c r="O356" s="46"/>
      <c r="P356" s="46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</row>
    <row r="357" spans="1:37" ht="33.75" customHeight="1" x14ac:dyDescent="0.5">
      <c r="A357" s="33"/>
      <c r="B357" s="33"/>
      <c r="C357" s="33"/>
      <c r="D357" s="46"/>
      <c r="E357" s="46"/>
      <c r="F357" s="46"/>
      <c r="G357" s="46"/>
      <c r="H357" s="46"/>
      <c r="I357" s="46"/>
      <c r="J357" s="46"/>
      <c r="K357" s="33"/>
      <c r="L357" s="33"/>
      <c r="M357" s="33"/>
      <c r="N357" s="46"/>
      <c r="O357" s="46"/>
      <c r="P357" s="46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</row>
    <row r="358" spans="1:37" ht="33.75" customHeight="1" x14ac:dyDescent="0.5">
      <c r="A358" s="33"/>
      <c r="B358" s="33"/>
      <c r="C358" s="33"/>
      <c r="D358" s="46"/>
      <c r="E358" s="46"/>
      <c r="F358" s="46"/>
      <c r="G358" s="46"/>
      <c r="H358" s="46"/>
      <c r="I358" s="46"/>
      <c r="J358" s="46"/>
      <c r="K358" s="33"/>
      <c r="L358" s="33"/>
      <c r="M358" s="33"/>
      <c r="N358" s="46"/>
      <c r="O358" s="46"/>
      <c r="P358" s="46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</row>
    <row r="359" spans="1:37" ht="33.75" customHeight="1" x14ac:dyDescent="0.5">
      <c r="A359" s="33"/>
      <c r="B359" s="33"/>
      <c r="C359" s="33"/>
      <c r="D359" s="46"/>
      <c r="E359" s="46"/>
      <c r="F359" s="46"/>
      <c r="G359" s="46"/>
      <c r="H359" s="46"/>
      <c r="I359" s="46"/>
      <c r="J359" s="46"/>
      <c r="K359" s="33"/>
      <c r="L359" s="33"/>
      <c r="M359" s="33"/>
      <c r="N359" s="46"/>
      <c r="O359" s="46"/>
      <c r="P359" s="46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</row>
    <row r="360" spans="1:37" ht="33.75" customHeight="1" x14ac:dyDescent="0.5">
      <c r="A360" s="33"/>
      <c r="B360" s="33"/>
      <c r="C360" s="33"/>
      <c r="D360" s="46"/>
      <c r="E360" s="46"/>
      <c r="F360" s="46"/>
      <c r="G360" s="46"/>
      <c r="H360" s="46"/>
      <c r="I360" s="46"/>
      <c r="J360" s="46"/>
      <c r="K360" s="33"/>
      <c r="L360" s="33"/>
      <c r="M360" s="33"/>
      <c r="N360" s="46"/>
      <c r="O360" s="46"/>
      <c r="P360" s="46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</row>
    <row r="361" spans="1:37" ht="33.75" customHeight="1" x14ac:dyDescent="0.5">
      <c r="A361" s="33"/>
      <c r="B361" s="33"/>
      <c r="C361" s="33"/>
      <c r="D361" s="46"/>
      <c r="E361" s="46"/>
      <c r="F361" s="46"/>
      <c r="G361" s="46"/>
      <c r="H361" s="46"/>
      <c r="I361" s="46"/>
      <c r="J361" s="46"/>
      <c r="K361" s="33"/>
      <c r="L361" s="33"/>
      <c r="M361" s="33"/>
      <c r="N361" s="46"/>
      <c r="O361" s="46"/>
      <c r="P361" s="46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</row>
    <row r="362" spans="1:37" ht="33.75" customHeight="1" x14ac:dyDescent="0.5">
      <c r="A362" s="33"/>
      <c r="B362" s="33"/>
      <c r="C362" s="33"/>
      <c r="D362" s="46"/>
      <c r="E362" s="46"/>
      <c r="F362" s="46"/>
      <c r="G362" s="46"/>
      <c r="H362" s="46"/>
      <c r="I362" s="46"/>
      <c r="J362" s="46"/>
      <c r="K362" s="33"/>
      <c r="L362" s="33"/>
      <c r="M362" s="33"/>
      <c r="N362" s="46"/>
      <c r="O362" s="46"/>
      <c r="P362" s="46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</row>
    <row r="363" spans="1:37" ht="33.75" customHeight="1" x14ac:dyDescent="0.5">
      <c r="A363" s="33"/>
      <c r="B363" s="33"/>
      <c r="C363" s="33"/>
      <c r="D363" s="46"/>
      <c r="E363" s="46"/>
      <c r="F363" s="46"/>
      <c r="G363" s="46"/>
      <c r="H363" s="46"/>
      <c r="I363" s="46"/>
      <c r="J363" s="46"/>
      <c r="K363" s="33"/>
      <c r="L363" s="33"/>
      <c r="M363" s="33"/>
      <c r="N363" s="46"/>
      <c r="O363" s="46"/>
      <c r="P363" s="46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</row>
    <row r="364" spans="1:37" ht="33.75" customHeight="1" x14ac:dyDescent="0.5">
      <c r="A364" s="33"/>
      <c r="B364" s="33"/>
      <c r="C364" s="33"/>
      <c r="D364" s="46"/>
      <c r="E364" s="46"/>
      <c r="F364" s="46"/>
      <c r="G364" s="46"/>
      <c r="H364" s="46"/>
      <c r="I364" s="46"/>
      <c r="J364" s="46"/>
      <c r="K364" s="33"/>
      <c r="L364" s="33"/>
      <c r="M364" s="33"/>
      <c r="N364" s="46"/>
      <c r="O364" s="46"/>
      <c r="P364" s="46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</row>
    <row r="365" spans="1:37" ht="33.75" customHeight="1" x14ac:dyDescent="0.5">
      <c r="A365" s="33"/>
      <c r="B365" s="33"/>
      <c r="C365" s="33"/>
      <c r="D365" s="46"/>
      <c r="E365" s="46"/>
      <c r="F365" s="46"/>
      <c r="G365" s="46"/>
      <c r="H365" s="46"/>
      <c r="I365" s="46"/>
      <c r="J365" s="46"/>
      <c r="K365" s="33"/>
      <c r="L365" s="33"/>
      <c r="M365" s="33"/>
      <c r="N365" s="46"/>
      <c r="O365" s="46"/>
      <c r="P365" s="46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</row>
    <row r="366" spans="1:37" ht="33.75" customHeight="1" x14ac:dyDescent="0.5">
      <c r="A366" s="33"/>
      <c r="B366" s="33"/>
      <c r="C366" s="33"/>
      <c r="D366" s="46"/>
      <c r="E366" s="46"/>
      <c r="F366" s="46"/>
      <c r="G366" s="46"/>
      <c r="H366" s="46"/>
      <c r="I366" s="46"/>
      <c r="J366" s="46"/>
      <c r="K366" s="33"/>
      <c r="L366" s="33"/>
      <c r="M366" s="33"/>
      <c r="N366" s="46"/>
      <c r="O366" s="46"/>
      <c r="P366" s="46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</row>
    <row r="367" spans="1:37" ht="33.75" customHeight="1" x14ac:dyDescent="0.5">
      <c r="A367" s="33"/>
      <c r="B367" s="33"/>
      <c r="C367" s="33"/>
      <c r="D367" s="46"/>
      <c r="E367" s="46"/>
      <c r="F367" s="46"/>
      <c r="G367" s="46"/>
      <c r="H367" s="46"/>
      <c r="I367" s="46"/>
      <c r="J367" s="46"/>
      <c r="K367" s="33"/>
      <c r="L367" s="33"/>
      <c r="M367" s="33"/>
      <c r="N367" s="46"/>
      <c r="O367" s="46"/>
      <c r="P367" s="46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</row>
    <row r="368" spans="1:37" ht="33.75" customHeight="1" x14ac:dyDescent="0.5">
      <c r="A368" s="33"/>
      <c r="B368" s="33"/>
      <c r="C368" s="33"/>
      <c r="D368" s="46"/>
      <c r="E368" s="46"/>
      <c r="F368" s="46"/>
      <c r="G368" s="46"/>
      <c r="H368" s="46"/>
      <c r="I368" s="46"/>
      <c r="J368" s="46"/>
      <c r="K368" s="33"/>
      <c r="L368" s="33"/>
      <c r="M368" s="33"/>
      <c r="N368" s="46"/>
      <c r="O368" s="46"/>
      <c r="P368" s="46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</row>
    <row r="369" spans="1:37" ht="33.75" customHeight="1" x14ac:dyDescent="0.5">
      <c r="A369" s="33"/>
      <c r="B369" s="33"/>
      <c r="C369" s="33"/>
      <c r="D369" s="46"/>
      <c r="E369" s="46"/>
      <c r="F369" s="46"/>
      <c r="G369" s="46"/>
      <c r="H369" s="46"/>
      <c r="I369" s="46"/>
      <c r="J369" s="46"/>
      <c r="K369" s="33"/>
      <c r="L369" s="33"/>
      <c r="M369" s="33"/>
      <c r="N369" s="46"/>
      <c r="O369" s="46"/>
      <c r="P369" s="46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</row>
    <row r="370" spans="1:37" ht="33.75" customHeight="1" x14ac:dyDescent="0.5">
      <c r="A370" s="33"/>
      <c r="B370" s="33"/>
      <c r="C370" s="33"/>
      <c r="D370" s="46"/>
      <c r="E370" s="46"/>
      <c r="F370" s="46"/>
      <c r="G370" s="46"/>
      <c r="H370" s="46"/>
      <c r="I370" s="46"/>
      <c r="J370" s="46"/>
      <c r="K370" s="33"/>
      <c r="L370" s="33"/>
      <c r="M370" s="33"/>
      <c r="N370" s="46"/>
      <c r="O370" s="46"/>
      <c r="P370" s="46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</row>
    <row r="371" spans="1:37" ht="33.75" customHeight="1" x14ac:dyDescent="0.5">
      <c r="A371" s="33"/>
      <c r="B371" s="33"/>
      <c r="C371" s="33"/>
      <c r="D371" s="46"/>
      <c r="E371" s="46"/>
      <c r="F371" s="46"/>
      <c r="G371" s="46"/>
      <c r="H371" s="46"/>
      <c r="I371" s="46"/>
      <c r="J371" s="46"/>
      <c r="K371" s="33"/>
      <c r="L371" s="33"/>
      <c r="M371" s="33"/>
      <c r="N371" s="46"/>
      <c r="O371" s="46"/>
      <c r="P371" s="46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</row>
    <row r="372" spans="1:37" ht="33.75" customHeight="1" x14ac:dyDescent="0.5">
      <c r="A372" s="33"/>
      <c r="B372" s="33"/>
      <c r="C372" s="33"/>
      <c r="D372" s="46"/>
      <c r="E372" s="46"/>
      <c r="F372" s="46"/>
      <c r="G372" s="46"/>
      <c r="H372" s="46"/>
      <c r="I372" s="46"/>
      <c r="J372" s="46"/>
      <c r="K372" s="33"/>
      <c r="L372" s="33"/>
      <c r="M372" s="33"/>
      <c r="N372" s="46"/>
      <c r="O372" s="46"/>
      <c r="P372" s="46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</row>
    <row r="373" spans="1:37" ht="33.75" customHeight="1" x14ac:dyDescent="0.5">
      <c r="A373" s="33"/>
      <c r="B373" s="33"/>
      <c r="C373" s="33"/>
      <c r="D373" s="46"/>
      <c r="E373" s="46"/>
      <c r="F373" s="46"/>
      <c r="G373" s="46"/>
      <c r="H373" s="46"/>
      <c r="I373" s="46"/>
      <c r="J373" s="46"/>
      <c r="K373" s="33"/>
      <c r="L373" s="33"/>
      <c r="M373" s="33"/>
      <c r="N373" s="46"/>
      <c r="O373" s="46"/>
      <c r="P373" s="46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</row>
    <row r="374" spans="1:37" ht="33.75" customHeight="1" x14ac:dyDescent="0.5">
      <c r="A374" s="33"/>
      <c r="B374" s="33"/>
      <c r="C374" s="33"/>
      <c r="D374" s="46"/>
      <c r="E374" s="46"/>
      <c r="F374" s="46"/>
      <c r="G374" s="46"/>
      <c r="H374" s="46"/>
      <c r="I374" s="46"/>
      <c r="J374" s="46"/>
      <c r="K374" s="33"/>
      <c r="L374" s="33"/>
      <c r="M374" s="33"/>
      <c r="N374" s="46"/>
      <c r="O374" s="46"/>
      <c r="P374" s="46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</row>
    <row r="375" spans="1:37" ht="33.75" customHeight="1" x14ac:dyDescent="0.5">
      <c r="A375" s="33"/>
      <c r="B375" s="33"/>
      <c r="C375" s="33"/>
      <c r="D375" s="46"/>
      <c r="E375" s="46"/>
      <c r="F375" s="46"/>
      <c r="G375" s="46"/>
      <c r="H375" s="46"/>
      <c r="I375" s="46"/>
      <c r="J375" s="46"/>
      <c r="K375" s="33"/>
      <c r="L375" s="33"/>
      <c r="M375" s="33"/>
      <c r="N375" s="46"/>
      <c r="O375" s="46"/>
      <c r="P375" s="46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</row>
    <row r="376" spans="1:37" ht="33.75" customHeight="1" x14ac:dyDescent="0.5">
      <c r="A376" s="33"/>
      <c r="B376" s="33"/>
      <c r="C376" s="33"/>
      <c r="D376" s="46"/>
      <c r="E376" s="46"/>
      <c r="F376" s="46"/>
      <c r="G376" s="46"/>
      <c r="H376" s="46"/>
      <c r="I376" s="46"/>
      <c r="J376" s="46"/>
      <c r="K376" s="33"/>
      <c r="L376" s="33"/>
      <c r="M376" s="33"/>
      <c r="N376" s="46"/>
      <c r="O376" s="46"/>
      <c r="P376" s="46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</row>
    <row r="377" spans="1:37" ht="33.75" customHeight="1" x14ac:dyDescent="0.5">
      <c r="A377" s="33"/>
      <c r="B377" s="33"/>
      <c r="C377" s="33"/>
      <c r="D377" s="46"/>
      <c r="E377" s="46"/>
      <c r="F377" s="46"/>
      <c r="G377" s="46"/>
      <c r="H377" s="46"/>
      <c r="I377" s="46"/>
      <c r="J377" s="46"/>
      <c r="K377" s="33"/>
      <c r="L377" s="33"/>
      <c r="M377" s="33"/>
      <c r="N377" s="46"/>
      <c r="O377" s="46"/>
      <c r="P377" s="46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</row>
    <row r="378" spans="1:37" ht="33.75" customHeight="1" x14ac:dyDescent="0.5">
      <c r="A378" s="33"/>
      <c r="B378" s="33"/>
      <c r="C378" s="33"/>
      <c r="D378" s="46"/>
      <c r="E378" s="46"/>
      <c r="F378" s="46"/>
      <c r="G378" s="46"/>
      <c r="H378" s="46"/>
      <c r="I378" s="46"/>
      <c r="J378" s="46"/>
      <c r="K378" s="33"/>
      <c r="L378" s="33"/>
      <c r="M378" s="33"/>
      <c r="N378" s="46"/>
      <c r="O378" s="46"/>
      <c r="P378" s="46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</row>
    <row r="379" spans="1:37" ht="33.75" customHeight="1" x14ac:dyDescent="0.5">
      <c r="A379" s="33"/>
      <c r="B379" s="33"/>
      <c r="C379" s="33"/>
      <c r="D379" s="46"/>
      <c r="E379" s="46"/>
      <c r="F379" s="46"/>
      <c r="G379" s="46"/>
      <c r="H379" s="46"/>
      <c r="I379" s="46"/>
      <c r="J379" s="46"/>
      <c r="K379" s="33"/>
      <c r="L379" s="33"/>
      <c r="M379" s="33"/>
      <c r="N379" s="46"/>
      <c r="O379" s="46"/>
      <c r="P379" s="46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</row>
    <row r="380" spans="1:37" ht="33.75" customHeight="1" x14ac:dyDescent="0.5">
      <c r="A380" s="33"/>
      <c r="B380" s="33"/>
      <c r="C380" s="33"/>
      <c r="D380" s="46"/>
      <c r="E380" s="46"/>
      <c r="F380" s="46"/>
      <c r="G380" s="46"/>
      <c r="H380" s="46"/>
      <c r="I380" s="46"/>
      <c r="J380" s="46"/>
      <c r="K380" s="33"/>
      <c r="L380" s="33"/>
      <c r="M380" s="33"/>
      <c r="N380" s="46"/>
      <c r="O380" s="46"/>
      <c r="P380" s="46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</row>
    <row r="381" spans="1:37" ht="33.75" customHeight="1" x14ac:dyDescent="0.5">
      <c r="A381" s="33"/>
      <c r="B381" s="33"/>
      <c r="C381" s="33"/>
      <c r="D381" s="46"/>
      <c r="E381" s="46"/>
      <c r="F381" s="46"/>
      <c r="G381" s="46"/>
      <c r="H381" s="46"/>
      <c r="I381" s="46"/>
      <c r="J381" s="46"/>
      <c r="K381" s="33"/>
      <c r="L381" s="33"/>
      <c r="M381" s="33"/>
      <c r="N381" s="46"/>
      <c r="O381" s="46"/>
      <c r="P381" s="46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</row>
    <row r="382" spans="1:37" ht="33.75" customHeight="1" x14ac:dyDescent="0.5">
      <c r="A382" s="33"/>
      <c r="B382" s="33"/>
      <c r="C382" s="33"/>
      <c r="D382" s="46"/>
      <c r="E382" s="46"/>
      <c r="F382" s="46"/>
      <c r="G382" s="46"/>
      <c r="H382" s="46"/>
      <c r="I382" s="46"/>
      <c r="J382" s="46"/>
      <c r="K382" s="33"/>
      <c r="L382" s="33"/>
      <c r="M382" s="33"/>
      <c r="N382" s="46"/>
      <c r="O382" s="46"/>
      <c r="P382" s="46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</row>
    <row r="383" spans="1:37" ht="33.75" customHeight="1" x14ac:dyDescent="0.5">
      <c r="A383" s="33"/>
      <c r="B383" s="33"/>
      <c r="C383" s="33"/>
      <c r="D383" s="46"/>
      <c r="E383" s="46"/>
      <c r="F383" s="46"/>
      <c r="G383" s="46"/>
      <c r="H383" s="46"/>
      <c r="I383" s="46"/>
      <c r="J383" s="46"/>
      <c r="K383" s="33"/>
      <c r="L383" s="33"/>
      <c r="M383" s="33"/>
      <c r="N383" s="46"/>
      <c r="O383" s="46"/>
      <c r="P383" s="46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</row>
    <row r="384" spans="1:37" ht="33.75" customHeight="1" x14ac:dyDescent="0.5">
      <c r="A384" s="33"/>
      <c r="B384" s="33"/>
      <c r="C384" s="33"/>
      <c r="D384" s="46"/>
      <c r="E384" s="46"/>
      <c r="F384" s="46"/>
      <c r="G384" s="46"/>
      <c r="H384" s="46"/>
      <c r="I384" s="46"/>
      <c r="J384" s="46"/>
      <c r="K384" s="33"/>
      <c r="L384" s="33"/>
      <c r="M384" s="33"/>
      <c r="N384" s="46"/>
      <c r="O384" s="46"/>
      <c r="P384" s="46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</row>
    <row r="385" spans="1:37" ht="33.75" customHeight="1" x14ac:dyDescent="0.5">
      <c r="A385" s="33"/>
      <c r="B385" s="33"/>
      <c r="C385" s="33"/>
      <c r="D385" s="46"/>
      <c r="E385" s="46"/>
      <c r="F385" s="46"/>
      <c r="G385" s="46"/>
      <c r="H385" s="46"/>
      <c r="I385" s="46"/>
      <c r="J385" s="46"/>
      <c r="K385" s="33"/>
      <c r="L385" s="33"/>
      <c r="M385" s="33"/>
      <c r="N385" s="46"/>
      <c r="O385" s="46"/>
      <c r="P385" s="46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</row>
    <row r="386" spans="1:37" ht="33.75" customHeight="1" x14ac:dyDescent="0.5">
      <c r="A386" s="33"/>
      <c r="B386" s="33"/>
      <c r="C386" s="33"/>
      <c r="D386" s="46"/>
      <c r="E386" s="46"/>
      <c r="F386" s="46"/>
      <c r="G386" s="46"/>
      <c r="H386" s="46"/>
      <c r="I386" s="46"/>
      <c r="J386" s="46"/>
      <c r="K386" s="33"/>
      <c r="L386" s="33"/>
      <c r="M386" s="33"/>
      <c r="N386" s="46"/>
      <c r="O386" s="46"/>
      <c r="P386" s="46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</row>
    <row r="387" spans="1:37" ht="33.75" customHeight="1" x14ac:dyDescent="0.5">
      <c r="A387" s="33"/>
      <c r="B387" s="33"/>
      <c r="C387" s="33"/>
      <c r="D387" s="46"/>
      <c r="E387" s="46"/>
      <c r="F387" s="46"/>
      <c r="G387" s="46"/>
      <c r="H387" s="46"/>
      <c r="I387" s="46"/>
      <c r="J387" s="46"/>
      <c r="K387" s="33"/>
      <c r="L387" s="33"/>
      <c r="M387" s="33"/>
      <c r="N387" s="46"/>
      <c r="O387" s="46"/>
      <c r="P387" s="46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</row>
    <row r="388" spans="1:37" ht="33.75" customHeight="1" x14ac:dyDescent="0.5">
      <c r="A388" s="33"/>
      <c r="B388" s="33"/>
      <c r="C388" s="33"/>
      <c r="D388" s="46"/>
      <c r="E388" s="46"/>
      <c r="F388" s="46"/>
      <c r="G388" s="46"/>
      <c r="H388" s="46"/>
      <c r="I388" s="46"/>
      <c r="J388" s="46"/>
      <c r="K388" s="33"/>
      <c r="L388" s="33"/>
      <c r="M388" s="33"/>
      <c r="N388" s="46"/>
      <c r="O388" s="46"/>
      <c r="P388" s="46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</row>
    <row r="389" spans="1:37" ht="33.75" customHeight="1" x14ac:dyDescent="0.5">
      <c r="A389" s="33"/>
      <c r="B389" s="33"/>
      <c r="C389" s="33"/>
      <c r="D389" s="46"/>
      <c r="E389" s="46"/>
      <c r="F389" s="46"/>
      <c r="G389" s="46"/>
      <c r="H389" s="46"/>
      <c r="I389" s="46"/>
      <c r="J389" s="46"/>
      <c r="K389" s="33"/>
      <c r="L389" s="33"/>
      <c r="M389" s="33"/>
      <c r="N389" s="46"/>
      <c r="O389" s="46"/>
      <c r="P389" s="46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</row>
    <row r="390" spans="1:37" ht="33.75" customHeight="1" x14ac:dyDescent="0.5">
      <c r="A390" s="33"/>
      <c r="B390" s="33"/>
      <c r="C390" s="33"/>
      <c r="D390" s="46"/>
      <c r="E390" s="46"/>
      <c r="F390" s="46"/>
      <c r="G390" s="46"/>
      <c r="H390" s="46"/>
      <c r="I390" s="46"/>
      <c r="J390" s="46"/>
      <c r="K390" s="33"/>
      <c r="L390" s="33"/>
      <c r="M390" s="33"/>
      <c r="N390" s="46"/>
      <c r="O390" s="46"/>
      <c r="P390" s="46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</row>
    <row r="391" spans="1:37" ht="33.75" customHeight="1" x14ac:dyDescent="0.5">
      <c r="A391" s="33"/>
      <c r="B391" s="33"/>
      <c r="C391" s="33"/>
      <c r="D391" s="46"/>
      <c r="E391" s="46"/>
      <c r="F391" s="46"/>
      <c r="G391" s="46"/>
      <c r="H391" s="46"/>
      <c r="I391" s="46"/>
      <c r="J391" s="46"/>
      <c r="K391" s="33"/>
      <c r="L391" s="33"/>
      <c r="M391" s="33"/>
      <c r="N391" s="46"/>
      <c r="O391" s="46"/>
      <c r="P391" s="46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</row>
    <row r="392" spans="1:37" ht="33.75" customHeight="1" x14ac:dyDescent="0.5">
      <c r="A392" s="33"/>
      <c r="B392" s="33"/>
      <c r="C392" s="33"/>
      <c r="D392" s="46"/>
      <c r="E392" s="46"/>
      <c r="F392" s="46"/>
      <c r="G392" s="46"/>
      <c r="H392" s="46"/>
      <c r="I392" s="46"/>
      <c r="J392" s="46"/>
      <c r="K392" s="33"/>
      <c r="L392" s="33"/>
      <c r="M392" s="33"/>
      <c r="N392" s="46"/>
      <c r="O392" s="46"/>
      <c r="P392" s="46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</row>
    <row r="393" spans="1:37" ht="33.75" customHeight="1" x14ac:dyDescent="0.5">
      <c r="A393" s="33"/>
      <c r="B393" s="33"/>
      <c r="C393" s="33"/>
      <c r="D393" s="46"/>
      <c r="E393" s="46"/>
      <c r="F393" s="46"/>
      <c r="G393" s="46"/>
      <c r="H393" s="46"/>
      <c r="I393" s="46"/>
      <c r="J393" s="46"/>
      <c r="K393" s="33"/>
      <c r="L393" s="33"/>
      <c r="M393" s="33"/>
      <c r="N393" s="46"/>
      <c r="O393" s="46"/>
      <c r="P393" s="46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</row>
    <row r="394" spans="1:37" ht="33.75" customHeight="1" x14ac:dyDescent="0.5">
      <c r="A394" s="33"/>
      <c r="B394" s="33"/>
      <c r="C394" s="33"/>
      <c r="D394" s="46"/>
      <c r="E394" s="46"/>
      <c r="F394" s="46"/>
      <c r="G394" s="46"/>
      <c r="H394" s="46"/>
      <c r="I394" s="46"/>
      <c r="J394" s="46"/>
      <c r="K394" s="33"/>
      <c r="L394" s="33"/>
      <c r="M394" s="33"/>
      <c r="N394" s="46"/>
      <c r="O394" s="46"/>
      <c r="P394" s="46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spans="1:37" ht="33.75" customHeight="1" x14ac:dyDescent="0.5">
      <c r="A395" s="33"/>
      <c r="B395" s="33"/>
      <c r="C395" s="33"/>
      <c r="D395" s="46"/>
      <c r="E395" s="46"/>
      <c r="F395" s="46"/>
      <c r="G395" s="46"/>
      <c r="H395" s="46"/>
      <c r="I395" s="46"/>
      <c r="J395" s="46"/>
      <c r="K395" s="33"/>
      <c r="L395" s="33"/>
      <c r="M395" s="33"/>
      <c r="N395" s="46"/>
      <c r="O395" s="46"/>
      <c r="P395" s="46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spans="1:37" ht="33.75" customHeight="1" x14ac:dyDescent="0.5">
      <c r="A396" s="33"/>
      <c r="B396" s="33"/>
      <c r="C396" s="33"/>
      <c r="D396" s="46"/>
      <c r="E396" s="46"/>
      <c r="F396" s="46"/>
      <c r="G396" s="46"/>
      <c r="H396" s="46"/>
      <c r="I396" s="46"/>
      <c r="J396" s="46"/>
      <c r="K396" s="33"/>
      <c r="L396" s="33"/>
      <c r="M396" s="33"/>
      <c r="N396" s="46"/>
      <c r="O396" s="46"/>
      <c r="P396" s="46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spans="1:37" ht="33.75" customHeight="1" x14ac:dyDescent="0.5">
      <c r="A397" s="33"/>
      <c r="B397" s="33"/>
      <c r="C397" s="33"/>
      <c r="D397" s="46"/>
      <c r="E397" s="46"/>
      <c r="F397" s="46"/>
      <c r="G397" s="46"/>
      <c r="H397" s="46"/>
      <c r="I397" s="46"/>
      <c r="J397" s="46"/>
      <c r="K397" s="33"/>
      <c r="L397" s="33"/>
      <c r="M397" s="33"/>
      <c r="N397" s="46"/>
      <c r="O397" s="46"/>
      <c r="P397" s="46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spans="1:37" ht="33.75" customHeight="1" x14ac:dyDescent="0.5">
      <c r="A398" s="33"/>
      <c r="B398" s="33"/>
      <c r="C398" s="33"/>
      <c r="D398" s="46"/>
      <c r="E398" s="46"/>
      <c r="F398" s="46"/>
      <c r="G398" s="46"/>
      <c r="H398" s="46"/>
      <c r="I398" s="46"/>
      <c r="J398" s="46"/>
      <c r="K398" s="33"/>
      <c r="L398" s="33"/>
      <c r="M398" s="33"/>
      <c r="N398" s="46"/>
      <c r="O398" s="46"/>
      <c r="P398" s="46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spans="1:37" ht="33.75" customHeight="1" x14ac:dyDescent="0.5">
      <c r="A399" s="33"/>
      <c r="B399" s="33"/>
      <c r="C399" s="33"/>
      <c r="D399" s="46"/>
      <c r="E399" s="46"/>
      <c r="F399" s="46"/>
      <c r="G399" s="46"/>
      <c r="H399" s="46"/>
      <c r="I399" s="46"/>
      <c r="J399" s="46"/>
      <c r="K399" s="33"/>
      <c r="L399" s="33"/>
      <c r="M399" s="33"/>
      <c r="N399" s="46"/>
      <c r="O399" s="46"/>
      <c r="P399" s="46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</row>
    <row r="400" spans="1:37" ht="33.75" customHeight="1" x14ac:dyDescent="0.5">
      <c r="A400" s="33"/>
      <c r="B400" s="33"/>
      <c r="C400" s="33"/>
      <c r="D400" s="46"/>
      <c r="E400" s="46"/>
      <c r="F400" s="46"/>
      <c r="G400" s="46"/>
      <c r="H400" s="46"/>
      <c r="I400" s="46"/>
      <c r="J400" s="46"/>
      <c r="K400" s="33"/>
      <c r="L400" s="33"/>
      <c r="M400" s="33"/>
      <c r="N400" s="46"/>
      <c r="O400" s="46"/>
      <c r="P400" s="46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</row>
    <row r="401" spans="1:37" ht="33.75" customHeight="1" x14ac:dyDescent="0.5">
      <c r="A401" s="33"/>
      <c r="B401" s="33"/>
      <c r="C401" s="33"/>
      <c r="D401" s="46"/>
      <c r="E401" s="46"/>
      <c r="F401" s="46"/>
      <c r="G401" s="46"/>
      <c r="H401" s="46"/>
      <c r="I401" s="46"/>
      <c r="J401" s="46"/>
      <c r="K401" s="33"/>
      <c r="L401" s="33"/>
      <c r="M401" s="33"/>
      <c r="N401" s="46"/>
      <c r="O401" s="46"/>
      <c r="P401" s="46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</row>
    <row r="402" spans="1:37" ht="33.75" customHeight="1" x14ac:dyDescent="0.5">
      <c r="A402" s="33"/>
      <c r="B402" s="33"/>
      <c r="C402" s="33"/>
      <c r="D402" s="46"/>
      <c r="E402" s="46"/>
      <c r="F402" s="46"/>
      <c r="G402" s="46"/>
      <c r="H402" s="46"/>
      <c r="I402" s="46"/>
      <c r="J402" s="46"/>
      <c r="K402" s="33"/>
      <c r="L402" s="33"/>
      <c r="M402" s="33"/>
      <c r="N402" s="46"/>
      <c r="O402" s="46"/>
      <c r="P402" s="46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</row>
    <row r="403" spans="1:37" ht="33.75" customHeight="1" x14ac:dyDescent="0.5">
      <c r="A403" s="33"/>
      <c r="B403" s="33"/>
      <c r="C403" s="33"/>
      <c r="D403" s="46"/>
      <c r="E403" s="46"/>
      <c r="F403" s="46"/>
      <c r="G403" s="46"/>
      <c r="H403" s="46"/>
      <c r="I403" s="46"/>
      <c r="J403" s="46"/>
      <c r="K403" s="33"/>
      <c r="L403" s="33"/>
      <c r="M403" s="33"/>
      <c r="N403" s="46"/>
      <c r="O403" s="46"/>
      <c r="P403" s="46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</row>
    <row r="404" spans="1:37" ht="33.75" customHeight="1" x14ac:dyDescent="0.5">
      <c r="A404" s="33"/>
      <c r="B404" s="33"/>
      <c r="C404" s="33"/>
      <c r="D404" s="46"/>
      <c r="E404" s="46"/>
      <c r="F404" s="46"/>
      <c r="G404" s="46"/>
      <c r="H404" s="46"/>
      <c r="I404" s="46"/>
      <c r="J404" s="46"/>
      <c r="K404" s="33"/>
      <c r="L404" s="33"/>
      <c r="M404" s="33"/>
      <c r="N404" s="46"/>
      <c r="O404" s="46"/>
      <c r="P404" s="46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</row>
    <row r="405" spans="1:37" ht="33.75" customHeight="1" x14ac:dyDescent="0.5">
      <c r="A405" s="33"/>
      <c r="B405" s="33"/>
      <c r="C405" s="33"/>
      <c r="D405" s="46"/>
      <c r="E405" s="46"/>
      <c r="F405" s="46"/>
      <c r="G405" s="46"/>
      <c r="H405" s="46"/>
      <c r="I405" s="46"/>
      <c r="J405" s="46"/>
      <c r="K405" s="33"/>
      <c r="L405" s="33"/>
      <c r="M405" s="33"/>
      <c r="N405" s="46"/>
      <c r="O405" s="46"/>
      <c r="P405" s="46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</row>
    <row r="406" spans="1:37" ht="33.75" customHeight="1" x14ac:dyDescent="0.5">
      <c r="A406" s="33"/>
      <c r="B406" s="33"/>
      <c r="C406" s="33"/>
      <c r="D406" s="46"/>
      <c r="E406" s="46"/>
      <c r="F406" s="46"/>
      <c r="G406" s="46"/>
      <c r="H406" s="46"/>
      <c r="I406" s="46"/>
      <c r="J406" s="46"/>
      <c r="K406" s="33"/>
      <c r="L406" s="33"/>
      <c r="M406" s="33"/>
      <c r="N406" s="46"/>
      <c r="O406" s="46"/>
      <c r="P406" s="46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</row>
    <row r="407" spans="1:37" ht="33.75" customHeight="1" x14ac:dyDescent="0.5">
      <c r="A407" s="33"/>
      <c r="B407" s="33"/>
      <c r="C407" s="33"/>
      <c r="D407" s="46"/>
      <c r="E407" s="46"/>
      <c r="F407" s="46"/>
      <c r="G407" s="46"/>
      <c r="H407" s="46"/>
      <c r="I407" s="46"/>
      <c r="J407" s="46"/>
      <c r="K407" s="33"/>
      <c r="L407" s="33"/>
      <c r="M407" s="33"/>
      <c r="N407" s="46"/>
      <c r="O407" s="46"/>
      <c r="P407" s="46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</row>
    <row r="408" spans="1:37" ht="33.75" customHeight="1" x14ac:dyDescent="0.5">
      <c r="A408" s="33"/>
      <c r="B408" s="33"/>
      <c r="C408" s="33"/>
      <c r="D408" s="46"/>
      <c r="E408" s="46"/>
      <c r="F408" s="46"/>
      <c r="G408" s="46"/>
      <c r="H408" s="46"/>
      <c r="I408" s="46"/>
      <c r="J408" s="46"/>
      <c r="K408" s="33"/>
      <c r="L408" s="33"/>
      <c r="M408" s="33"/>
      <c r="N408" s="46"/>
      <c r="O408" s="46"/>
      <c r="P408" s="46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</row>
    <row r="409" spans="1:37" ht="33.75" customHeight="1" x14ac:dyDescent="0.5">
      <c r="A409" s="33"/>
      <c r="B409" s="33"/>
      <c r="C409" s="33"/>
      <c r="D409" s="46"/>
      <c r="E409" s="46"/>
      <c r="F409" s="46"/>
      <c r="G409" s="46"/>
      <c r="H409" s="46"/>
      <c r="I409" s="46"/>
      <c r="J409" s="46"/>
      <c r="K409" s="33"/>
      <c r="L409" s="33"/>
      <c r="M409" s="33"/>
      <c r="N409" s="46"/>
      <c r="O409" s="46"/>
      <c r="P409" s="46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</row>
    <row r="410" spans="1:37" ht="33.75" customHeight="1" x14ac:dyDescent="0.5">
      <c r="A410" s="33"/>
      <c r="B410" s="33"/>
      <c r="C410" s="33"/>
      <c r="D410" s="46"/>
      <c r="E410" s="46"/>
      <c r="F410" s="46"/>
      <c r="G410" s="46"/>
      <c r="H410" s="46"/>
      <c r="I410" s="46"/>
      <c r="J410" s="46"/>
      <c r="K410" s="33"/>
      <c r="L410" s="33"/>
      <c r="M410" s="33"/>
      <c r="N410" s="46"/>
      <c r="O410" s="46"/>
      <c r="P410" s="46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</row>
    <row r="411" spans="1:37" ht="33.75" customHeight="1" x14ac:dyDescent="0.5">
      <c r="A411" s="33"/>
      <c r="B411" s="33"/>
      <c r="C411" s="33"/>
      <c r="D411" s="46"/>
      <c r="E411" s="46"/>
      <c r="F411" s="46"/>
      <c r="G411" s="46"/>
      <c r="H411" s="46"/>
      <c r="I411" s="46"/>
      <c r="J411" s="46"/>
      <c r="K411" s="33"/>
      <c r="L411" s="33"/>
      <c r="M411" s="33"/>
      <c r="N411" s="46"/>
      <c r="O411" s="46"/>
      <c r="P411" s="46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</row>
    <row r="412" spans="1:37" ht="33.75" customHeight="1" x14ac:dyDescent="0.5">
      <c r="A412" s="33"/>
      <c r="B412" s="33"/>
      <c r="C412" s="33"/>
      <c r="D412" s="46"/>
      <c r="E412" s="46"/>
      <c r="F412" s="46"/>
      <c r="G412" s="46"/>
      <c r="H412" s="46"/>
      <c r="I412" s="46"/>
      <c r="J412" s="46"/>
      <c r="K412" s="33"/>
      <c r="L412" s="33"/>
      <c r="M412" s="33"/>
      <c r="N412" s="46"/>
      <c r="O412" s="46"/>
      <c r="P412" s="46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</row>
    <row r="413" spans="1:37" ht="33.75" customHeight="1" x14ac:dyDescent="0.5">
      <c r="A413" s="33"/>
      <c r="B413" s="33"/>
      <c r="C413" s="33"/>
      <c r="D413" s="46"/>
      <c r="E413" s="46"/>
      <c r="F413" s="46"/>
      <c r="G413" s="46"/>
      <c r="H413" s="46"/>
      <c r="I413" s="46"/>
      <c r="J413" s="46"/>
      <c r="K413" s="33"/>
      <c r="L413" s="33"/>
      <c r="M413" s="33"/>
      <c r="N413" s="46"/>
      <c r="O413" s="46"/>
      <c r="P413" s="46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</row>
    <row r="414" spans="1:37" ht="33.75" customHeight="1" x14ac:dyDescent="0.5">
      <c r="A414" s="33"/>
      <c r="B414" s="33"/>
      <c r="C414" s="33"/>
      <c r="D414" s="46"/>
      <c r="E414" s="46"/>
      <c r="F414" s="46"/>
      <c r="G414" s="46"/>
      <c r="H414" s="46"/>
      <c r="I414" s="46"/>
      <c r="J414" s="46"/>
      <c r="K414" s="33"/>
      <c r="L414" s="33"/>
      <c r="M414" s="33"/>
      <c r="N414" s="46"/>
      <c r="O414" s="46"/>
      <c r="P414" s="46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</row>
    <row r="415" spans="1:37" ht="33.75" customHeight="1" x14ac:dyDescent="0.5">
      <c r="A415" s="33"/>
      <c r="B415" s="33"/>
      <c r="C415" s="33"/>
      <c r="D415" s="46"/>
      <c r="E415" s="46"/>
      <c r="F415" s="46"/>
      <c r="G415" s="46"/>
      <c r="H415" s="46"/>
      <c r="I415" s="46"/>
      <c r="J415" s="46"/>
      <c r="K415" s="33"/>
      <c r="L415" s="33"/>
      <c r="M415" s="33"/>
      <c r="N415" s="46"/>
      <c r="O415" s="46"/>
      <c r="P415" s="46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</row>
    <row r="416" spans="1:37" ht="33.75" customHeight="1" x14ac:dyDescent="0.5">
      <c r="A416" s="33"/>
      <c r="B416" s="33"/>
      <c r="C416" s="33"/>
      <c r="D416" s="46"/>
      <c r="E416" s="46"/>
      <c r="F416" s="46"/>
      <c r="G416" s="46"/>
      <c r="H416" s="46"/>
      <c r="I416" s="46"/>
      <c r="J416" s="46"/>
      <c r="K416" s="33"/>
      <c r="L416" s="33"/>
      <c r="M416" s="33"/>
      <c r="N416" s="46"/>
      <c r="O416" s="46"/>
      <c r="P416" s="46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</row>
    <row r="417" spans="1:37" ht="33.75" customHeight="1" x14ac:dyDescent="0.5">
      <c r="A417" s="33"/>
      <c r="B417" s="33"/>
      <c r="C417" s="33"/>
      <c r="D417" s="46"/>
      <c r="E417" s="46"/>
      <c r="F417" s="46"/>
      <c r="G417" s="46"/>
      <c r="H417" s="46"/>
      <c r="I417" s="46"/>
      <c r="J417" s="46"/>
      <c r="K417" s="33"/>
      <c r="L417" s="33"/>
      <c r="M417" s="33"/>
      <c r="N417" s="46"/>
      <c r="O417" s="46"/>
      <c r="P417" s="46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</row>
    <row r="418" spans="1:37" ht="33.75" customHeight="1" x14ac:dyDescent="0.5">
      <c r="A418" s="33"/>
      <c r="B418" s="33"/>
      <c r="C418" s="33"/>
      <c r="D418" s="46"/>
      <c r="E418" s="46"/>
      <c r="F418" s="46"/>
      <c r="G418" s="46"/>
      <c r="H418" s="46"/>
      <c r="I418" s="46"/>
      <c r="J418" s="46"/>
      <c r="K418" s="33"/>
      <c r="L418" s="33"/>
      <c r="M418" s="33"/>
      <c r="N418" s="46"/>
      <c r="O418" s="46"/>
      <c r="P418" s="46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</row>
    <row r="419" spans="1:37" ht="33.75" customHeight="1" x14ac:dyDescent="0.5">
      <c r="A419" s="33"/>
      <c r="B419" s="33"/>
      <c r="C419" s="33"/>
      <c r="D419" s="46"/>
      <c r="E419" s="46"/>
      <c r="F419" s="46"/>
      <c r="G419" s="46"/>
      <c r="H419" s="46"/>
      <c r="I419" s="46"/>
      <c r="J419" s="46"/>
      <c r="K419" s="33"/>
      <c r="L419" s="33"/>
      <c r="M419" s="33"/>
      <c r="N419" s="46"/>
      <c r="O419" s="46"/>
      <c r="P419" s="46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</row>
    <row r="420" spans="1:37" ht="33.75" customHeight="1" x14ac:dyDescent="0.5">
      <c r="A420" s="33"/>
      <c r="B420" s="33"/>
      <c r="C420" s="33"/>
      <c r="D420" s="46"/>
      <c r="E420" s="46"/>
      <c r="F420" s="46"/>
      <c r="G420" s="46"/>
      <c r="H420" s="46"/>
      <c r="I420" s="46"/>
      <c r="J420" s="46"/>
      <c r="K420" s="33"/>
      <c r="L420" s="33"/>
      <c r="M420" s="33"/>
      <c r="N420" s="46"/>
      <c r="O420" s="46"/>
      <c r="P420" s="46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</row>
    <row r="421" spans="1:37" ht="33.75" customHeight="1" x14ac:dyDescent="0.5">
      <c r="A421" s="33"/>
      <c r="B421" s="33"/>
      <c r="C421" s="33"/>
      <c r="D421" s="46"/>
      <c r="E421" s="46"/>
      <c r="F421" s="46"/>
      <c r="G421" s="46"/>
      <c r="H421" s="46"/>
      <c r="I421" s="46"/>
      <c r="J421" s="46"/>
      <c r="K421" s="33"/>
      <c r="L421" s="33"/>
      <c r="M421" s="33"/>
      <c r="N421" s="46"/>
      <c r="O421" s="46"/>
      <c r="P421" s="46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</row>
    <row r="422" spans="1:37" ht="33.75" customHeight="1" x14ac:dyDescent="0.5">
      <c r="A422" s="33"/>
      <c r="B422" s="33"/>
      <c r="C422" s="33"/>
      <c r="D422" s="46"/>
      <c r="E422" s="46"/>
      <c r="F422" s="46"/>
      <c r="G422" s="46"/>
      <c r="H422" s="46"/>
      <c r="I422" s="46"/>
      <c r="J422" s="46"/>
      <c r="K422" s="33"/>
      <c r="L422" s="33"/>
      <c r="M422" s="33"/>
      <c r="N422" s="46"/>
      <c r="O422" s="46"/>
      <c r="P422" s="46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</row>
    <row r="423" spans="1:37" ht="33.75" customHeight="1" x14ac:dyDescent="0.5">
      <c r="A423" s="33"/>
      <c r="B423" s="33"/>
      <c r="C423" s="33"/>
      <c r="D423" s="46"/>
      <c r="E423" s="46"/>
      <c r="F423" s="46"/>
      <c r="G423" s="46"/>
      <c r="H423" s="46"/>
      <c r="I423" s="46"/>
      <c r="J423" s="46"/>
      <c r="K423" s="33"/>
      <c r="L423" s="33"/>
      <c r="M423" s="33"/>
      <c r="N423" s="46"/>
      <c r="O423" s="46"/>
      <c r="P423" s="46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</row>
    <row r="424" spans="1:37" ht="33.75" customHeight="1" x14ac:dyDescent="0.5">
      <c r="A424" s="33"/>
      <c r="B424" s="33"/>
      <c r="C424" s="33"/>
      <c r="D424" s="46"/>
      <c r="E424" s="46"/>
      <c r="F424" s="46"/>
      <c r="G424" s="46"/>
      <c r="H424" s="46"/>
      <c r="I424" s="46"/>
      <c r="J424" s="46"/>
      <c r="K424" s="33"/>
      <c r="L424" s="33"/>
      <c r="M424" s="33"/>
      <c r="N424" s="46"/>
      <c r="O424" s="46"/>
      <c r="P424" s="46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</row>
    <row r="425" spans="1:37" ht="33.75" customHeight="1" x14ac:dyDescent="0.5">
      <c r="A425" s="33"/>
      <c r="B425" s="33"/>
      <c r="C425" s="33"/>
      <c r="D425" s="46"/>
      <c r="E425" s="46"/>
      <c r="F425" s="46"/>
      <c r="G425" s="46"/>
      <c r="H425" s="46"/>
      <c r="I425" s="46"/>
      <c r="J425" s="46"/>
      <c r="K425" s="33"/>
      <c r="L425" s="33"/>
      <c r="M425" s="33"/>
      <c r="N425" s="46"/>
      <c r="O425" s="46"/>
      <c r="P425" s="46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</row>
    <row r="426" spans="1:37" ht="33.75" customHeight="1" x14ac:dyDescent="0.5">
      <c r="A426" s="33"/>
      <c r="B426" s="33"/>
      <c r="C426" s="33"/>
      <c r="D426" s="46"/>
      <c r="E426" s="46"/>
      <c r="F426" s="46"/>
      <c r="G426" s="46"/>
      <c r="H426" s="46"/>
      <c r="I426" s="46"/>
      <c r="J426" s="46"/>
      <c r="K426" s="33"/>
      <c r="L426" s="33"/>
      <c r="M426" s="33"/>
      <c r="N426" s="46"/>
      <c r="O426" s="46"/>
      <c r="P426" s="46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</row>
    <row r="427" spans="1:37" ht="33.75" customHeight="1" x14ac:dyDescent="0.5">
      <c r="A427" s="33"/>
      <c r="B427" s="33"/>
      <c r="C427" s="33"/>
      <c r="D427" s="46"/>
      <c r="E427" s="46"/>
      <c r="F427" s="46"/>
      <c r="G427" s="46"/>
      <c r="H427" s="46"/>
      <c r="I427" s="46"/>
      <c r="J427" s="46"/>
      <c r="K427" s="33"/>
      <c r="L427" s="33"/>
      <c r="M427" s="33"/>
      <c r="N427" s="46"/>
      <c r="O427" s="46"/>
      <c r="P427" s="46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</row>
    <row r="428" spans="1:37" ht="33.75" customHeight="1" x14ac:dyDescent="0.5">
      <c r="A428" s="33"/>
      <c r="B428" s="33"/>
      <c r="C428" s="33"/>
      <c r="D428" s="46"/>
      <c r="E428" s="46"/>
      <c r="F428" s="46"/>
      <c r="G428" s="46"/>
      <c r="H428" s="46"/>
      <c r="I428" s="46"/>
      <c r="J428" s="46"/>
      <c r="K428" s="33"/>
      <c r="L428" s="33"/>
      <c r="M428" s="33"/>
      <c r="N428" s="46"/>
      <c r="O428" s="46"/>
      <c r="P428" s="46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</row>
    <row r="429" spans="1:37" ht="33.75" customHeight="1" x14ac:dyDescent="0.5">
      <c r="A429" s="33"/>
      <c r="B429" s="33"/>
      <c r="C429" s="33"/>
      <c r="D429" s="46"/>
      <c r="E429" s="46"/>
      <c r="F429" s="46"/>
      <c r="G429" s="46"/>
      <c r="H429" s="46"/>
      <c r="I429" s="46"/>
      <c r="J429" s="46"/>
      <c r="K429" s="33"/>
      <c r="L429" s="33"/>
      <c r="M429" s="33"/>
      <c r="N429" s="46"/>
      <c r="O429" s="46"/>
      <c r="P429" s="46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</row>
    <row r="430" spans="1:37" ht="33.75" customHeight="1" x14ac:dyDescent="0.5">
      <c r="A430" s="33"/>
      <c r="B430" s="33"/>
      <c r="C430" s="33"/>
      <c r="D430" s="46"/>
      <c r="E430" s="46"/>
      <c r="F430" s="46"/>
      <c r="G430" s="46"/>
      <c r="H430" s="46"/>
      <c r="I430" s="46"/>
      <c r="J430" s="46"/>
      <c r="K430" s="33"/>
      <c r="L430" s="33"/>
      <c r="M430" s="33"/>
      <c r="N430" s="46"/>
      <c r="O430" s="46"/>
      <c r="P430" s="46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</row>
    <row r="431" spans="1:37" ht="33.75" customHeight="1" x14ac:dyDescent="0.5">
      <c r="A431" s="33"/>
      <c r="B431" s="33"/>
      <c r="C431" s="33"/>
      <c r="D431" s="46"/>
      <c r="E431" s="46"/>
      <c r="F431" s="46"/>
      <c r="G431" s="46"/>
      <c r="H431" s="46"/>
      <c r="I431" s="46"/>
      <c r="J431" s="46"/>
      <c r="K431" s="33"/>
      <c r="L431" s="33"/>
      <c r="M431" s="33"/>
      <c r="N431" s="46"/>
      <c r="O431" s="46"/>
      <c r="P431" s="46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</row>
    <row r="432" spans="1:37" ht="33.75" customHeight="1" x14ac:dyDescent="0.5">
      <c r="A432" s="33"/>
      <c r="B432" s="33"/>
      <c r="C432" s="33"/>
      <c r="D432" s="46"/>
      <c r="E432" s="46"/>
      <c r="F432" s="46"/>
      <c r="G432" s="46"/>
      <c r="H432" s="46"/>
      <c r="I432" s="46"/>
      <c r="J432" s="46"/>
      <c r="K432" s="33"/>
      <c r="L432" s="33"/>
      <c r="M432" s="33"/>
      <c r="N432" s="46"/>
      <c r="O432" s="46"/>
      <c r="P432" s="46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</row>
    <row r="433" spans="1:37" ht="33.75" customHeight="1" x14ac:dyDescent="0.5">
      <c r="A433" s="33"/>
      <c r="B433" s="33"/>
      <c r="C433" s="33"/>
      <c r="D433" s="46"/>
      <c r="E433" s="46"/>
      <c r="F433" s="46"/>
      <c r="G433" s="46"/>
      <c r="H433" s="46"/>
      <c r="I433" s="46"/>
      <c r="J433" s="46"/>
      <c r="K433" s="33"/>
      <c r="L433" s="33"/>
      <c r="M433" s="33"/>
      <c r="N433" s="46"/>
      <c r="O433" s="46"/>
      <c r="P433" s="46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</row>
    <row r="434" spans="1:37" ht="33.75" customHeight="1" x14ac:dyDescent="0.5">
      <c r="A434" s="33"/>
      <c r="B434" s="33"/>
      <c r="C434" s="33"/>
      <c r="D434" s="46"/>
      <c r="E434" s="46"/>
      <c r="F434" s="46"/>
      <c r="G434" s="46"/>
      <c r="H434" s="46"/>
      <c r="I434" s="46"/>
      <c r="J434" s="46"/>
      <c r="K434" s="33"/>
      <c r="L434" s="33"/>
      <c r="M434" s="33"/>
      <c r="N434" s="46"/>
      <c r="O434" s="46"/>
      <c r="P434" s="46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</row>
    <row r="435" spans="1:37" ht="33.75" customHeight="1" x14ac:dyDescent="0.5">
      <c r="A435" s="33"/>
      <c r="B435" s="33"/>
      <c r="C435" s="33"/>
      <c r="D435" s="46"/>
      <c r="E435" s="46"/>
      <c r="F435" s="46"/>
      <c r="G435" s="46"/>
      <c r="H435" s="46"/>
      <c r="I435" s="46"/>
      <c r="J435" s="46"/>
      <c r="K435" s="33"/>
      <c r="L435" s="33"/>
      <c r="M435" s="33"/>
      <c r="N435" s="46"/>
      <c r="O435" s="46"/>
      <c r="P435" s="46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</row>
    <row r="436" spans="1:37" ht="33.75" customHeight="1" x14ac:dyDescent="0.5">
      <c r="A436" s="33"/>
      <c r="B436" s="33"/>
      <c r="C436" s="33"/>
      <c r="D436" s="46"/>
      <c r="E436" s="46"/>
      <c r="F436" s="46"/>
      <c r="G436" s="46"/>
      <c r="H436" s="46"/>
      <c r="I436" s="46"/>
      <c r="J436" s="46"/>
      <c r="K436" s="33"/>
      <c r="L436" s="33"/>
      <c r="M436" s="33"/>
      <c r="N436" s="46"/>
      <c r="O436" s="46"/>
      <c r="P436" s="46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</row>
    <row r="437" spans="1:37" ht="33.75" customHeight="1" x14ac:dyDescent="0.5">
      <c r="A437" s="33"/>
      <c r="B437" s="33"/>
      <c r="C437" s="33"/>
      <c r="D437" s="46"/>
      <c r="E437" s="46"/>
      <c r="F437" s="46"/>
      <c r="G437" s="46"/>
      <c r="H437" s="46"/>
      <c r="I437" s="46"/>
      <c r="J437" s="46"/>
      <c r="K437" s="33"/>
      <c r="L437" s="33"/>
      <c r="M437" s="33"/>
      <c r="N437" s="46"/>
      <c r="O437" s="46"/>
      <c r="P437" s="46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</row>
    <row r="438" spans="1:37" ht="33.75" customHeight="1" x14ac:dyDescent="0.5">
      <c r="A438" s="33"/>
      <c r="B438" s="33"/>
      <c r="C438" s="33"/>
      <c r="D438" s="46"/>
      <c r="E438" s="46"/>
      <c r="F438" s="46"/>
      <c r="G438" s="46"/>
      <c r="H438" s="46"/>
      <c r="I438" s="46"/>
      <c r="J438" s="46"/>
      <c r="K438" s="33"/>
      <c r="L438" s="33"/>
      <c r="M438" s="33"/>
      <c r="N438" s="46"/>
      <c r="O438" s="46"/>
      <c r="P438" s="46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</row>
    <row r="439" spans="1:37" ht="33.75" customHeight="1" x14ac:dyDescent="0.5">
      <c r="A439" s="33"/>
      <c r="B439" s="33"/>
      <c r="C439" s="33"/>
      <c r="D439" s="46"/>
      <c r="E439" s="46"/>
      <c r="F439" s="46"/>
      <c r="G439" s="46"/>
      <c r="H439" s="46"/>
      <c r="I439" s="46"/>
      <c r="J439" s="46"/>
      <c r="K439" s="33"/>
      <c r="L439" s="33"/>
      <c r="M439" s="33"/>
      <c r="N439" s="46"/>
      <c r="O439" s="46"/>
      <c r="P439" s="46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</row>
    <row r="440" spans="1:37" ht="33.75" customHeight="1" x14ac:dyDescent="0.5">
      <c r="A440" s="33"/>
      <c r="B440" s="33"/>
      <c r="C440" s="33"/>
      <c r="D440" s="46"/>
      <c r="E440" s="46"/>
      <c r="F440" s="46"/>
      <c r="G440" s="46"/>
      <c r="H440" s="46"/>
      <c r="I440" s="46"/>
      <c r="J440" s="46"/>
      <c r="K440" s="33"/>
      <c r="L440" s="33"/>
      <c r="M440" s="33"/>
      <c r="N440" s="46"/>
      <c r="O440" s="46"/>
      <c r="P440" s="46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</row>
    <row r="441" spans="1:37" ht="33.75" customHeight="1" x14ac:dyDescent="0.5">
      <c r="A441" s="33"/>
      <c r="B441" s="33"/>
      <c r="C441" s="33"/>
      <c r="D441" s="46"/>
      <c r="E441" s="46"/>
      <c r="F441" s="46"/>
      <c r="G441" s="46"/>
      <c r="H441" s="46"/>
      <c r="I441" s="46"/>
      <c r="J441" s="46"/>
      <c r="K441" s="33"/>
      <c r="L441" s="33"/>
      <c r="M441" s="33"/>
      <c r="N441" s="46"/>
      <c r="O441" s="46"/>
      <c r="P441" s="46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</row>
    <row r="442" spans="1:37" ht="33.75" customHeight="1" x14ac:dyDescent="0.5">
      <c r="A442" s="33"/>
      <c r="B442" s="33"/>
      <c r="C442" s="33"/>
      <c r="D442" s="46"/>
      <c r="E442" s="46"/>
      <c r="F442" s="46"/>
      <c r="G442" s="46"/>
      <c r="H442" s="46"/>
      <c r="I442" s="46"/>
      <c r="J442" s="46"/>
      <c r="K442" s="33"/>
      <c r="L442" s="33"/>
      <c r="M442" s="33"/>
      <c r="N442" s="46"/>
      <c r="O442" s="46"/>
      <c r="P442" s="46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</row>
    <row r="443" spans="1:37" ht="33.75" customHeight="1" x14ac:dyDescent="0.5">
      <c r="A443" s="33"/>
      <c r="B443" s="33"/>
      <c r="C443" s="33"/>
      <c r="D443" s="46"/>
      <c r="E443" s="46"/>
      <c r="F443" s="46"/>
      <c r="G443" s="46"/>
      <c r="H443" s="46"/>
      <c r="I443" s="46"/>
      <c r="J443" s="46"/>
      <c r="K443" s="33"/>
      <c r="L443" s="33"/>
      <c r="M443" s="33"/>
      <c r="N443" s="46"/>
      <c r="O443" s="46"/>
      <c r="P443" s="46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</row>
    <row r="444" spans="1:37" ht="33.75" customHeight="1" x14ac:dyDescent="0.5">
      <c r="A444" s="33"/>
      <c r="B444" s="33"/>
      <c r="C444" s="33"/>
      <c r="D444" s="46"/>
      <c r="E444" s="46"/>
      <c r="F444" s="46"/>
      <c r="G444" s="46"/>
      <c r="H444" s="46"/>
      <c r="I444" s="46"/>
      <c r="J444" s="46"/>
      <c r="K444" s="33"/>
      <c r="L444" s="33"/>
      <c r="M444" s="33"/>
      <c r="N444" s="46"/>
      <c r="O444" s="46"/>
      <c r="P444" s="46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</row>
    <row r="445" spans="1:37" ht="33.75" customHeight="1" x14ac:dyDescent="0.5">
      <c r="A445" s="33"/>
      <c r="B445" s="33"/>
      <c r="C445" s="33"/>
      <c r="D445" s="46"/>
      <c r="E445" s="46"/>
      <c r="F445" s="46"/>
      <c r="G445" s="46"/>
      <c r="H445" s="46"/>
      <c r="I445" s="46"/>
      <c r="J445" s="46"/>
      <c r="K445" s="33"/>
      <c r="L445" s="33"/>
      <c r="M445" s="33"/>
      <c r="N445" s="46"/>
      <c r="O445" s="46"/>
      <c r="P445" s="46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</row>
    <row r="446" spans="1:37" ht="33.75" customHeight="1" x14ac:dyDescent="0.5">
      <c r="A446" s="33"/>
      <c r="B446" s="33"/>
      <c r="C446" s="33"/>
      <c r="D446" s="46"/>
      <c r="E446" s="46"/>
      <c r="F446" s="46"/>
      <c r="G446" s="46"/>
      <c r="H446" s="46"/>
      <c r="I446" s="46"/>
      <c r="J446" s="46"/>
      <c r="K446" s="33"/>
      <c r="L446" s="33"/>
      <c r="M446" s="33"/>
      <c r="N446" s="46"/>
      <c r="O446" s="46"/>
      <c r="P446" s="46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</row>
    <row r="447" spans="1:37" ht="33.75" customHeight="1" x14ac:dyDescent="0.5">
      <c r="A447" s="33"/>
      <c r="B447" s="33"/>
      <c r="C447" s="33"/>
      <c r="D447" s="46"/>
      <c r="E447" s="46"/>
      <c r="F447" s="46"/>
      <c r="G447" s="46"/>
      <c r="H447" s="46"/>
      <c r="I447" s="46"/>
      <c r="J447" s="46"/>
      <c r="K447" s="33"/>
      <c r="L447" s="33"/>
      <c r="M447" s="33"/>
      <c r="N447" s="46"/>
      <c r="O447" s="46"/>
      <c r="P447" s="46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</row>
    <row r="448" spans="1:37" ht="33.75" customHeight="1" x14ac:dyDescent="0.5">
      <c r="A448" s="33"/>
      <c r="B448" s="33"/>
      <c r="C448" s="33"/>
      <c r="D448" s="46"/>
      <c r="E448" s="46"/>
      <c r="F448" s="46"/>
      <c r="G448" s="46"/>
      <c r="H448" s="46"/>
      <c r="I448" s="46"/>
      <c r="J448" s="46"/>
      <c r="K448" s="33"/>
      <c r="L448" s="33"/>
      <c r="M448" s="33"/>
      <c r="N448" s="46"/>
      <c r="O448" s="46"/>
      <c r="P448" s="46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</row>
    <row r="449" spans="1:37" ht="33.75" customHeight="1" x14ac:dyDescent="0.5">
      <c r="A449" s="33"/>
      <c r="B449" s="33"/>
      <c r="C449" s="33"/>
      <c r="D449" s="46"/>
      <c r="E449" s="46"/>
      <c r="F449" s="46"/>
      <c r="G449" s="46"/>
      <c r="H449" s="46"/>
      <c r="I449" s="46"/>
      <c r="J449" s="46"/>
      <c r="K449" s="33"/>
      <c r="L449" s="33"/>
      <c r="M449" s="33"/>
      <c r="N449" s="46"/>
      <c r="O449" s="46"/>
      <c r="P449" s="46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</row>
    <row r="450" spans="1:37" ht="33.75" customHeight="1" x14ac:dyDescent="0.5">
      <c r="A450" s="33"/>
      <c r="B450" s="33"/>
      <c r="C450" s="33"/>
      <c r="D450" s="46"/>
      <c r="E450" s="46"/>
      <c r="F450" s="46"/>
      <c r="G450" s="46"/>
      <c r="H450" s="46"/>
      <c r="I450" s="46"/>
      <c r="J450" s="46"/>
      <c r="K450" s="33"/>
      <c r="L450" s="33"/>
      <c r="M450" s="33"/>
      <c r="N450" s="46"/>
      <c r="O450" s="46"/>
      <c r="P450" s="46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</row>
    <row r="451" spans="1:37" ht="33.75" customHeight="1" x14ac:dyDescent="0.5">
      <c r="A451" s="33"/>
      <c r="B451" s="33"/>
      <c r="C451" s="33"/>
      <c r="D451" s="46"/>
      <c r="E451" s="46"/>
      <c r="F451" s="46"/>
      <c r="G451" s="46"/>
      <c r="H451" s="46"/>
      <c r="I451" s="46"/>
      <c r="J451" s="46"/>
      <c r="K451" s="33"/>
      <c r="L451" s="33"/>
      <c r="M451" s="33"/>
      <c r="N451" s="46"/>
      <c r="O451" s="46"/>
      <c r="P451" s="46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</row>
    <row r="452" spans="1:37" ht="33.75" customHeight="1" x14ac:dyDescent="0.5">
      <c r="A452" s="33"/>
      <c r="B452" s="33"/>
      <c r="C452" s="33"/>
      <c r="D452" s="46"/>
      <c r="E452" s="46"/>
      <c r="F452" s="46"/>
      <c r="G452" s="46"/>
      <c r="H452" s="46"/>
      <c r="I452" s="46"/>
      <c r="J452" s="46"/>
      <c r="K452" s="33"/>
      <c r="L452" s="33"/>
      <c r="M452" s="33"/>
      <c r="N452" s="46"/>
      <c r="O452" s="46"/>
      <c r="P452" s="46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</row>
    <row r="453" spans="1:37" ht="33.75" customHeight="1" x14ac:dyDescent="0.5">
      <c r="A453" s="33"/>
      <c r="B453" s="33"/>
      <c r="C453" s="33"/>
      <c r="D453" s="46"/>
      <c r="E453" s="46"/>
      <c r="F453" s="46"/>
      <c r="G453" s="46"/>
      <c r="H453" s="46"/>
      <c r="I453" s="46"/>
      <c r="J453" s="46"/>
      <c r="K453" s="33"/>
      <c r="L453" s="33"/>
      <c r="M453" s="33"/>
      <c r="N453" s="46"/>
      <c r="O453" s="46"/>
      <c r="P453" s="46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</row>
    <row r="454" spans="1:37" ht="33.75" customHeight="1" x14ac:dyDescent="0.5">
      <c r="A454" s="33"/>
      <c r="B454" s="33"/>
      <c r="C454" s="33"/>
      <c r="D454" s="46"/>
      <c r="E454" s="46"/>
      <c r="F454" s="46"/>
      <c r="G454" s="46"/>
      <c r="H454" s="46"/>
      <c r="I454" s="46"/>
      <c r="J454" s="46"/>
      <c r="K454" s="33"/>
      <c r="L454" s="33"/>
      <c r="M454" s="33"/>
      <c r="N454" s="46"/>
      <c r="O454" s="46"/>
      <c r="P454" s="46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</row>
    <row r="455" spans="1:37" ht="33.75" customHeight="1" x14ac:dyDescent="0.5">
      <c r="A455" s="33"/>
      <c r="B455" s="33"/>
      <c r="C455" s="33"/>
      <c r="D455" s="46"/>
      <c r="E455" s="46"/>
      <c r="F455" s="46"/>
      <c r="G455" s="46"/>
      <c r="H455" s="46"/>
      <c r="I455" s="46"/>
      <c r="J455" s="46"/>
      <c r="K455" s="33"/>
      <c r="L455" s="33"/>
      <c r="M455" s="33"/>
      <c r="N455" s="46"/>
      <c r="O455" s="46"/>
      <c r="P455" s="46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</row>
    <row r="456" spans="1:37" ht="33.75" customHeight="1" x14ac:dyDescent="0.5">
      <c r="A456" s="33"/>
      <c r="B456" s="33"/>
      <c r="C456" s="33"/>
      <c r="D456" s="46"/>
      <c r="E456" s="46"/>
      <c r="F456" s="46"/>
      <c r="G456" s="46"/>
      <c r="H456" s="46"/>
      <c r="I456" s="46"/>
      <c r="J456" s="46"/>
      <c r="K456" s="33"/>
      <c r="L456" s="33"/>
      <c r="M456" s="33"/>
      <c r="N456" s="46"/>
      <c r="O456" s="46"/>
      <c r="P456" s="46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</row>
    <row r="457" spans="1:37" ht="33.75" customHeight="1" x14ac:dyDescent="0.5">
      <c r="A457" s="33"/>
      <c r="B457" s="33"/>
      <c r="C457" s="33"/>
      <c r="D457" s="46"/>
      <c r="E457" s="46"/>
      <c r="F457" s="46"/>
      <c r="G457" s="46"/>
      <c r="H457" s="46"/>
      <c r="I457" s="46"/>
      <c r="J457" s="46"/>
      <c r="K457" s="33"/>
      <c r="L457" s="33"/>
      <c r="M457" s="33"/>
      <c r="N457" s="46"/>
      <c r="O457" s="46"/>
      <c r="P457" s="46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</row>
    <row r="458" spans="1:37" ht="33.75" customHeight="1" x14ac:dyDescent="0.5">
      <c r="A458" s="33"/>
      <c r="B458" s="33"/>
      <c r="C458" s="33"/>
      <c r="D458" s="46"/>
      <c r="E458" s="46"/>
      <c r="F458" s="46"/>
      <c r="G458" s="46"/>
      <c r="H458" s="46"/>
      <c r="I458" s="46"/>
      <c r="J458" s="46"/>
      <c r="K458" s="33"/>
      <c r="L458" s="33"/>
      <c r="M458" s="33"/>
      <c r="N458" s="46"/>
      <c r="O458" s="46"/>
      <c r="P458" s="46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</row>
    <row r="459" spans="1:37" ht="33.75" customHeight="1" x14ac:dyDescent="0.5">
      <c r="A459" s="33"/>
      <c r="B459" s="33"/>
      <c r="C459" s="33"/>
      <c r="D459" s="46"/>
      <c r="E459" s="46"/>
      <c r="F459" s="46"/>
      <c r="G459" s="46"/>
      <c r="H459" s="46"/>
      <c r="I459" s="46"/>
      <c r="J459" s="46"/>
      <c r="K459" s="33"/>
      <c r="L459" s="33"/>
      <c r="M459" s="33"/>
      <c r="N459" s="46"/>
      <c r="O459" s="46"/>
      <c r="P459" s="46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</row>
    <row r="460" spans="1:37" ht="33.75" customHeight="1" x14ac:dyDescent="0.5">
      <c r="A460" s="33"/>
      <c r="B460" s="33"/>
      <c r="C460" s="33"/>
      <c r="D460" s="46"/>
      <c r="E460" s="46"/>
      <c r="F460" s="46"/>
      <c r="G460" s="46"/>
      <c r="H460" s="46"/>
      <c r="I460" s="46"/>
      <c r="J460" s="46"/>
      <c r="K460" s="33"/>
      <c r="L460" s="33"/>
      <c r="M460" s="33"/>
      <c r="N460" s="46"/>
      <c r="O460" s="46"/>
      <c r="P460" s="46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</row>
    <row r="461" spans="1:37" ht="33.75" customHeight="1" x14ac:dyDescent="0.5">
      <c r="A461" s="33"/>
      <c r="B461" s="33"/>
      <c r="C461" s="33"/>
      <c r="D461" s="46"/>
      <c r="E461" s="46"/>
      <c r="F461" s="46"/>
      <c r="G461" s="46"/>
      <c r="H461" s="46"/>
      <c r="I461" s="46"/>
      <c r="J461" s="46"/>
      <c r="K461" s="33"/>
      <c r="L461" s="33"/>
      <c r="M461" s="33"/>
      <c r="N461" s="46"/>
      <c r="O461" s="46"/>
      <c r="P461" s="46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</row>
    <row r="462" spans="1:37" ht="33.75" customHeight="1" x14ac:dyDescent="0.5">
      <c r="A462" s="33"/>
      <c r="B462" s="33"/>
      <c r="C462" s="33"/>
      <c r="D462" s="46"/>
      <c r="E462" s="46"/>
      <c r="F462" s="46"/>
      <c r="G462" s="46"/>
      <c r="H462" s="46"/>
      <c r="I462" s="46"/>
      <c r="J462" s="46"/>
      <c r="K462" s="33"/>
      <c r="L462" s="33"/>
      <c r="M462" s="33"/>
      <c r="N462" s="46"/>
      <c r="O462" s="46"/>
      <c r="P462" s="46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</row>
    <row r="463" spans="1:37" ht="33.75" customHeight="1" x14ac:dyDescent="0.5">
      <c r="A463" s="33"/>
      <c r="B463" s="33"/>
      <c r="C463" s="33"/>
      <c r="D463" s="46"/>
      <c r="E463" s="46"/>
      <c r="F463" s="46"/>
      <c r="G463" s="46"/>
      <c r="H463" s="46"/>
      <c r="I463" s="46"/>
      <c r="J463" s="46"/>
      <c r="K463" s="33"/>
      <c r="L463" s="33"/>
      <c r="M463" s="33"/>
      <c r="N463" s="46"/>
      <c r="O463" s="46"/>
      <c r="P463" s="46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</row>
    <row r="464" spans="1:37" ht="33.75" customHeight="1" x14ac:dyDescent="0.5">
      <c r="A464" s="33"/>
      <c r="B464" s="33"/>
      <c r="C464" s="33"/>
      <c r="D464" s="46"/>
      <c r="E464" s="46"/>
      <c r="F464" s="46"/>
      <c r="G464" s="46"/>
      <c r="H464" s="46"/>
      <c r="I464" s="46"/>
      <c r="J464" s="46"/>
      <c r="K464" s="33"/>
      <c r="L464" s="33"/>
      <c r="M464" s="33"/>
      <c r="N464" s="46"/>
      <c r="O464" s="46"/>
      <c r="P464" s="46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</row>
    <row r="465" spans="1:37" ht="33.75" customHeight="1" x14ac:dyDescent="0.5">
      <c r="A465" s="33"/>
      <c r="B465" s="33"/>
      <c r="C465" s="33"/>
      <c r="D465" s="46"/>
      <c r="E465" s="46"/>
      <c r="F465" s="46"/>
      <c r="G465" s="46"/>
      <c r="H465" s="46"/>
      <c r="I465" s="46"/>
      <c r="J465" s="46"/>
      <c r="K465" s="33"/>
      <c r="L465" s="33"/>
      <c r="M465" s="33"/>
      <c r="N465" s="46"/>
      <c r="O465" s="46"/>
      <c r="P465" s="46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</row>
    <row r="466" spans="1:37" ht="33.75" customHeight="1" x14ac:dyDescent="0.5">
      <c r="A466" s="33"/>
      <c r="B466" s="33"/>
      <c r="C466" s="33"/>
      <c r="D466" s="46"/>
      <c r="E466" s="46"/>
      <c r="F466" s="46"/>
      <c r="G466" s="46"/>
      <c r="H466" s="46"/>
      <c r="I466" s="46"/>
      <c r="J466" s="46"/>
      <c r="K466" s="33"/>
      <c r="L466" s="33"/>
      <c r="M466" s="33"/>
      <c r="N466" s="46"/>
      <c r="O466" s="46"/>
      <c r="P466" s="46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</row>
    <row r="467" spans="1:37" ht="33.75" customHeight="1" x14ac:dyDescent="0.5">
      <c r="A467" s="33"/>
      <c r="B467" s="33"/>
      <c r="C467" s="33"/>
      <c r="D467" s="46"/>
      <c r="E467" s="46"/>
      <c r="F467" s="46"/>
      <c r="G467" s="46"/>
      <c r="H467" s="46"/>
      <c r="I467" s="46"/>
      <c r="J467" s="46"/>
      <c r="K467" s="33"/>
      <c r="L467" s="33"/>
      <c r="M467" s="33"/>
      <c r="N467" s="46"/>
      <c r="O467" s="46"/>
      <c r="P467" s="46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</row>
    <row r="468" spans="1:37" ht="33.75" customHeight="1" x14ac:dyDescent="0.5">
      <c r="A468" s="33"/>
      <c r="B468" s="33"/>
      <c r="C468" s="33"/>
      <c r="D468" s="46"/>
      <c r="E468" s="46"/>
      <c r="F468" s="46"/>
      <c r="G468" s="46"/>
      <c r="H468" s="46"/>
      <c r="I468" s="46"/>
      <c r="J468" s="46"/>
      <c r="K468" s="33"/>
      <c r="L468" s="33"/>
      <c r="M468" s="33"/>
      <c r="N468" s="46"/>
      <c r="O468" s="46"/>
      <c r="P468" s="46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</row>
    <row r="469" spans="1:37" ht="33.75" customHeight="1" x14ac:dyDescent="0.5">
      <c r="A469" s="33"/>
      <c r="B469" s="33"/>
      <c r="C469" s="33"/>
      <c r="D469" s="46"/>
      <c r="E469" s="46"/>
      <c r="F469" s="46"/>
      <c r="G469" s="46"/>
      <c r="H469" s="46"/>
      <c r="I469" s="46"/>
      <c r="J469" s="46"/>
      <c r="K469" s="33"/>
      <c r="L469" s="33"/>
      <c r="M469" s="33"/>
      <c r="N469" s="46"/>
      <c r="O469" s="46"/>
      <c r="P469" s="46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</row>
    <row r="470" spans="1:37" ht="33.75" customHeight="1" x14ac:dyDescent="0.5">
      <c r="A470" s="33"/>
      <c r="B470" s="33"/>
      <c r="C470" s="33"/>
      <c r="D470" s="46"/>
      <c r="E470" s="46"/>
      <c r="F470" s="46"/>
      <c r="G470" s="46"/>
      <c r="H470" s="46"/>
      <c r="I470" s="46"/>
      <c r="J470" s="46"/>
      <c r="K470" s="33"/>
      <c r="L470" s="33"/>
      <c r="M470" s="33"/>
      <c r="N470" s="46"/>
      <c r="O470" s="46"/>
      <c r="P470" s="46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</row>
    <row r="471" spans="1:37" ht="33.75" customHeight="1" x14ac:dyDescent="0.5">
      <c r="A471" s="33"/>
      <c r="B471" s="33"/>
      <c r="C471" s="33"/>
      <c r="D471" s="46"/>
      <c r="E471" s="46"/>
      <c r="F471" s="46"/>
      <c r="G471" s="46"/>
      <c r="H471" s="46"/>
      <c r="I471" s="46"/>
      <c r="J471" s="46"/>
      <c r="K471" s="33"/>
      <c r="L471" s="33"/>
      <c r="M471" s="33"/>
      <c r="N471" s="46"/>
      <c r="O471" s="46"/>
      <c r="P471" s="46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</row>
    <row r="472" spans="1:37" ht="33.75" customHeight="1" x14ac:dyDescent="0.5">
      <c r="A472" s="33"/>
      <c r="B472" s="33"/>
      <c r="C472" s="33"/>
      <c r="D472" s="46"/>
      <c r="E472" s="46"/>
      <c r="F472" s="46"/>
      <c r="G472" s="46"/>
      <c r="H472" s="46"/>
      <c r="I472" s="46"/>
      <c r="J472" s="46"/>
      <c r="K472" s="33"/>
      <c r="L472" s="33"/>
      <c r="M472" s="33"/>
      <c r="N472" s="46"/>
      <c r="O472" s="46"/>
      <c r="P472" s="46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</row>
    <row r="473" spans="1:37" ht="33.75" customHeight="1" x14ac:dyDescent="0.5">
      <c r="A473" s="33"/>
      <c r="B473" s="33"/>
      <c r="C473" s="33"/>
      <c r="D473" s="46"/>
      <c r="E473" s="46"/>
      <c r="F473" s="46"/>
      <c r="G473" s="46"/>
      <c r="H473" s="46"/>
      <c r="I473" s="46"/>
      <c r="J473" s="46"/>
      <c r="K473" s="33"/>
      <c r="L473" s="33"/>
      <c r="M473" s="33"/>
      <c r="N473" s="46"/>
      <c r="O473" s="46"/>
      <c r="P473" s="46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</row>
    <row r="474" spans="1:37" ht="33.75" customHeight="1" x14ac:dyDescent="0.5">
      <c r="A474" s="33"/>
      <c r="B474" s="33"/>
      <c r="C474" s="33"/>
      <c r="D474" s="46"/>
      <c r="E474" s="46"/>
      <c r="F474" s="46"/>
      <c r="G474" s="46"/>
      <c r="H474" s="46"/>
      <c r="I474" s="46"/>
      <c r="J474" s="46"/>
      <c r="K474" s="33"/>
      <c r="L474" s="33"/>
      <c r="M474" s="33"/>
      <c r="N474" s="46"/>
      <c r="O474" s="46"/>
      <c r="P474" s="46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</row>
    <row r="475" spans="1:37" ht="33.75" customHeight="1" x14ac:dyDescent="0.5">
      <c r="A475" s="33"/>
      <c r="B475" s="33"/>
      <c r="C475" s="33"/>
      <c r="D475" s="46"/>
      <c r="E475" s="46"/>
      <c r="F475" s="46"/>
      <c r="G475" s="46"/>
      <c r="H475" s="46"/>
      <c r="I475" s="46"/>
      <c r="J475" s="46"/>
      <c r="K475" s="33"/>
      <c r="L475" s="33"/>
      <c r="M475" s="33"/>
      <c r="N475" s="46"/>
      <c r="O475" s="46"/>
      <c r="P475" s="46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</row>
    <row r="476" spans="1:37" ht="33.75" customHeight="1" x14ac:dyDescent="0.5">
      <c r="A476" s="33"/>
      <c r="B476" s="33"/>
      <c r="C476" s="33"/>
      <c r="D476" s="46"/>
      <c r="E476" s="46"/>
      <c r="F476" s="46"/>
      <c r="G476" s="46"/>
      <c r="H476" s="46"/>
      <c r="I476" s="46"/>
      <c r="J476" s="46"/>
      <c r="K476" s="33"/>
      <c r="L476" s="33"/>
      <c r="M476" s="33"/>
      <c r="N476" s="46"/>
      <c r="O476" s="46"/>
      <c r="P476" s="46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</row>
    <row r="477" spans="1:37" ht="33.75" customHeight="1" x14ac:dyDescent="0.5">
      <c r="A477" s="33"/>
      <c r="B477" s="33"/>
      <c r="C477" s="33"/>
      <c r="D477" s="46"/>
      <c r="E477" s="46"/>
      <c r="F477" s="46"/>
      <c r="G477" s="46"/>
      <c r="H477" s="46"/>
      <c r="I477" s="46"/>
      <c r="J477" s="46"/>
      <c r="K477" s="33"/>
      <c r="L477" s="33"/>
      <c r="M477" s="33"/>
      <c r="N477" s="46"/>
      <c r="O477" s="46"/>
      <c r="P477" s="46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</row>
    <row r="478" spans="1:37" ht="33.75" customHeight="1" x14ac:dyDescent="0.5">
      <c r="A478" s="33"/>
      <c r="B478" s="33"/>
      <c r="C478" s="33"/>
      <c r="D478" s="46"/>
      <c r="E478" s="46"/>
      <c r="F478" s="46"/>
      <c r="G478" s="46"/>
      <c r="H478" s="46"/>
      <c r="I478" s="46"/>
      <c r="J478" s="46"/>
      <c r="K478" s="33"/>
      <c r="L478" s="33"/>
      <c r="M478" s="33"/>
      <c r="N478" s="46"/>
      <c r="O478" s="46"/>
      <c r="P478" s="46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</row>
    <row r="479" spans="1:37" ht="33.75" customHeight="1" x14ac:dyDescent="0.5">
      <c r="A479" s="33"/>
      <c r="B479" s="33"/>
      <c r="C479" s="33"/>
      <c r="D479" s="46"/>
      <c r="E479" s="46"/>
      <c r="F479" s="46"/>
      <c r="G479" s="46"/>
      <c r="H479" s="46"/>
      <c r="I479" s="46"/>
      <c r="J479" s="46"/>
      <c r="K479" s="33"/>
      <c r="L479" s="33"/>
      <c r="M479" s="33"/>
      <c r="N479" s="46"/>
      <c r="O479" s="46"/>
      <c r="P479" s="46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</row>
    <row r="480" spans="1:37" ht="33.75" customHeight="1" x14ac:dyDescent="0.5">
      <c r="A480" s="33"/>
      <c r="B480" s="33"/>
      <c r="C480" s="33"/>
      <c r="D480" s="46"/>
      <c r="E480" s="46"/>
      <c r="F480" s="46"/>
      <c r="G480" s="46"/>
      <c r="H480" s="46"/>
      <c r="I480" s="46"/>
      <c r="J480" s="46"/>
      <c r="K480" s="33"/>
      <c r="L480" s="33"/>
      <c r="M480" s="33"/>
      <c r="N480" s="46"/>
      <c r="O480" s="46"/>
      <c r="P480" s="46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</row>
    <row r="481" spans="1:37" ht="33.75" customHeight="1" x14ac:dyDescent="0.5">
      <c r="A481" s="33"/>
      <c r="B481" s="33"/>
      <c r="C481" s="33"/>
      <c r="D481" s="46"/>
      <c r="E481" s="46"/>
      <c r="F481" s="46"/>
      <c r="G481" s="46"/>
      <c r="H481" s="46"/>
      <c r="I481" s="46"/>
      <c r="J481" s="46"/>
      <c r="K481" s="33"/>
      <c r="L481" s="33"/>
      <c r="M481" s="33"/>
      <c r="N481" s="46"/>
      <c r="O481" s="46"/>
      <c r="P481" s="46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</row>
    <row r="482" spans="1:37" ht="33.75" customHeight="1" x14ac:dyDescent="0.5">
      <c r="A482" s="33"/>
      <c r="B482" s="33"/>
      <c r="C482" s="33"/>
      <c r="D482" s="46"/>
      <c r="E482" s="46"/>
      <c r="F482" s="46"/>
      <c r="G482" s="46"/>
      <c r="H482" s="46"/>
      <c r="I482" s="46"/>
      <c r="J482" s="46"/>
      <c r="K482" s="33"/>
      <c r="L482" s="33"/>
      <c r="M482" s="33"/>
      <c r="N482" s="46"/>
      <c r="O482" s="46"/>
      <c r="P482" s="46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</row>
    <row r="483" spans="1:37" ht="33.75" customHeight="1" x14ac:dyDescent="0.5">
      <c r="A483" s="33"/>
      <c r="B483" s="33"/>
      <c r="C483" s="33"/>
      <c r="D483" s="46"/>
      <c r="E483" s="46"/>
      <c r="F483" s="46"/>
      <c r="G483" s="46"/>
      <c r="H483" s="46"/>
      <c r="I483" s="46"/>
      <c r="J483" s="46"/>
      <c r="K483" s="33"/>
      <c r="L483" s="33"/>
      <c r="M483" s="33"/>
      <c r="N483" s="46"/>
      <c r="O483" s="46"/>
      <c r="P483" s="46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</row>
    <row r="484" spans="1:37" ht="33.75" customHeight="1" x14ac:dyDescent="0.5">
      <c r="A484" s="33"/>
      <c r="B484" s="33"/>
      <c r="C484" s="33"/>
      <c r="D484" s="46"/>
      <c r="E484" s="46"/>
      <c r="F484" s="46"/>
      <c r="G484" s="46"/>
      <c r="H484" s="46"/>
      <c r="I484" s="46"/>
      <c r="J484" s="46"/>
      <c r="K484" s="33"/>
      <c r="L484" s="33"/>
      <c r="M484" s="33"/>
      <c r="N484" s="46"/>
      <c r="O484" s="46"/>
      <c r="P484" s="46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</row>
    <row r="485" spans="1:37" ht="33.75" customHeight="1" x14ac:dyDescent="0.5">
      <c r="A485" s="33"/>
      <c r="B485" s="33"/>
      <c r="C485" s="33"/>
      <c r="D485" s="46"/>
      <c r="E485" s="46"/>
      <c r="F485" s="46"/>
      <c r="G485" s="46"/>
      <c r="H485" s="46"/>
      <c r="I485" s="46"/>
      <c r="J485" s="46"/>
      <c r="K485" s="33"/>
      <c r="L485" s="33"/>
      <c r="M485" s="33"/>
      <c r="N485" s="46"/>
      <c r="O485" s="46"/>
      <c r="P485" s="46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</row>
    <row r="486" spans="1:37" ht="33.75" customHeight="1" x14ac:dyDescent="0.5">
      <c r="A486" s="33"/>
      <c r="B486" s="33"/>
      <c r="C486" s="33"/>
      <c r="D486" s="46"/>
      <c r="E486" s="46"/>
      <c r="F486" s="46"/>
      <c r="G486" s="46"/>
      <c r="H486" s="46"/>
      <c r="I486" s="46"/>
      <c r="J486" s="46"/>
      <c r="K486" s="33"/>
      <c r="L486" s="33"/>
      <c r="M486" s="33"/>
      <c r="N486" s="46"/>
      <c r="O486" s="46"/>
      <c r="P486" s="46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</row>
    <row r="487" spans="1:37" ht="33.75" customHeight="1" x14ac:dyDescent="0.5">
      <c r="A487" s="33"/>
      <c r="B487" s="33"/>
      <c r="C487" s="33"/>
      <c r="D487" s="46"/>
      <c r="E487" s="46"/>
      <c r="F487" s="46"/>
      <c r="G487" s="46"/>
      <c r="H487" s="46"/>
      <c r="I487" s="46"/>
      <c r="J487" s="46"/>
      <c r="K487" s="33"/>
      <c r="L487" s="33"/>
      <c r="M487" s="33"/>
      <c r="N487" s="46"/>
      <c r="O487" s="46"/>
      <c r="P487" s="46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</row>
    <row r="488" spans="1:37" ht="33.75" customHeight="1" x14ac:dyDescent="0.5">
      <c r="A488" s="33"/>
      <c r="B488" s="33"/>
      <c r="C488" s="33"/>
      <c r="D488" s="46"/>
      <c r="E488" s="46"/>
      <c r="F488" s="46"/>
      <c r="G488" s="46"/>
      <c r="H488" s="46"/>
      <c r="I488" s="46"/>
      <c r="J488" s="46"/>
      <c r="K488" s="33"/>
      <c r="L488" s="33"/>
      <c r="M488" s="33"/>
      <c r="N488" s="46"/>
      <c r="O488" s="46"/>
      <c r="P488" s="46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</row>
    <row r="489" spans="1:37" ht="33.75" customHeight="1" x14ac:dyDescent="0.5">
      <c r="A489" s="33"/>
      <c r="B489" s="33"/>
      <c r="C489" s="33"/>
      <c r="D489" s="46"/>
      <c r="E489" s="46"/>
      <c r="F489" s="46"/>
      <c r="G489" s="46"/>
      <c r="H489" s="46"/>
      <c r="I489" s="46"/>
      <c r="J489" s="46"/>
      <c r="K489" s="33"/>
      <c r="L489" s="33"/>
      <c r="M489" s="33"/>
      <c r="N489" s="46"/>
      <c r="O489" s="46"/>
      <c r="P489" s="46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</row>
    <row r="490" spans="1:37" ht="33.75" customHeight="1" x14ac:dyDescent="0.5">
      <c r="A490" s="33"/>
      <c r="B490" s="33"/>
      <c r="C490" s="33"/>
      <c r="D490" s="46"/>
      <c r="E490" s="46"/>
      <c r="F490" s="46"/>
      <c r="G490" s="46"/>
      <c r="H490" s="46"/>
      <c r="I490" s="46"/>
      <c r="J490" s="46"/>
      <c r="K490" s="33"/>
      <c r="L490" s="33"/>
      <c r="M490" s="33"/>
      <c r="N490" s="46"/>
      <c r="O490" s="46"/>
      <c r="P490" s="46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</row>
    <row r="491" spans="1:37" ht="33.75" customHeight="1" x14ac:dyDescent="0.5">
      <c r="A491" s="33"/>
      <c r="B491" s="33"/>
      <c r="C491" s="33"/>
      <c r="D491" s="46"/>
      <c r="E491" s="46"/>
      <c r="F491" s="46"/>
      <c r="G491" s="46"/>
      <c r="H491" s="46"/>
      <c r="I491" s="46"/>
      <c r="J491" s="46"/>
      <c r="K491" s="33"/>
      <c r="L491" s="33"/>
      <c r="M491" s="33"/>
      <c r="N491" s="46"/>
      <c r="O491" s="46"/>
      <c r="P491" s="46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</row>
    <row r="492" spans="1:37" ht="33.75" customHeight="1" x14ac:dyDescent="0.5">
      <c r="A492" s="33"/>
      <c r="B492" s="33"/>
      <c r="C492" s="33"/>
      <c r="D492" s="46"/>
      <c r="E492" s="46"/>
      <c r="F492" s="46"/>
      <c r="G492" s="46"/>
      <c r="H492" s="46"/>
      <c r="I492" s="46"/>
      <c r="J492" s="46"/>
      <c r="K492" s="33"/>
      <c r="L492" s="33"/>
      <c r="M492" s="33"/>
      <c r="N492" s="46"/>
      <c r="O492" s="46"/>
      <c r="P492" s="46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</row>
    <row r="493" spans="1:37" ht="33.75" customHeight="1" x14ac:dyDescent="0.5">
      <c r="A493" s="33"/>
      <c r="B493" s="33"/>
      <c r="C493" s="33"/>
      <c r="D493" s="46"/>
      <c r="E493" s="46"/>
      <c r="F493" s="46"/>
      <c r="G493" s="46"/>
      <c r="H493" s="46"/>
      <c r="I493" s="46"/>
      <c r="J493" s="46"/>
      <c r="K493" s="33"/>
      <c r="L493" s="33"/>
      <c r="M493" s="33"/>
      <c r="N493" s="46"/>
      <c r="O493" s="46"/>
      <c r="P493" s="46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</row>
    <row r="494" spans="1:37" ht="33.75" customHeight="1" x14ac:dyDescent="0.5">
      <c r="A494" s="33"/>
      <c r="B494" s="33"/>
      <c r="C494" s="33"/>
      <c r="D494" s="46"/>
      <c r="E494" s="46"/>
      <c r="F494" s="46"/>
      <c r="G494" s="46"/>
      <c r="H494" s="46"/>
      <c r="I494" s="46"/>
      <c r="J494" s="46"/>
      <c r="K494" s="33"/>
      <c r="L494" s="33"/>
      <c r="M494" s="33"/>
      <c r="N494" s="46"/>
      <c r="O494" s="46"/>
      <c r="P494" s="46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</row>
    <row r="495" spans="1:37" ht="33.75" customHeight="1" x14ac:dyDescent="0.5">
      <c r="A495" s="33"/>
      <c r="B495" s="33"/>
      <c r="C495" s="33"/>
      <c r="D495" s="46"/>
      <c r="E495" s="46"/>
      <c r="F495" s="46"/>
      <c r="G495" s="46"/>
      <c r="H495" s="46"/>
      <c r="I495" s="46"/>
      <c r="J495" s="46"/>
      <c r="K495" s="33"/>
      <c r="L495" s="33"/>
      <c r="M495" s="33"/>
      <c r="N495" s="46"/>
      <c r="O495" s="46"/>
      <c r="P495" s="46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</row>
    <row r="496" spans="1:37" ht="33.75" customHeight="1" x14ac:dyDescent="0.5">
      <c r="A496" s="33"/>
      <c r="B496" s="33"/>
      <c r="C496" s="33"/>
      <c r="D496" s="46"/>
      <c r="E496" s="46"/>
      <c r="F496" s="46"/>
      <c r="G496" s="46"/>
      <c r="H496" s="46"/>
      <c r="I496" s="46"/>
      <c r="J496" s="46"/>
      <c r="K496" s="33"/>
      <c r="L496" s="33"/>
      <c r="M496" s="33"/>
      <c r="N496" s="46"/>
      <c r="O496" s="46"/>
      <c r="P496" s="46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</row>
    <row r="497" spans="1:37" ht="33.75" customHeight="1" x14ac:dyDescent="0.5">
      <c r="A497" s="33"/>
      <c r="B497" s="33"/>
      <c r="C497" s="33"/>
      <c r="D497" s="46"/>
      <c r="E497" s="46"/>
      <c r="F497" s="46"/>
      <c r="G497" s="46"/>
      <c r="H497" s="46"/>
      <c r="I497" s="46"/>
      <c r="J497" s="46"/>
      <c r="K497" s="33"/>
      <c r="L497" s="33"/>
      <c r="M497" s="33"/>
      <c r="N497" s="46"/>
      <c r="O497" s="46"/>
      <c r="P497" s="46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</row>
    <row r="498" spans="1:37" ht="33.75" customHeight="1" x14ac:dyDescent="0.5">
      <c r="A498" s="33"/>
      <c r="B498" s="33"/>
      <c r="C498" s="33"/>
      <c r="D498" s="46"/>
      <c r="E498" s="46"/>
      <c r="F498" s="46"/>
      <c r="G498" s="46"/>
      <c r="H498" s="46"/>
      <c r="I498" s="46"/>
      <c r="J498" s="46"/>
      <c r="K498" s="33"/>
      <c r="L498" s="33"/>
      <c r="M498" s="33"/>
      <c r="N498" s="46"/>
      <c r="O498" s="46"/>
      <c r="P498" s="46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</row>
    <row r="499" spans="1:37" ht="33.75" customHeight="1" x14ac:dyDescent="0.5">
      <c r="A499" s="33"/>
      <c r="B499" s="33"/>
      <c r="C499" s="33"/>
      <c r="D499" s="46"/>
      <c r="E499" s="46"/>
      <c r="F499" s="46"/>
      <c r="G499" s="46"/>
      <c r="H499" s="46"/>
      <c r="I499" s="46"/>
      <c r="J499" s="46"/>
      <c r="K499" s="33"/>
      <c r="L499" s="33"/>
      <c r="M499" s="33"/>
      <c r="N499" s="46"/>
      <c r="O499" s="46"/>
      <c r="P499" s="46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</row>
    <row r="500" spans="1:37" ht="33.75" customHeight="1" x14ac:dyDescent="0.5">
      <c r="A500" s="33"/>
      <c r="B500" s="33"/>
      <c r="C500" s="33"/>
      <c r="D500" s="46"/>
      <c r="E500" s="46"/>
      <c r="F500" s="46"/>
      <c r="G500" s="46"/>
      <c r="H500" s="46"/>
      <c r="I500" s="46"/>
      <c r="J500" s="46"/>
      <c r="K500" s="33"/>
      <c r="L500" s="33"/>
      <c r="M500" s="33"/>
      <c r="N500" s="46"/>
      <c r="O500" s="46"/>
      <c r="P500" s="46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</row>
    <row r="501" spans="1:37" ht="33.75" customHeight="1" x14ac:dyDescent="0.5">
      <c r="A501" s="33"/>
      <c r="B501" s="33"/>
      <c r="C501" s="33"/>
      <c r="D501" s="46"/>
      <c r="E501" s="46"/>
      <c r="F501" s="46"/>
      <c r="G501" s="46"/>
      <c r="H501" s="46"/>
      <c r="I501" s="46"/>
      <c r="J501" s="46"/>
      <c r="K501" s="33"/>
      <c r="L501" s="33"/>
      <c r="M501" s="33"/>
      <c r="N501" s="46"/>
      <c r="O501" s="46"/>
      <c r="P501" s="46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</row>
    <row r="502" spans="1:37" ht="33.75" customHeight="1" x14ac:dyDescent="0.5">
      <c r="A502" s="33"/>
      <c r="B502" s="33"/>
      <c r="C502" s="33"/>
      <c r="D502" s="46"/>
      <c r="E502" s="46"/>
      <c r="F502" s="46"/>
      <c r="G502" s="46"/>
      <c r="H502" s="46"/>
      <c r="I502" s="46"/>
      <c r="J502" s="46"/>
      <c r="K502" s="33"/>
      <c r="L502" s="33"/>
      <c r="M502" s="33"/>
      <c r="N502" s="46"/>
      <c r="O502" s="46"/>
      <c r="P502" s="46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</row>
    <row r="503" spans="1:37" ht="33.75" customHeight="1" x14ac:dyDescent="0.5">
      <c r="A503" s="33"/>
      <c r="B503" s="33"/>
      <c r="C503" s="33"/>
      <c r="D503" s="46"/>
      <c r="E503" s="46"/>
      <c r="F503" s="46"/>
      <c r="G503" s="46"/>
      <c r="H503" s="46"/>
      <c r="I503" s="46"/>
      <c r="J503" s="46"/>
      <c r="K503" s="33"/>
      <c r="L503" s="33"/>
      <c r="M503" s="33"/>
      <c r="N503" s="46"/>
      <c r="O503" s="46"/>
      <c r="P503" s="46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</row>
    <row r="504" spans="1:37" ht="33.75" customHeight="1" x14ac:dyDescent="0.5">
      <c r="A504" s="33"/>
      <c r="B504" s="33"/>
      <c r="C504" s="33"/>
      <c r="D504" s="46"/>
      <c r="E504" s="46"/>
      <c r="F504" s="46"/>
      <c r="G504" s="46"/>
      <c r="H504" s="46"/>
      <c r="I504" s="46"/>
      <c r="J504" s="46"/>
      <c r="K504" s="33"/>
      <c r="L504" s="33"/>
      <c r="M504" s="33"/>
      <c r="N504" s="46"/>
      <c r="O504" s="46"/>
      <c r="P504" s="46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</row>
    <row r="505" spans="1:37" ht="33.75" customHeight="1" x14ac:dyDescent="0.5">
      <c r="A505" s="33"/>
      <c r="B505" s="33"/>
      <c r="C505" s="33"/>
      <c r="D505" s="46"/>
      <c r="E505" s="46"/>
      <c r="F505" s="46"/>
      <c r="G505" s="46"/>
      <c r="H505" s="46"/>
      <c r="I505" s="46"/>
      <c r="J505" s="46"/>
      <c r="K505" s="33"/>
      <c r="L505" s="33"/>
      <c r="M505" s="33"/>
      <c r="N505" s="46"/>
      <c r="O505" s="46"/>
      <c r="P505" s="46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</row>
    <row r="506" spans="1:37" ht="33.75" customHeight="1" x14ac:dyDescent="0.5">
      <c r="A506" s="33"/>
      <c r="B506" s="33"/>
      <c r="C506" s="33"/>
      <c r="D506" s="46"/>
      <c r="E506" s="46"/>
      <c r="F506" s="46"/>
      <c r="G506" s="46"/>
      <c r="H506" s="46"/>
      <c r="I506" s="46"/>
      <c r="J506" s="46"/>
      <c r="K506" s="33"/>
      <c r="L506" s="33"/>
      <c r="M506" s="33"/>
      <c r="N506" s="46"/>
      <c r="O506" s="46"/>
      <c r="P506" s="46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</row>
    <row r="507" spans="1:37" ht="33.75" customHeight="1" x14ac:dyDescent="0.5">
      <c r="A507" s="33"/>
      <c r="B507" s="33"/>
      <c r="C507" s="33"/>
      <c r="D507" s="46"/>
      <c r="E507" s="46"/>
      <c r="F507" s="46"/>
      <c r="G507" s="46"/>
      <c r="H507" s="46"/>
      <c r="I507" s="46"/>
      <c r="J507" s="46"/>
      <c r="K507" s="33"/>
      <c r="L507" s="33"/>
      <c r="M507" s="33"/>
      <c r="N507" s="46"/>
      <c r="O507" s="46"/>
      <c r="P507" s="46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</row>
    <row r="508" spans="1:37" ht="33.75" customHeight="1" x14ac:dyDescent="0.5">
      <c r="A508" s="33"/>
      <c r="B508" s="33"/>
      <c r="C508" s="33"/>
      <c r="D508" s="46"/>
      <c r="E508" s="46"/>
      <c r="F508" s="46"/>
      <c r="G508" s="46"/>
      <c r="H508" s="46"/>
      <c r="I508" s="46"/>
      <c r="J508" s="46"/>
      <c r="K508" s="33"/>
      <c r="L508" s="33"/>
      <c r="M508" s="33"/>
      <c r="N508" s="46"/>
      <c r="O508" s="46"/>
      <c r="P508" s="46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</row>
    <row r="509" spans="1:37" ht="33.75" customHeight="1" x14ac:dyDescent="0.5">
      <c r="A509" s="33"/>
      <c r="B509" s="33"/>
      <c r="C509" s="33"/>
      <c r="D509" s="46"/>
      <c r="E509" s="46"/>
      <c r="F509" s="46"/>
      <c r="G509" s="46"/>
      <c r="H509" s="46"/>
      <c r="I509" s="46"/>
      <c r="J509" s="46"/>
      <c r="K509" s="33"/>
      <c r="L509" s="33"/>
      <c r="M509" s="33"/>
      <c r="N509" s="46"/>
      <c r="O509" s="46"/>
      <c r="P509" s="46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</row>
    <row r="510" spans="1:37" ht="33.75" customHeight="1" x14ac:dyDescent="0.5">
      <c r="A510" s="33"/>
      <c r="B510" s="33"/>
      <c r="C510" s="33"/>
      <c r="D510" s="46"/>
      <c r="E510" s="46"/>
      <c r="F510" s="46"/>
      <c r="G510" s="46"/>
      <c r="H510" s="46"/>
      <c r="I510" s="46"/>
      <c r="J510" s="46"/>
      <c r="K510" s="33"/>
      <c r="L510" s="33"/>
      <c r="M510" s="33"/>
      <c r="N510" s="46"/>
      <c r="O510" s="46"/>
      <c r="P510" s="46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</row>
    <row r="511" spans="1:37" ht="33.75" customHeight="1" x14ac:dyDescent="0.5">
      <c r="A511" s="33"/>
      <c r="B511" s="33"/>
      <c r="C511" s="33"/>
      <c r="D511" s="46"/>
      <c r="E511" s="46"/>
      <c r="F511" s="46"/>
      <c r="G511" s="46"/>
      <c r="H511" s="46"/>
      <c r="I511" s="46"/>
      <c r="J511" s="46"/>
      <c r="K511" s="33"/>
      <c r="L511" s="33"/>
      <c r="M511" s="33"/>
      <c r="N511" s="46"/>
      <c r="O511" s="46"/>
      <c r="P511" s="46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</row>
    <row r="512" spans="1:37" ht="33.75" customHeight="1" x14ac:dyDescent="0.5">
      <c r="A512" s="33"/>
      <c r="B512" s="33"/>
      <c r="C512" s="33"/>
      <c r="D512" s="46"/>
      <c r="E512" s="46"/>
      <c r="F512" s="46"/>
      <c r="G512" s="46"/>
      <c r="H512" s="46"/>
      <c r="I512" s="46"/>
      <c r="J512" s="46"/>
      <c r="K512" s="33"/>
      <c r="L512" s="33"/>
      <c r="M512" s="33"/>
      <c r="N512" s="46"/>
      <c r="O512" s="46"/>
      <c r="P512" s="46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</row>
    <row r="513" spans="1:37" ht="33.75" customHeight="1" x14ac:dyDescent="0.5">
      <c r="A513" s="33"/>
      <c r="B513" s="33"/>
      <c r="C513" s="33"/>
      <c r="D513" s="46"/>
      <c r="E513" s="46"/>
      <c r="F513" s="46"/>
      <c r="G513" s="46"/>
      <c r="H513" s="46"/>
      <c r="I513" s="46"/>
      <c r="J513" s="46"/>
      <c r="K513" s="33"/>
      <c r="L513" s="33"/>
      <c r="M513" s="33"/>
      <c r="N513" s="46"/>
      <c r="O513" s="46"/>
      <c r="P513" s="46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</row>
    <row r="514" spans="1:37" ht="33.75" customHeight="1" x14ac:dyDescent="0.5">
      <c r="A514" s="33"/>
      <c r="B514" s="33"/>
      <c r="C514" s="33"/>
      <c r="D514" s="46"/>
      <c r="E514" s="46"/>
      <c r="F514" s="46"/>
      <c r="G514" s="46"/>
      <c r="H514" s="46"/>
      <c r="I514" s="46"/>
      <c r="J514" s="46"/>
      <c r="K514" s="33"/>
      <c r="L514" s="33"/>
      <c r="M514" s="33"/>
      <c r="N514" s="46"/>
      <c r="O514" s="46"/>
      <c r="P514" s="46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</row>
    <row r="515" spans="1:37" ht="33.75" customHeight="1" x14ac:dyDescent="0.5">
      <c r="A515" s="33"/>
      <c r="B515" s="33"/>
      <c r="C515" s="33"/>
      <c r="D515" s="46"/>
      <c r="E515" s="46"/>
      <c r="F515" s="46"/>
      <c r="G515" s="46"/>
      <c r="H515" s="46"/>
      <c r="I515" s="46"/>
      <c r="J515" s="46"/>
      <c r="K515" s="33"/>
      <c r="L515" s="33"/>
      <c r="M515" s="33"/>
      <c r="N515" s="46"/>
      <c r="O515" s="46"/>
      <c r="P515" s="46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</row>
    <row r="516" spans="1:37" ht="33.75" customHeight="1" x14ac:dyDescent="0.5">
      <c r="A516" s="33"/>
      <c r="B516" s="33"/>
      <c r="C516" s="33"/>
      <c r="D516" s="46"/>
      <c r="E516" s="46"/>
      <c r="F516" s="46"/>
      <c r="G516" s="46"/>
      <c r="H516" s="46"/>
      <c r="I516" s="46"/>
      <c r="J516" s="46"/>
      <c r="K516" s="33"/>
      <c r="L516" s="33"/>
      <c r="M516" s="33"/>
      <c r="N516" s="46"/>
      <c r="O516" s="46"/>
      <c r="P516" s="46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</row>
    <row r="517" spans="1:37" ht="33.75" customHeight="1" x14ac:dyDescent="0.5">
      <c r="A517" s="33"/>
      <c r="B517" s="33"/>
      <c r="C517" s="33"/>
      <c r="D517" s="46"/>
      <c r="E517" s="46"/>
      <c r="F517" s="46"/>
      <c r="G517" s="46"/>
      <c r="H517" s="46"/>
      <c r="I517" s="46"/>
      <c r="J517" s="46"/>
      <c r="K517" s="33"/>
      <c r="L517" s="33"/>
      <c r="M517" s="33"/>
      <c r="N517" s="46"/>
      <c r="O517" s="46"/>
      <c r="P517" s="46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</row>
    <row r="518" spans="1:37" ht="33.75" customHeight="1" x14ac:dyDescent="0.5">
      <c r="A518" s="33"/>
      <c r="B518" s="33"/>
      <c r="C518" s="33"/>
      <c r="D518" s="46"/>
      <c r="E518" s="46"/>
      <c r="F518" s="46"/>
      <c r="G518" s="46"/>
      <c r="H518" s="46"/>
      <c r="I518" s="46"/>
      <c r="J518" s="46"/>
      <c r="K518" s="33"/>
      <c r="L518" s="33"/>
      <c r="M518" s="33"/>
      <c r="N518" s="46"/>
      <c r="O518" s="46"/>
      <c r="P518" s="46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</row>
    <row r="519" spans="1:37" ht="33.75" customHeight="1" x14ac:dyDescent="0.5">
      <c r="A519" s="33"/>
      <c r="B519" s="33"/>
      <c r="C519" s="33"/>
      <c r="D519" s="46"/>
      <c r="E519" s="46"/>
      <c r="F519" s="46"/>
      <c r="G519" s="46"/>
      <c r="H519" s="46"/>
      <c r="I519" s="46"/>
      <c r="J519" s="46"/>
      <c r="K519" s="33"/>
      <c r="L519" s="33"/>
      <c r="M519" s="33"/>
      <c r="N519" s="46"/>
      <c r="O519" s="46"/>
      <c r="P519" s="46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</row>
    <row r="520" spans="1:37" ht="33.75" customHeight="1" x14ac:dyDescent="0.5">
      <c r="A520" s="33"/>
      <c r="B520" s="33"/>
      <c r="C520" s="33"/>
      <c r="D520" s="46"/>
      <c r="E520" s="46"/>
      <c r="F520" s="46"/>
      <c r="G520" s="46"/>
      <c r="H520" s="46"/>
      <c r="I520" s="46"/>
      <c r="J520" s="46"/>
      <c r="K520" s="33"/>
      <c r="L520" s="33"/>
      <c r="M520" s="33"/>
      <c r="N520" s="46"/>
      <c r="O520" s="46"/>
      <c r="P520" s="46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</row>
    <row r="521" spans="1:37" ht="33.75" customHeight="1" x14ac:dyDescent="0.5">
      <c r="A521" s="33"/>
      <c r="B521" s="33"/>
      <c r="C521" s="33"/>
      <c r="D521" s="46"/>
      <c r="E521" s="46"/>
      <c r="F521" s="46"/>
      <c r="G521" s="46"/>
      <c r="H521" s="46"/>
      <c r="I521" s="46"/>
      <c r="J521" s="46"/>
      <c r="K521" s="33"/>
      <c r="L521" s="33"/>
      <c r="M521" s="33"/>
      <c r="N521" s="46"/>
      <c r="O521" s="46"/>
      <c r="P521" s="46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</row>
    <row r="522" spans="1:37" ht="33.75" customHeight="1" x14ac:dyDescent="0.5">
      <c r="A522" s="33"/>
      <c r="B522" s="33"/>
      <c r="C522" s="33"/>
      <c r="D522" s="46"/>
      <c r="E522" s="46"/>
      <c r="F522" s="46"/>
      <c r="G522" s="46"/>
      <c r="H522" s="46"/>
      <c r="I522" s="46"/>
      <c r="J522" s="46"/>
      <c r="K522" s="33"/>
      <c r="L522" s="33"/>
      <c r="M522" s="33"/>
      <c r="N522" s="46"/>
      <c r="O522" s="46"/>
      <c r="P522" s="46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</row>
    <row r="523" spans="1:37" ht="33.75" customHeight="1" x14ac:dyDescent="0.5">
      <c r="A523" s="33"/>
      <c r="B523" s="33"/>
      <c r="C523" s="33"/>
      <c r="D523" s="46"/>
      <c r="E523" s="46"/>
      <c r="F523" s="46"/>
      <c r="G523" s="46"/>
      <c r="H523" s="46"/>
      <c r="I523" s="46"/>
      <c r="J523" s="46"/>
      <c r="K523" s="33"/>
      <c r="L523" s="33"/>
      <c r="M523" s="33"/>
      <c r="N523" s="46"/>
      <c r="O523" s="46"/>
      <c r="P523" s="46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</row>
    <row r="524" spans="1:37" ht="33.75" customHeight="1" x14ac:dyDescent="0.5">
      <c r="A524" s="33"/>
      <c r="B524" s="33"/>
      <c r="C524" s="33"/>
      <c r="D524" s="46"/>
      <c r="E524" s="46"/>
      <c r="F524" s="46"/>
      <c r="G524" s="46"/>
      <c r="H524" s="46"/>
      <c r="I524" s="46"/>
      <c r="J524" s="46"/>
      <c r="K524" s="33"/>
      <c r="L524" s="33"/>
      <c r="M524" s="33"/>
      <c r="N524" s="46"/>
      <c r="O524" s="46"/>
      <c r="P524" s="46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</row>
    <row r="525" spans="1:37" ht="33.75" customHeight="1" x14ac:dyDescent="0.5">
      <c r="A525" s="33"/>
      <c r="B525" s="33"/>
      <c r="C525" s="33"/>
      <c r="D525" s="46"/>
      <c r="E525" s="46"/>
      <c r="F525" s="46"/>
      <c r="G525" s="46"/>
      <c r="H525" s="46"/>
      <c r="I525" s="46"/>
      <c r="J525" s="46"/>
      <c r="K525" s="33"/>
      <c r="L525" s="33"/>
      <c r="M525" s="33"/>
      <c r="N525" s="46"/>
      <c r="O525" s="46"/>
      <c r="P525" s="46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</row>
    <row r="526" spans="1:37" ht="33.75" customHeight="1" x14ac:dyDescent="0.5">
      <c r="A526" s="33"/>
      <c r="B526" s="33"/>
      <c r="C526" s="33"/>
      <c r="D526" s="46"/>
      <c r="E526" s="46"/>
      <c r="F526" s="46"/>
      <c r="G526" s="46"/>
      <c r="H526" s="46"/>
      <c r="I526" s="46"/>
      <c r="J526" s="46"/>
      <c r="K526" s="33"/>
      <c r="L526" s="33"/>
      <c r="M526" s="33"/>
      <c r="N526" s="46"/>
      <c r="O526" s="46"/>
      <c r="P526" s="46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</row>
    <row r="527" spans="1:37" ht="33.75" customHeight="1" x14ac:dyDescent="0.5">
      <c r="A527" s="33"/>
      <c r="B527" s="33"/>
      <c r="C527" s="33"/>
      <c r="D527" s="46"/>
      <c r="E527" s="46"/>
      <c r="F527" s="46"/>
      <c r="G527" s="46"/>
      <c r="H527" s="46"/>
      <c r="I527" s="46"/>
      <c r="J527" s="46"/>
      <c r="K527" s="33"/>
      <c r="L527" s="33"/>
      <c r="M527" s="33"/>
      <c r="N527" s="46"/>
      <c r="O527" s="46"/>
      <c r="P527" s="46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</row>
    <row r="528" spans="1:37" ht="33.75" customHeight="1" x14ac:dyDescent="0.5">
      <c r="A528" s="33"/>
      <c r="B528" s="33"/>
      <c r="C528" s="33"/>
      <c r="D528" s="46"/>
      <c r="E528" s="46"/>
      <c r="F528" s="46"/>
      <c r="G528" s="46"/>
      <c r="H528" s="46"/>
      <c r="I528" s="46"/>
      <c r="J528" s="46"/>
      <c r="K528" s="33"/>
      <c r="L528" s="33"/>
      <c r="M528" s="33"/>
      <c r="N528" s="46"/>
      <c r="O528" s="46"/>
      <c r="P528" s="46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</row>
    <row r="529" spans="1:37" ht="33.75" customHeight="1" x14ac:dyDescent="0.5">
      <c r="A529" s="33"/>
      <c r="B529" s="33"/>
      <c r="C529" s="33"/>
      <c r="D529" s="46"/>
      <c r="E529" s="46"/>
      <c r="F529" s="46"/>
      <c r="G529" s="46"/>
      <c r="H529" s="46"/>
      <c r="I529" s="46"/>
      <c r="J529" s="46"/>
      <c r="K529" s="33"/>
      <c r="L529" s="33"/>
      <c r="M529" s="33"/>
      <c r="N529" s="46"/>
      <c r="O529" s="46"/>
      <c r="P529" s="46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</row>
    <row r="530" spans="1:37" ht="33.75" customHeight="1" x14ac:dyDescent="0.5">
      <c r="A530" s="33"/>
      <c r="B530" s="33"/>
      <c r="C530" s="33"/>
      <c r="D530" s="46"/>
      <c r="E530" s="46"/>
      <c r="F530" s="46"/>
      <c r="G530" s="46"/>
      <c r="H530" s="46"/>
      <c r="I530" s="46"/>
      <c r="J530" s="46"/>
      <c r="K530" s="33"/>
      <c r="L530" s="33"/>
      <c r="M530" s="33"/>
      <c r="N530" s="46"/>
      <c r="O530" s="46"/>
      <c r="P530" s="46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</row>
    <row r="531" spans="1:37" ht="33.75" customHeight="1" x14ac:dyDescent="0.5">
      <c r="A531" s="33"/>
      <c r="B531" s="33"/>
      <c r="C531" s="33"/>
      <c r="D531" s="46"/>
      <c r="E531" s="46"/>
      <c r="F531" s="46"/>
      <c r="G531" s="46"/>
      <c r="H531" s="46"/>
      <c r="I531" s="46"/>
      <c r="J531" s="46"/>
      <c r="K531" s="33"/>
      <c r="L531" s="33"/>
      <c r="M531" s="33"/>
      <c r="N531" s="46"/>
      <c r="O531" s="46"/>
      <c r="P531" s="46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</row>
    <row r="532" spans="1:37" ht="33.75" customHeight="1" x14ac:dyDescent="0.5">
      <c r="A532" s="33"/>
      <c r="B532" s="33"/>
      <c r="C532" s="33"/>
      <c r="D532" s="46"/>
      <c r="E532" s="46"/>
      <c r="F532" s="46"/>
      <c r="G532" s="46"/>
      <c r="H532" s="46"/>
      <c r="I532" s="46"/>
      <c r="J532" s="46"/>
      <c r="K532" s="33"/>
      <c r="L532" s="33"/>
      <c r="M532" s="33"/>
      <c r="N532" s="46"/>
      <c r="O532" s="46"/>
      <c r="P532" s="46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</row>
    <row r="533" spans="1:37" ht="33.75" customHeight="1" x14ac:dyDescent="0.5">
      <c r="A533" s="33"/>
      <c r="B533" s="33"/>
      <c r="C533" s="33"/>
      <c r="D533" s="46"/>
      <c r="E533" s="46"/>
      <c r="F533" s="46"/>
      <c r="G533" s="46"/>
      <c r="H533" s="46"/>
      <c r="I533" s="46"/>
      <c r="J533" s="46"/>
      <c r="K533" s="33"/>
      <c r="L533" s="33"/>
      <c r="M533" s="33"/>
      <c r="N533" s="46"/>
      <c r="O533" s="46"/>
      <c r="P533" s="46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</row>
    <row r="534" spans="1:37" ht="33.75" customHeight="1" x14ac:dyDescent="0.5">
      <c r="A534" s="33"/>
      <c r="B534" s="33"/>
      <c r="C534" s="33"/>
      <c r="D534" s="46"/>
      <c r="E534" s="46"/>
      <c r="F534" s="46"/>
      <c r="G534" s="46"/>
      <c r="H534" s="46"/>
      <c r="I534" s="46"/>
      <c r="J534" s="46"/>
      <c r="K534" s="33"/>
      <c r="L534" s="33"/>
      <c r="M534" s="33"/>
      <c r="N534" s="46"/>
      <c r="O534" s="46"/>
      <c r="P534" s="46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</row>
    <row r="535" spans="1:37" ht="33.75" customHeight="1" x14ac:dyDescent="0.5">
      <c r="A535" s="33"/>
      <c r="B535" s="33"/>
      <c r="C535" s="33"/>
      <c r="D535" s="46"/>
      <c r="E535" s="46"/>
      <c r="F535" s="46"/>
      <c r="G535" s="46"/>
      <c r="H535" s="46"/>
      <c r="I535" s="46"/>
      <c r="J535" s="46"/>
      <c r="K535" s="33"/>
      <c r="L535" s="33"/>
      <c r="M535" s="33"/>
      <c r="N535" s="46"/>
      <c r="O535" s="46"/>
      <c r="P535" s="46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</row>
    <row r="536" spans="1:37" ht="33.75" customHeight="1" x14ac:dyDescent="0.5">
      <c r="A536" s="33"/>
      <c r="B536" s="33"/>
      <c r="C536" s="33"/>
      <c r="D536" s="46"/>
      <c r="E536" s="46"/>
      <c r="F536" s="46"/>
      <c r="G536" s="46"/>
      <c r="H536" s="46"/>
      <c r="I536" s="46"/>
      <c r="J536" s="46"/>
      <c r="K536" s="33"/>
      <c r="L536" s="33"/>
      <c r="M536" s="33"/>
      <c r="N536" s="46"/>
      <c r="O536" s="46"/>
      <c r="P536" s="46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</row>
    <row r="537" spans="1:37" ht="33.75" customHeight="1" x14ac:dyDescent="0.5">
      <c r="A537" s="33"/>
      <c r="B537" s="33"/>
      <c r="C537" s="33"/>
      <c r="D537" s="46"/>
      <c r="E537" s="46"/>
      <c r="F537" s="46"/>
      <c r="G537" s="46"/>
      <c r="H537" s="46"/>
      <c r="I537" s="46"/>
      <c r="J537" s="46"/>
      <c r="K537" s="33"/>
      <c r="L537" s="33"/>
      <c r="M537" s="33"/>
      <c r="N537" s="46"/>
      <c r="O537" s="46"/>
      <c r="P537" s="46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</row>
    <row r="538" spans="1:37" ht="33.75" customHeight="1" x14ac:dyDescent="0.5">
      <c r="A538" s="33"/>
      <c r="B538" s="33"/>
      <c r="C538" s="33"/>
      <c r="D538" s="46"/>
      <c r="E538" s="46"/>
      <c r="F538" s="46"/>
      <c r="G538" s="46"/>
      <c r="H538" s="46"/>
      <c r="I538" s="46"/>
      <c r="J538" s="46"/>
      <c r="K538" s="33"/>
      <c r="L538" s="33"/>
      <c r="M538" s="33"/>
      <c r="N538" s="46"/>
      <c r="O538" s="46"/>
      <c r="P538" s="46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</row>
    <row r="539" spans="1:37" ht="33.75" customHeight="1" x14ac:dyDescent="0.5">
      <c r="A539" s="33"/>
      <c r="B539" s="33"/>
      <c r="C539" s="33"/>
      <c r="D539" s="46"/>
      <c r="E539" s="46"/>
      <c r="F539" s="46"/>
      <c r="G539" s="46"/>
      <c r="H539" s="46"/>
      <c r="I539" s="46"/>
      <c r="J539" s="46"/>
      <c r="K539" s="33"/>
      <c r="L539" s="33"/>
      <c r="M539" s="33"/>
      <c r="N539" s="46"/>
      <c r="O539" s="46"/>
      <c r="P539" s="46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</row>
    <row r="540" spans="1:37" ht="33.75" customHeight="1" x14ac:dyDescent="0.5">
      <c r="A540" s="33"/>
      <c r="B540" s="33"/>
      <c r="C540" s="33"/>
      <c r="D540" s="46"/>
      <c r="E540" s="46"/>
      <c r="F540" s="46"/>
      <c r="G540" s="46"/>
      <c r="H540" s="46"/>
      <c r="I540" s="46"/>
      <c r="J540" s="46"/>
      <c r="K540" s="33"/>
      <c r="L540" s="33"/>
      <c r="M540" s="33"/>
      <c r="N540" s="46"/>
      <c r="O540" s="46"/>
      <c r="P540" s="46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</row>
    <row r="541" spans="1:37" ht="33.75" customHeight="1" x14ac:dyDescent="0.5">
      <c r="A541" s="33"/>
      <c r="B541" s="33"/>
      <c r="C541" s="33"/>
      <c r="D541" s="46"/>
      <c r="E541" s="46"/>
      <c r="F541" s="46"/>
      <c r="G541" s="46"/>
      <c r="H541" s="46"/>
      <c r="I541" s="46"/>
      <c r="J541" s="46"/>
      <c r="K541" s="33"/>
      <c r="L541" s="33"/>
      <c r="M541" s="33"/>
      <c r="N541" s="46"/>
      <c r="O541" s="46"/>
      <c r="P541" s="46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</row>
    <row r="542" spans="1:37" ht="33.75" customHeight="1" x14ac:dyDescent="0.5">
      <c r="A542" s="33"/>
      <c r="B542" s="33"/>
      <c r="C542" s="33"/>
      <c r="D542" s="46"/>
      <c r="E542" s="46"/>
      <c r="F542" s="46"/>
      <c r="G542" s="46"/>
      <c r="H542" s="46"/>
      <c r="I542" s="46"/>
      <c r="J542" s="46"/>
      <c r="K542" s="33"/>
      <c r="L542" s="33"/>
      <c r="M542" s="33"/>
      <c r="N542" s="46"/>
      <c r="O542" s="46"/>
      <c r="P542" s="46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</row>
    <row r="543" spans="1:37" ht="33.75" customHeight="1" x14ac:dyDescent="0.5">
      <c r="A543" s="33"/>
      <c r="B543" s="33"/>
      <c r="C543" s="33"/>
      <c r="D543" s="46"/>
      <c r="E543" s="46"/>
      <c r="F543" s="46"/>
      <c r="G543" s="46"/>
      <c r="H543" s="46"/>
      <c r="I543" s="46"/>
      <c r="J543" s="46"/>
      <c r="K543" s="33"/>
      <c r="L543" s="33"/>
      <c r="M543" s="33"/>
      <c r="N543" s="46"/>
      <c r="O543" s="46"/>
      <c r="P543" s="46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</row>
    <row r="544" spans="1:37" ht="33.75" customHeight="1" x14ac:dyDescent="0.5">
      <c r="A544" s="33"/>
      <c r="B544" s="33"/>
      <c r="C544" s="33"/>
      <c r="D544" s="46"/>
      <c r="E544" s="46"/>
      <c r="F544" s="46"/>
      <c r="G544" s="46"/>
      <c r="H544" s="46"/>
      <c r="I544" s="46"/>
      <c r="J544" s="46"/>
      <c r="K544" s="33"/>
      <c r="L544" s="33"/>
      <c r="M544" s="33"/>
      <c r="N544" s="46"/>
      <c r="O544" s="46"/>
      <c r="P544" s="46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</row>
    <row r="545" spans="1:37" ht="33.75" customHeight="1" x14ac:dyDescent="0.5">
      <c r="A545" s="33"/>
      <c r="B545" s="33"/>
      <c r="C545" s="33"/>
      <c r="D545" s="46"/>
      <c r="E545" s="46"/>
      <c r="F545" s="46"/>
      <c r="G545" s="46"/>
      <c r="H545" s="46"/>
      <c r="I545" s="46"/>
      <c r="J545" s="46"/>
      <c r="K545" s="33"/>
      <c r="L545" s="33"/>
      <c r="M545" s="33"/>
      <c r="N545" s="46"/>
      <c r="O545" s="46"/>
      <c r="P545" s="46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</row>
    <row r="546" spans="1:37" ht="33.75" customHeight="1" x14ac:dyDescent="0.5">
      <c r="A546" s="33"/>
      <c r="B546" s="33"/>
      <c r="C546" s="33"/>
      <c r="D546" s="46"/>
      <c r="E546" s="46"/>
      <c r="F546" s="46"/>
      <c r="G546" s="46"/>
      <c r="H546" s="46"/>
      <c r="I546" s="46"/>
      <c r="J546" s="46"/>
      <c r="K546" s="33"/>
      <c r="L546" s="33"/>
      <c r="M546" s="33"/>
      <c r="N546" s="46"/>
      <c r="O546" s="46"/>
      <c r="P546" s="46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</row>
    <row r="547" spans="1:37" ht="33.75" customHeight="1" x14ac:dyDescent="0.5">
      <c r="A547" s="33"/>
      <c r="B547" s="33"/>
      <c r="C547" s="33"/>
      <c r="D547" s="46"/>
      <c r="E547" s="46"/>
      <c r="F547" s="46"/>
      <c r="G547" s="46"/>
      <c r="H547" s="46"/>
      <c r="I547" s="46"/>
      <c r="J547" s="46"/>
      <c r="K547" s="33"/>
      <c r="L547" s="33"/>
      <c r="M547" s="33"/>
      <c r="N547" s="46"/>
      <c r="O547" s="46"/>
      <c r="P547" s="46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</row>
    <row r="548" spans="1:37" ht="33.75" customHeight="1" x14ac:dyDescent="0.5">
      <c r="A548" s="33"/>
      <c r="B548" s="33"/>
      <c r="C548" s="33"/>
      <c r="D548" s="46"/>
      <c r="E548" s="46"/>
      <c r="F548" s="46"/>
      <c r="G548" s="46"/>
      <c r="H548" s="46"/>
      <c r="I548" s="46"/>
      <c r="J548" s="46"/>
      <c r="K548" s="33"/>
      <c r="L548" s="33"/>
      <c r="M548" s="33"/>
      <c r="N548" s="46"/>
      <c r="O548" s="46"/>
      <c r="P548" s="46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</row>
    <row r="549" spans="1:37" ht="33.75" customHeight="1" x14ac:dyDescent="0.5">
      <c r="A549" s="33"/>
      <c r="B549" s="33"/>
      <c r="C549" s="33"/>
      <c r="D549" s="46"/>
      <c r="E549" s="46"/>
      <c r="F549" s="46"/>
      <c r="G549" s="46"/>
      <c r="H549" s="46"/>
      <c r="I549" s="46"/>
      <c r="J549" s="46"/>
      <c r="K549" s="33"/>
      <c r="L549" s="33"/>
      <c r="M549" s="33"/>
      <c r="N549" s="46"/>
      <c r="O549" s="46"/>
      <c r="P549" s="46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</row>
    <row r="550" spans="1:37" ht="33.75" customHeight="1" x14ac:dyDescent="0.5">
      <c r="A550" s="33"/>
      <c r="B550" s="33"/>
      <c r="C550" s="33"/>
      <c r="D550" s="46"/>
      <c r="E550" s="46"/>
      <c r="F550" s="46"/>
      <c r="G550" s="46"/>
      <c r="H550" s="46"/>
      <c r="I550" s="46"/>
      <c r="J550" s="46"/>
      <c r="K550" s="33"/>
      <c r="L550" s="33"/>
      <c r="M550" s="33"/>
      <c r="N550" s="46"/>
      <c r="O550" s="46"/>
      <c r="P550" s="46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</row>
    <row r="551" spans="1:37" ht="33.75" customHeight="1" x14ac:dyDescent="0.5">
      <c r="A551" s="33"/>
      <c r="B551" s="33"/>
      <c r="C551" s="33"/>
      <c r="D551" s="46"/>
      <c r="E551" s="46"/>
      <c r="F551" s="46"/>
      <c r="G551" s="46"/>
      <c r="H551" s="46"/>
      <c r="I551" s="46"/>
      <c r="J551" s="46"/>
      <c r="K551" s="33"/>
      <c r="L551" s="33"/>
      <c r="M551" s="33"/>
      <c r="N551" s="46"/>
      <c r="O551" s="46"/>
      <c r="P551" s="46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</row>
    <row r="552" spans="1:37" ht="33.75" customHeight="1" x14ac:dyDescent="0.5">
      <c r="A552" s="33"/>
      <c r="B552" s="33"/>
      <c r="C552" s="33"/>
      <c r="D552" s="46"/>
      <c r="E552" s="46"/>
      <c r="F552" s="46"/>
      <c r="G552" s="46"/>
      <c r="H552" s="46"/>
      <c r="I552" s="46"/>
      <c r="J552" s="46"/>
      <c r="K552" s="33"/>
      <c r="L552" s="33"/>
      <c r="M552" s="33"/>
      <c r="N552" s="46"/>
      <c r="O552" s="46"/>
      <c r="P552" s="46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</row>
    <row r="553" spans="1:37" ht="33.75" customHeight="1" x14ac:dyDescent="0.5">
      <c r="A553" s="33"/>
      <c r="B553" s="33"/>
      <c r="C553" s="33"/>
      <c r="D553" s="46"/>
      <c r="E553" s="46"/>
      <c r="F553" s="46"/>
      <c r="G553" s="46"/>
      <c r="H553" s="46"/>
      <c r="I553" s="46"/>
      <c r="J553" s="46"/>
      <c r="K553" s="33"/>
      <c r="L553" s="33"/>
      <c r="M553" s="33"/>
      <c r="N553" s="46"/>
      <c r="O553" s="46"/>
      <c r="P553" s="46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</row>
    <row r="554" spans="1:37" ht="33.75" customHeight="1" x14ac:dyDescent="0.5">
      <c r="A554" s="33"/>
      <c r="B554" s="33"/>
      <c r="C554" s="33"/>
      <c r="D554" s="46"/>
      <c r="E554" s="46"/>
      <c r="F554" s="46"/>
      <c r="G554" s="46"/>
      <c r="H554" s="46"/>
      <c r="I554" s="46"/>
      <c r="J554" s="46"/>
      <c r="K554" s="33"/>
      <c r="L554" s="33"/>
      <c r="M554" s="33"/>
      <c r="N554" s="46"/>
      <c r="O554" s="46"/>
      <c r="P554" s="46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</row>
    <row r="555" spans="1:37" ht="33.75" customHeight="1" x14ac:dyDescent="0.5">
      <c r="A555" s="33"/>
      <c r="B555" s="33"/>
      <c r="C555" s="33"/>
      <c r="D555" s="46"/>
      <c r="E555" s="46"/>
      <c r="F555" s="46"/>
      <c r="G555" s="46"/>
      <c r="H555" s="46"/>
      <c r="I555" s="46"/>
      <c r="J555" s="46"/>
      <c r="K555" s="33"/>
      <c r="L555" s="33"/>
      <c r="M555" s="33"/>
      <c r="N555" s="46"/>
      <c r="O555" s="46"/>
      <c r="P555" s="46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</row>
    <row r="556" spans="1:37" ht="33.75" customHeight="1" x14ac:dyDescent="0.5">
      <c r="A556" s="33"/>
      <c r="B556" s="33"/>
      <c r="C556" s="33"/>
      <c r="D556" s="46"/>
      <c r="E556" s="46"/>
      <c r="F556" s="46"/>
      <c r="G556" s="46"/>
      <c r="H556" s="46"/>
      <c r="I556" s="46"/>
      <c r="J556" s="46"/>
      <c r="K556" s="33"/>
      <c r="L556" s="33"/>
      <c r="M556" s="33"/>
      <c r="N556" s="46"/>
      <c r="O556" s="46"/>
      <c r="P556" s="46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</row>
    <row r="557" spans="1:37" ht="33.75" customHeight="1" x14ac:dyDescent="0.5">
      <c r="A557" s="33"/>
      <c r="B557" s="33"/>
      <c r="C557" s="33"/>
      <c r="D557" s="46"/>
      <c r="E557" s="46"/>
      <c r="F557" s="46"/>
      <c r="G557" s="46"/>
      <c r="H557" s="46"/>
      <c r="I557" s="46"/>
      <c r="J557" s="46"/>
      <c r="K557" s="33"/>
      <c r="L557" s="33"/>
      <c r="M557" s="33"/>
      <c r="N557" s="46"/>
      <c r="O557" s="46"/>
      <c r="P557" s="46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</row>
    <row r="558" spans="1:37" ht="33.75" customHeight="1" x14ac:dyDescent="0.5">
      <c r="A558" s="33"/>
      <c r="B558" s="33"/>
      <c r="C558" s="33"/>
      <c r="D558" s="46"/>
      <c r="E558" s="46"/>
      <c r="F558" s="46"/>
      <c r="G558" s="46"/>
      <c r="H558" s="46"/>
      <c r="I558" s="46"/>
      <c r="J558" s="46"/>
      <c r="K558" s="33"/>
      <c r="L558" s="33"/>
      <c r="M558" s="33"/>
      <c r="N558" s="46"/>
      <c r="O558" s="46"/>
      <c r="P558" s="46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</row>
    <row r="559" spans="1:37" ht="33.75" customHeight="1" x14ac:dyDescent="0.5">
      <c r="A559" s="33"/>
      <c r="B559" s="33"/>
      <c r="C559" s="33"/>
      <c r="D559" s="46"/>
      <c r="E559" s="46"/>
      <c r="F559" s="46"/>
      <c r="G559" s="46"/>
      <c r="H559" s="46"/>
      <c r="I559" s="46"/>
      <c r="J559" s="46"/>
      <c r="K559" s="33"/>
      <c r="L559" s="33"/>
      <c r="M559" s="33"/>
      <c r="N559" s="46"/>
      <c r="O559" s="46"/>
      <c r="P559" s="46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</row>
    <row r="560" spans="1:37" ht="33.75" customHeight="1" x14ac:dyDescent="0.5">
      <c r="A560" s="33"/>
      <c r="B560" s="33"/>
      <c r="C560" s="33"/>
      <c r="D560" s="46"/>
      <c r="E560" s="46"/>
      <c r="F560" s="46"/>
      <c r="G560" s="46"/>
      <c r="H560" s="46"/>
      <c r="I560" s="46"/>
      <c r="J560" s="46"/>
      <c r="K560" s="33"/>
      <c r="L560" s="33"/>
      <c r="M560" s="33"/>
      <c r="N560" s="46"/>
      <c r="O560" s="46"/>
      <c r="P560" s="46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</row>
    <row r="561" spans="1:37" ht="33.75" customHeight="1" x14ac:dyDescent="0.5">
      <c r="A561" s="33"/>
      <c r="B561" s="33"/>
      <c r="C561" s="33"/>
      <c r="D561" s="46"/>
      <c r="E561" s="46"/>
      <c r="F561" s="46"/>
      <c r="G561" s="46"/>
      <c r="H561" s="46"/>
      <c r="I561" s="46"/>
      <c r="J561" s="46"/>
      <c r="K561" s="33"/>
      <c r="L561" s="33"/>
      <c r="M561" s="33"/>
      <c r="N561" s="46"/>
      <c r="O561" s="46"/>
      <c r="P561" s="46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</row>
    <row r="562" spans="1:37" ht="33.75" customHeight="1" x14ac:dyDescent="0.5">
      <c r="A562" s="33"/>
      <c r="B562" s="33"/>
      <c r="C562" s="33"/>
      <c r="D562" s="46"/>
      <c r="E562" s="46"/>
      <c r="F562" s="46"/>
      <c r="G562" s="46"/>
      <c r="H562" s="46"/>
      <c r="I562" s="46"/>
      <c r="J562" s="46"/>
      <c r="K562" s="33"/>
      <c r="L562" s="33"/>
      <c r="M562" s="33"/>
      <c r="N562" s="46"/>
      <c r="O562" s="46"/>
      <c r="P562" s="46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</row>
    <row r="563" spans="1:37" ht="33.75" customHeight="1" x14ac:dyDescent="0.5">
      <c r="A563" s="33"/>
      <c r="B563" s="33"/>
      <c r="C563" s="33"/>
      <c r="D563" s="46"/>
      <c r="E563" s="46"/>
      <c r="F563" s="46"/>
      <c r="G563" s="46"/>
      <c r="H563" s="46"/>
      <c r="I563" s="46"/>
      <c r="J563" s="46"/>
      <c r="K563" s="33"/>
      <c r="L563" s="33"/>
      <c r="M563" s="33"/>
      <c r="N563" s="46"/>
      <c r="O563" s="46"/>
      <c r="P563" s="46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</row>
    <row r="564" spans="1:37" ht="33.75" customHeight="1" x14ac:dyDescent="0.5">
      <c r="A564" s="33"/>
      <c r="B564" s="33"/>
      <c r="C564" s="33"/>
      <c r="D564" s="46"/>
      <c r="E564" s="46"/>
      <c r="F564" s="46"/>
      <c r="G564" s="46"/>
      <c r="H564" s="46"/>
      <c r="I564" s="46"/>
      <c r="J564" s="46"/>
      <c r="K564" s="33"/>
      <c r="L564" s="33"/>
      <c r="M564" s="33"/>
      <c r="N564" s="46"/>
      <c r="O564" s="46"/>
      <c r="P564" s="46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spans="1:37" ht="33.75" customHeight="1" x14ac:dyDescent="0.5">
      <c r="A565" s="33"/>
      <c r="B565" s="33"/>
      <c r="C565" s="33"/>
      <c r="D565" s="46"/>
      <c r="E565" s="46"/>
      <c r="F565" s="46"/>
      <c r="G565" s="46"/>
      <c r="H565" s="46"/>
      <c r="I565" s="46"/>
      <c r="J565" s="46"/>
      <c r="K565" s="33"/>
      <c r="L565" s="33"/>
      <c r="M565" s="33"/>
      <c r="N565" s="46"/>
      <c r="O565" s="46"/>
      <c r="P565" s="46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</row>
    <row r="566" spans="1:37" ht="33.75" customHeight="1" x14ac:dyDescent="0.5">
      <c r="A566" s="33"/>
      <c r="B566" s="33"/>
      <c r="C566" s="33"/>
      <c r="D566" s="46"/>
      <c r="E566" s="46"/>
      <c r="F566" s="46"/>
      <c r="G566" s="46"/>
      <c r="H566" s="46"/>
      <c r="I566" s="46"/>
      <c r="J566" s="46"/>
      <c r="K566" s="33"/>
      <c r="L566" s="33"/>
      <c r="M566" s="33"/>
      <c r="N566" s="46"/>
      <c r="O566" s="46"/>
      <c r="P566" s="46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</row>
    <row r="567" spans="1:37" ht="33.75" customHeight="1" x14ac:dyDescent="0.5">
      <c r="A567" s="33"/>
      <c r="B567" s="33"/>
      <c r="C567" s="33"/>
      <c r="D567" s="46"/>
      <c r="E567" s="46"/>
      <c r="F567" s="46"/>
      <c r="G567" s="46"/>
      <c r="H567" s="46"/>
      <c r="I567" s="46"/>
      <c r="J567" s="46"/>
      <c r="K567" s="33"/>
      <c r="L567" s="33"/>
      <c r="M567" s="33"/>
      <c r="N567" s="46"/>
      <c r="O567" s="46"/>
      <c r="P567" s="46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</row>
    <row r="568" spans="1:37" ht="33.75" customHeight="1" x14ac:dyDescent="0.5">
      <c r="A568" s="33"/>
      <c r="B568" s="33"/>
      <c r="C568" s="33"/>
      <c r="D568" s="46"/>
      <c r="E568" s="46"/>
      <c r="F568" s="46"/>
      <c r="G568" s="46"/>
      <c r="H568" s="46"/>
      <c r="I568" s="46"/>
      <c r="J568" s="46"/>
      <c r="K568" s="33"/>
      <c r="L568" s="33"/>
      <c r="M568" s="33"/>
      <c r="N568" s="46"/>
      <c r="O568" s="46"/>
      <c r="P568" s="46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</row>
    <row r="569" spans="1:37" ht="33.75" customHeight="1" x14ac:dyDescent="0.5">
      <c r="A569" s="33"/>
      <c r="B569" s="33"/>
      <c r="C569" s="33"/>
      <c r="D569" s="46"/>
      <c r="E569" s="46"/>
      <c r="F569" s="46"/>
      <c r="G569" s="46"/>
      <c r="H569" s="46"/>
      <c r="I569" s="46"/>
      <c r="J569" s="46"/>
      <c r="K569" s="33"/>
      <c r="L569" s="33"/>
      <c r="M569" s="33"/>
      <c r="N569" s="46"/>
      <c r="O569" s="46"/>
      <c r="P569" s="46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</row>
    <row r="570" spans="1:37" ht="33.75" customHeight="1" x14ac:dyDescent="0.5">
      <c r="A570" s="33"/>
      <c r="B570" s="33"/>
      <c r="C570" s="33"/>
      <c r="D570" s="46"/>
      <c r="E570" s="46"/>
      <c r="F570" s="46"/>
      <c r="G570" s="46"/>
      <c r="H570" s="46"/>
      <c r="I570" s="46"/>
      <c r="J570" s="46"/>
      <c r="K570" s="33"/>
      <c r="L570" s="33"/>
      <c r="M570" s="33"/>
      <c r="N570" s="46"/>
      <c r="O570" s="46"/>
      <c r="P570" s="46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</row>
    <row r="571" spans="1:37" ht="33.75" customHeight="1" x14ac:dyDescent="0.5">
      <c r="A571" s="33"/>
      <c r="B571" s="33"/>
      <c r="C571" s="33"/>
      <c r="D571" s="46"/>
      <c r="E571" s="46"/>
      <c r="F571" s="46"/>
      <c r="G571" s="46"/>
      <c r="H571" s="46"/>
      <c r="I571" s="46"/>
      <c r="J571" s="46"/>
      <c r="K571" s="33"/>
      <c r="L571" s="33"/>
      <c r="M571" s="33"/>
      <c r="N571" s="46"/>
      <c r="O571" s="46"/>
      <c r="P571" s="46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</row>
    <row r="572" spans="1:37" ht="33.75" customHeight="1" x14ac:dyDescent="0.5">
      <c r="A572" s="33"/>
      <c r="B572" s="33"/>
      <c r="C572" s="33"/>
      <c r="D572" s="46"/>
      <c r="E572" s="46"/>
      <c r="F572" s="46"/>
      <c r="G572" s="46"/>
      <c r="H572" s="46"/>
      <c r="I572" s="46"/>
      <c r="J572" s="46"/>
      <c r="K572" s="33"/>
      <c r="L572" s="33"/>
      <c r="M572" s="33"/>
      <c r="N572" s="46"/>
      <c r="O572" s="46"/>
      <c r="P572" s="46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</row>
    <row r="573" spans="1:37" ht="33.75" customHeight="1" x14ac:dyDescent="0.5">
      <c r="A573" s="33"/>
      <c r="B573" s="33"/>
      <c r="C573" s="33"/>
      <c r="D573" s="46"/>
      <c r="E573" s="46"/>
      <c r="F573" s="46"/>
      <c r="G573" s="46"/>
      <c r="H573" s="46"/>
      <c r="I573" s="46"/>
      <c r="J573" s="46"/>
      <c r="K573" s="33"/>
      <c r="L573" s="33"/>
      <c r="M573" s="33"/>
      <c r="N573" s="46"/>
      <c r="O573" s="46"/>
      <c r="P573" s="46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</row>
    <row r="574" spans="1:37" ht="33.75" customHeight="1" x14ac:dyDescent="0.5">
      <c r="A574" s="33"/>
      <c r="B574" s="33"/>
      <c r="C574" s="33"/>
      <c r="D574" s="46"/>
      <c r="E574" s="46"/>
      <c r="F574" s="46"/>
      <c r="G574" s="46"/>
      <c r="H574" s="46"/>
      <c r="I574" s="46"/>
      <c r="J574" s="46"/>
      <c r="K574" s="33"/>
      <c r="L574" s="33"/>
      <c r="M574" s="33"/>
      <c r="N574" s="46"/>
      <c r="O574" s="46"/>
      <c r="P574" s="46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</row>
    <row r="575" spans="1:37" ht="33.75" customHeight="1" x14ac:dyDescent="0.5">
      <c r="A575" s="33"/>
      <c r="B575" s="33"/>
      <c r="C575" s="33"/>
      <c r="D575" s="46"/>
      <c r="E575" s="46"/>
      <c r="F575" s="46"/>
      <c r="G575" s="46"/>
      <c r="H575" s="46"/>
      <c r="I575" s="46"/>
      <c r="J575" s="46"/>
      <c r="K575" s="33"/>
      <c r="L575" s="33"/>
      <c r="M575" s="33"/>
      <c r="N575" s="46"/>
      <c r="O575" s="46"/>
      <c r="P575" s="46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6" spans="1:37" ht="33.75" customHeight="1" x14ac:dyDescent="0.5">
      <c r="A576" s="33"/>
      <c r="B576" s="33"/>
      <c r="C576" s="33"/>
      <c r="D576" s="46"/>
      <c r="E576" s="46"/>
      <c r="F576" s="46"/>
      <c r="G576" s="46"/>
      <c r="H576" s="46"/>
      <c r="I576" s="46"/>
      <c r="J576" s="46"/>
      <c r="K576" s="33"/>
      <c r="L576" s="33"/>
      <c r="M576" s="33"/>
      <c r="N576" s="46"/>
      <c r="O576" s="46"/>
      <c r="P576" s="46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</row>
    <row r="577" spans="1:37" ht="33.75" customHeight="1" x14ac:dyDescent="0.5">
      <c r="A577" s="33"/>
      <c r="B577" s="33"/>
      <c r="C577" s="33"/>
      <c r="D577" s="46"/>
      <c r="E577" s="46"/>
      <c r="F577" s="46"/>
      <c r="G577" s="46"/>
      <c r="H577" s="46"/>
      <c r="I577" s="46"/>
      <c r="J577" s="46"/>
      <c r="K577" s="33"/>
      <c r="L577" s="33"/>
      <c r="M577" s="33"/>
      <c r="N577" s="46"/>
      <c r="O577" s="46"/>
      <c r="P577" s="46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</row>
    <row r="578" spans="1:37" ht="33.75" customHeight="1" x14ac:dyDescent="0.5">
      <c r="A578" s="33"/>
      <c r="B578" s="33"/>
      <c r="C578" s="33"/>
      <c r="D578" s="46"/>
      <c r="E578" s="46"/>
      <c r="F578" s="46"/>
      <c r="G578" s="46"/>
      <c r="H578" s="46"/>
      <c r="I578" s="46"/>
      <c r="J578" s="46"/>
      <c r="K578" s="33"/>
      <c r="L578" s="33"/>
      <c r="M578" s="33"/>
      <c r="N578" s="46"/>
      <c r="O578" s="46"/>
      <c r="P578" s="46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</row>
    <row r="579" spans="1:37" ht="33.75" customHeight="1" x14ac:dyDescent="0.5">
      <c r="A579" s="33"/>
      <c r="B579" s="33"/>
      <c r="C579" s="33"/>
      <c r="D579" s="46"/>
      <c r="E579" s="46"/>
      <c r="F579" s="46"/>
      <c r="G579" s="46"/>
      <c r="H579" s="46"/>
      <c r="I579" s="46"/>
      <c r="J579" s="46"/>
      <c r="K579" s="33"/>
      <c r="L579" s="33"/>
      <c r="M579" s="33"/>
      <c r="N579" s="46"/>
      <c r="O579" s="46"/>
      <c r="P579" s="46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</row>
    <row r="580" spans="1:37" ht="33.75" customHeight="1" x14ac:dyDescent="0.5">
      <c r="A580" s="33"/>
      <c r="B580" s="33"/>
      <c r="C580" s="33"/>
      <c r="D580" s="46"/>
      <c r="E580" s="46"/>
      <c r="F580" s="46"/>
      <c r="G580" s="46"/>
      <c r="H580" s="46"/>
      <c r="I580" s="46"/>
      <c r="J580" s="46"/>
      <c r="K580" s="33"/>
      <c r="L580" s="33"/>
      <c r="M580" s="33"/>
      <c r="N580" s="46"/>
      <c r="O580" s="46"/>
      <c r="P580" s="46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</row>
    <row r="581" spans="1:37" ht="33.75" customHeight="1" x14ac:dyDescent="0.5">
      <c r="A581" s="33"/>
      <c r="B581" s="33"/>
      <c r="C581" s="33"/>
      <c r="D581" s="46"/>
      <c r="E581" s="46"/>
      <c r="F581" s="46"/>
      <c r="G581" s="46"/>
      <c r="H581" s="46"/>
      <c r="I581" s="46"/>
      <c r="J581" s="46"/>
      <c r="K581" s="33"/>
      <c r="L581" s="33"/>
      <c r="M581" s="33"/>
      <c r="N581" s="46"/>
      <c r="O581" s="46"/>
      <c r="P581" s="46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</row>
    <row r="582" spans="1:37" ht="33.75" customHeight="1" x14ac:dyDescent="0.5">
      <c r="A582" s="33"/>
      <c r="B582" s="33"/>
      <c r="C582" s="33"/>
      <c r="D582" s="46"/>
      <c r="E582" s="46"/>
      <c r="F582" s="46"/>
      <c r="G582" s="46"/>
      <c r="H582" s="46"/>
      <c r="I582" s="46"/>
      <c r="J582" s="46"/>
      <c r="K582" s="33"/>
      <c r="L582" s="33"/>
      <c r="M582" s="33"/>
      <c r="N582" s="46"/>
      <c r="O582" s="46"/>
      <c r="P582" s="46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</row>
    <row r="583" spans="1:37" ht="33.75" customHeight="1" x14ac:dyDescent="0.5">
      <c r="A583" s="33"/>
      <c r="B583" s="33"/>
      <c r="C583" s="33"/>
      <c r="D583" s="46"/>
      <c r="E583" s="46"/>
      <c r="F583" s="46"/>
      <c r="G583" s="46"/>
      <c r="H583" s="46"/>
      <c r="I583" s="46"/>
      <c r="J583" s="46"/>
      <c r="K583" s="33"/>
      <c r="L583" s="33"/>
      <c r="M583" s="33"/>
      <c r="N583" s="46"/>
      <c r="O583" s="46"/>
      <c r="P583" s="46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</row>
    <row r="584" spans="1:37" ht="33.75" customHeight="1" x14ac:dyDescent="0.5">
      <c r="A584" s="33"/>
      <c r="B584" s="33"/>
      <c r="C584" s="33"/>
      <c r="D584" s="46"/>
      <c r="E584" s="46"/>
      <c r="F584" s="46"/>
      <c r="G584" s="46"/>
      <c r="H584" s="46"/>
      <c r="I584" s="46"/>
      <c r="J584" s="46"/>
      <c r="K584" s="33"/>
      <c r="L584" s="33"/>
      <c r="M584" s="33"/>
      <c r="N584" s="46"/>
      <c r="O584" s="46"/>
      <c r="P584" s="46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</row>
    <row r="585" spans="1:37" ht="33.75" customHeight="1" x14ac:dyDescent="0.5">
      <c r="A585" s="33"/>
      <c r="B585" s="33"/>
      <c r="C585" s="33"/>
      <c r="D585" s="46"/>
      <c r="E585" s="46"/>
      <c r="F585" s="46"/>
      <c r="G585" s="46"/>
      <c r="H585" s="46"/>
      <c r="I585" s="46"/>
      <c r="J585" s="46"/>
      <c r="K585" s="33"/>
      <c r="L585" s="33"/>
      <c r="M585" s="33"/>
      <c r="N585" s="46"/>
      <c r="O585" s="46"/>
      <c r="P585" s="46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</row>
    <row r="586" spans="1:37" ht="33.75" customHeight="1" x14ac:dyDescent="0.5">
      <c r="A586" s="33"/>
      <c r="B586" s="33"/>
      <c r="C586" s="33"/>
      <c r="D586" s="46"/>
      <c r="E586" s="46"/>
      <c r="F586" s="46"/>
      <c r="G586" s="46"/>
      <c r="H586" s="46"/>
      <c r="I586" s="46"/>
      <c r="J586" s="46"/>
      <c r="K586" s="33"/>
      <c r="L586" s="33"/>
      <c r="M586" s="33"/>
      <c r="N586" s="46"/>
      <c r="O586" s="46"/>
      <c r="P586" s="46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</row>
    <row r="587" spans="1:37" ht="33.75" customHeight="1" x14ac:dyDescent="0.5">
      <c r="A587" s="33"/>
      <c r="B587" s="33"/>
      <c r="C587" s="33"/>
      <c r="D587" s="46"/>
      <c r="E587" s="46"/>
      <c r="F587" s="46"/>
      <c r="G587" s="46"/>
      <c r="H587" s="46"/>
      <c r="I587" s="46"/>
      <c r="J587" s="46"/>
      <c r="K587" s="33"/>
      <c r="L587" s="33"/>
      <c r="M587" s="33"/>
      <c r="N587" s="46"/>
      <c r="O587" s="46"/>
      <c r="P587" s="46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</row>
    <row r="588" spans="1:37" ht="33.75" customHeight="1" x14ac:dyDescent="0.5">
      <c r="A588" s="33"/>
      <c r="B588" s="33"/>
      <c r="C588" s="33"/>
      <c r="D588" s="46"/>
      <c r="E588" s="46"/>
      <c r="F588" s="46"/>
      <c r="G588" s="46"/>
      <c r="H588" s="46"/>
      <c r="I588" s="46"/>
      <c r="J588" s="46"/>
      <c r="K588" s="33"/>
      <c r="L588" s="33"/>
      <c r="M588" s="33"/>
      <c r="N588" s="46"/>
      <c r="O588" s="46"/>
      <c r="P588" s="46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</row>
    <row r="589" spans="1:37" ht="33.75" customHeight="1" x14ac:dyDescent="0.5">
      <c r="A589" s="33"/>
      <c r="B589" s="33"/>
      <c r="C589" s="33"/>
      <c r="D589" s="46"/>
      <c r="E589" s="46"/>
      <c r="F589" s="46"/>
      <c r="G589" s="46"/>
      <c r="H589" s="46"/>
      <c r="I589" s="46"/>
      <c r="J589" s="46"/>
      <c r="K589" s="33"/>
      <c r="L589" s="33"/>
      <c r="M589" s="33"/>
      <c r="N589" s="46"/>
      <c r="O589" s="46"/>
      <c r="P589" s="46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</row>
    <row r="590" spans="1:37" ht="33.75" customHeight="1" x14ac:dyDescent="0.5">
      <c r="A590" s="33"/>
      <c r="B590" s="33"/>
      <c r="C590" s="33"/>
      <c r="D590" s="46"/>
      <c r="E590" s="46"/>
      <c r="F590" s="46"/>
      <c r="G590" s="46"/>
      <c r="H590" s="46"/>
      <c r="I590" s="46"/>
      <c r="J590" s="46"/>
      <c r="K590" s="33"/>
      <c r="L590" s="33"/>
      <c r="M590" s="33"/>
      <c r="N590" s="46"/>
      <c r="O590" s="46"/>
      <c r="P590" s="46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</row>
    <row r="591" spans="1:37" ht="33.75" customHeight="1" x14ac:dyDescent="0.5">
      <c r="A591" s="33"/>
      <c r="B591" s="33"/>
      <c r="C591" s="33"/>
      <c r="D591" s="46"/>
      <c r="E591" s="46"/>
      <c r="F591" s="46"/>
      <c r="G591" s="46"/>
      <c r="H591" s="46"/>
      <c r="I591" s="46"/>
      <c r="J591" s="46"/>
      <c r="K591" s="33"/>
      <c r="L591" s="33"/>
      <c r="M591" s="33"/>
      <c r="N591" s="46"/>
      <c r="O591" s="46"/>
      <c r="P591" s="46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</row>
    <row r="592" spans="1:37" ht="33.75" customHeight="1" x14ac:dyDescent="0.5">
      <c r="A592" s="33"/>
      <c r="B592" s="33"/>
      <c r="C592" s="33"/>
      <c r="D592" s="46"/>
      <c r="E592" s="46"/>
      <c r="F592" s="46"/>
      <c r="G592" s="46"/>
      <c r="H592" s="46"/>
      <c r="I592" s="46"/>
      <c r="J592" s="46"/>
      <c r="K592" s="33"/>
      <c r="L592" s="33"/>
      <c r="M592" s="33"/>
      <c r="N592" s="46"/>
      <c r="O592" s="46"/>
      <c r="P592" s="46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</row>
    <row r="593" spans="1:37" ht="33.75" customHeight="1" x14ac:dyDescent="0.5">
      <c r="A593" s="33"/>
      <c r="B593" s="33"/>
      <c r="C593" s="33"/>
      <c r="D593" s="46"/>
      <c r="E593" s="46"/>
      <c r="F593" s="46"/>
      <c r="G593" s="46"/>
      <c r="H593" s="46"/>
      <c r="I593" s="46"/>
      <c r="J593" s="46"/>
      <c r="K593" s="33"/>
      <c r="L593" s="33"/>
      <c r="M593" s="33"/>
      <c r="N593" s="46"/>
      <c r="O593" s="46"/>
      <c r="P593" s="46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</row>
    <row r="594" spans="1:37" ht="33.75" customHeight="1" x14ac:dyDescent="0.5">
      <c r="A594" s="33"/>
      <c r="B594" s="33"/>
      <c r="C594" s="33"/>
      <c r="D594" s="46"/>
      <c r="E594" s="46"/>
      <c r="F594" s="46"/>
      <c r="G594" s="46"/>
      <c r="H594" s="46"/>
      <c r="I594" s="46"/>
      <c r="J594" s="46"/>
      <c r="K594" s="33"/>
      <c r="L594" s="33"/>
      <c r="M594" s="33"/>
      <c r="N594" s="46"/>
      <c r="O594" s="46"/>
      <c r="P594" s="46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</row>
    <row r="595" spans="1:37" ht="33.75" customHeight="1" x14ac:dyDescent="0.5">
      <c r="A595" s="33"/>
      <c r="B595" s="33"/>
      <c r="C595" s="33"/>
      <c r="D595" s="46"/>
      <c r="E595" s="46"/>
      <c r="F595" s="46"/>
      <c r="G595" s="46"/>
      <c r="H595" s="46"/>
      <c r="I595" s="46"/>
      <c r="J595" s="46"/>
      <c r="K595" s="33"/>
      <c r="L595" s="33"/>
      <c r="M595" s="33"/>
      <c r="N595" s="46"/>
      <c r="O595" s="46"/>
      <c r="P595" s="46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</row>
    <row r="596" spans="1:37" ht="33.75" customHeight="1" x14ac:dyDescent="0.5">
      <c r="A596" s="33"/>
      <c r="B596" s="33"/>
      <c r="C596" s="33"/>
      <c r="D596" s="46"/>
      <c r="E596" s="46"/>
      <c r="F596" s="46"/>
      <c r="G596" s="46"/>
      <c r="H596" s="46"/>
      <c r="I596" s="46"/>
      <c r="J596" s="46"/>
      <c r="K596" s="33"/>
      <c r="L596" s="33"/>
      <c r="M596" s="33"/>
      <c r="N596" s="46"/>
      <c r="O596" s="46"/>
      <c r="P596" s="46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</row>
    <row r="597" spans="1:37" ht="33.75" customHeight="1" x14ac:dyDescent="0.5">
      <c r="A597" s="33"/>
      <c r="B597" s="33"/>
      <c r="C597" s="33"/>
      <c r="D597" s="46"/>
      <c r="E597" s="46"/>
      <c r="F597" s="46"/>
      <c r="G597" s="46"/>
      <c r="H597" s="46"/>
      <c r="I597" s="46"/>
      <c r="J597" s="46"/>
      <c r="K597" s="33"/>
      <c r="L597" s="33"/>
      <c r="M597" s="33"/>
      <c r="N597" s="46"/>
      <c r="O597" s="46"/>
      <c r="P597" s="46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</row>
    <row r="598" spans="1:37" ht="33.75" customHeight="1" x14ac:dyDescent="0.5">
      <c r="A598" s="33"/>
      <c r="B598" s="33"/>
      <c r="C598" s="33"/>
      <c r="D598" s="46"/>
      <c r="E598" s="46"/>
      <c r="F598" s="46"/>
      <c r="G598" s="46"/>
      <c r="H598" s="46"/>
      <c r="I598" s="46"/>
      <c r="J598" s="46"/>
      <c r="K598" s="33"/>
      <c r="L598" s="33"/>
      <c r="M598" s="33"/>
      <c r="N598" s="46"/>
      <c r="O598" s="46"/>
      <c r="P598" s="46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</row>
    <row r="599" spans="1:37" ht="33.75" customHeight="1" x14ac:dyDescent="0.5">
      <c r="A599" s="33"/>
      <c r="B599" s="33"/>
      <c r="C599" s="33"/>
      <c r="D599" s="46"/>
      <c r="E599" s="46"/>
      <c r="F599" s="46"/>
      <c r="G599" s="46"/>
      <c r="H599" s="46"/>
      <c r="I599" s="46"/>
      <c r="J599" s="46"/>
      <c r="K599" s="33"/>
      <c r="L599" s="33"/>
      <c r="M599" s="33"/>
      <c r="N599" s="46"/>
      <c r="O599" s="46"/>
      <c r="P599" s="46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</row>
    <row r="600" spans="1:37" ht="33.75" customHeight="1" x14ac:dyDescent="0.5">
      <c r="A600" s="33"/>
      <c r="B600" s="33"/>
      <c r="C600" s="33"/>
      <c r="D600" s="46"/>
      <c r="E600" s="46"/>
      <c r="F600" s="46"/>
      <c r="G600" s="46"/>
      <c r="H600" s="46"/>
      <c r="I600" s="46"/>
      <c r="J600" s="46"/>
      <c r="K600" s="33"/>
      <c r="L600" s="33"/>
      <c r="M600" s="33"/>
      <c r="N600" s="46"/>
      <c r="O600" s="46"/>
      <c r="P600" s="46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</row>
    <row r="601" spans="1:37" ht="33.75" customHeight="1" x14ac:dyDescent="0.5">
      <c r="A601" s="33"/>
      <c r="B601" s="33"/>
      <c r="C601" s="33"/>
      <c r="D601" s="46"/>
      <c r="E601" s="46"/>
      <c r="F601" s="46"/>
      <c r="G601" s="46"/>
      <c r="H601" s="46"/>
      <c r="I601" s="46"/>
      <c r="J601" s="46"/>
      <c r="K601" s="33"/>
      <c r="L601" s="33"/>
      <c r="M601" s="33"/>
      <c r="N601" s="46"/>
      <c r="O601" s="46"/>
      <c r="P601" s="46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spans="1:37" ht="33.75" customHeight="1" x14ac:dyDescent="0.5">
      <c r="A602" s="33"/>
      <c r="B602" s="33"/>
      <c r="C602" s="33"/>
      <c r="D602" s="46"/>
      <c r="E602" s="46"/>
      <c r="F602" s="46"/>
      <c r="G602" s="46"/>
      <c r="H602" s="46"/>
      <c r="I602" s="46"/>
      <c r="J602" s="46"/>
      <c r="K602" s="33"/>
      <c r="L602" s="33"/>
      <c r="M602" s="33"/>
      <c r="N602" s="46"/>
      <c r="O602" s="46"/>
      <c r="P602" s="46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spans="1:37" ht="33.75" customHeight="1" x14ac:dyDescent="0.5">
      <c r="A603" s="33"/>
      <c r="B603" s="33"/>
      <c r="C603" s="33"/>
      <c r="D603" s="46"/>
      <c r="E603" s="46"/>
      <c r="F603" s="46"/>
      <c r="G603" s="46"/>
      <c r="H603" s="46"/>
      <c r="I603" s="46"/>
      <c r="J603" s="46"/>
      <c r="K603" s="33"/>
      <c r="L603" s="33"/>
      <c r="M603" s="33"/>
      <c r="N603" s="46"/>
      <c r="O603" s="46"/>
      <c r="P603" s="46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spans="1:37" ht="33.75" customHeight="1" x14ac:dyDescent="0.5">
      <c r="A604" s="33"/>
      <c r="B604" s="33"/>
      <c r="C604" s="33"/>
      <c r="D604" s="46"/>
      <c r="E604" s="46"/>
      <c r="F604" s="46"/>
      <c r="G604" s="46"/>
      <c r="H604" s="46"/>
      <c r="I604" s="46"/>
      <c r="J604" s="46"/>
      <c r="K604" s="33"/>
      <c r="L604" s="33"/>
      <c r="M604" s="33"/>
      <c r="N604" s="46"/>
      <c r="O604" s="46"/>
      <c r="P604" s="46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</row>
    <row r="605" spans="1:37" ht="33.75" customHeight="1" x14ac:dyDescent="0.5">
      <c r="A605" s="33"/>
      <c r="B605" s="33"/>
      <c r="C605" s="33"/>
      <c r="D605" s="46"/>
      <c r="E605" s="46"/>
      <c r="F605" s="46"/>
      <c r="G605" s="46"/>
      <c r="H605" s="46"/>
      <c r="I605" s="46"/>
      <c r="J605" s="46"/>
      <c r="K605" s="33"/>
      <c r="L605" s="33"/>
      <c r="M605" s="33"/>
      <c r="N605" s="46"/>
      <c r="O605" s="46"/>
      <c r="P605" s="46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</row>
    <row r="606" spans="1:37" ht="33.75" customHeight="1" x14ac:dyDescent="0.5">
      <c r="A606" s="33"/>
      <c r="B606" s="33"/>
      <c r="C606" s="33"/>
      <c r="D606" s="46"/>
      <c r="E606" s="46"/>
      <c r="F606" s="46"/>
      <c r="G606" s="46"/>
      <c r="H606" s="46"/>
      <c r="I606" s="46"/>
      <c r="J606" s="46"/>
      <c r="K606" s="33"/>
      <c r="L606" s="33"/>
      <c r="M606" s="33"/>
      <c r="N606" s="46"/>
      <c r="O606" s="46"/>
      <c r="P606" s="46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</row>
    <row r="607" spans="1:37" ht="33.75" customHeight="1" x14ac:dyDescent="0.5">
      <c r="A607" s="33"/>
      <c r="B607" s="33"/>
      <c r="C607" s="33"/>
      <c r="D607" s="46"/>
      <c r="E607" s="46"/>
      <c r="F607" s="46"/>
      <c r="G607" s="46"/>
      <c r="H607" s="46"/>
      <c r="I607" s="46"/>
      <c r="J607" s="46"/>
      <c r="K607" s="33"/>
      <c r="L607" s="33"/>
      <c r="M607" s="33"/>
      <c r="N607" s="46"/>
      <c r="O607" s="46"/>
      <c r="P607" s="46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</row>
    <row r="608" spans="1:37" ht="33.75" customHeight="1" x14ac:dyDescent="0.5">
      <c r="A608" s="33"/>
      <c r="B608" s="33"/>
      <c r="C608" s="33"/>
      <c r="D608" s="46"/>
      <c r="E608" s="46"/>
      <c r="F608" s="46"/>
      <c r="G608" s="46"/>
      <c r="H608" s="46"/>
      <c r="I608" s="46"/>
      <c r="J608" s="46"/>
      <c r="K608" s="33"/>
      <c r="L608" s="33"/>
      <c r="M608" s="33"/>
      <c r="N608" s="46"/>
      <c r="O608" s="46"/>
      <c r="P608" s="46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</row>
    <row r="609" spans="1:37" ht="33.75" customHeight="1" x14ac:dyDescent="0.5">
      <c r="A609" s="33"/>
      <c r="B609" s="33"/>
      <c r="C609" s="33"/>
      <c r="D609" s="46"/>
      <c r="E609" s="46"/>
      <c r="F609" s="46"/>
      <c r="G609" s="46"/>
      <c r="H609" s="46"/>
      <c r="I609" s="46"/>
      <c r="J609" s="46"/>
      <c r="K609" s="33"/>
      <c r="L609" s="33"/>
      <c r="M609" s="33"/>
      <c r="N609" s="46"/>
      <c r="O609" s="46"/>
      <c r="P609" s="46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</row>
    <row r="610" spans="1:37" ht="33.75" customHeight="1" x14ac:dyDescent="0.5">
      <c r="A610" s="33"/>
      <c r="B610" s="33"/>
      <c r="C610" s="33"/>
      <c r="D610" s="46"/>
      <c r="E610" s="46"/>
      <c r="F610" s="46"/>
      <c r="G610" s="46"/>
      <c r="H610" s="46"/>
      <c r="I610" s="46"/>
      <c r="J610" s="46"/>
      <c r="K610" s="33"/>
      <c r="L610" s="33"/>
      <c r="M610" s="33"/>
      <c r="N610" s="46"/>
      <c r="O610" s="46"/>
      <c r="P610" s="46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</row>
    <row r="611" spans="1:37" ht="33.75" customHeight="1" x14ac:dyDescent="0.5">
      <c r="A611" s="33"/>
      <c r="B611" s="33"/>
      <c r="C611" s="33"/>
      <c r="D611" s="46"/>
      <c r="E611" s="46"/>
      <c r="F611" s="46"/>
      <c r="G611" s="46"/>
      <c r="H611" s="46"/>
      <c r="I611" s="46"/>
      <c r="J611" s="46"/>
      <c r="K611" s="33"/>
      <c r="L611" s="33"/>
      <c r="M611" s="33"/>
      <c r="N611" s="46"/>
      <c r="O611" s="46"/>
      <c r="P611" s="46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</row>
    <row r="612" spans="1:37" ht="33.75" customHeight="1" x14ac:dyDescent="0.5">
      <c r="A612" s="33"/>
      <c r="B612" s="33"/>
      <c r="C612" s="33"/>
      <c r="D612" s="46"/>
      <c r="E612" s="46"/>
      <c r="F612" s="46"/>
      <c r="G612" s="46"/>
      <c r="H612" s="46"/>
      <c r="I612" s="46"/>
      <c r="J612" s="46"/>
      <c r="K612" s="33"/>
      <c r="L612" s="33"/>
      <c r="M612" s="33"/>
      <c r="N612" s="46"/>
      <c r="O612" s="46"/>
      <c r="P612" s="46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</row>
    <row r="613" spans="1:37" ht="33.75" customHeight="1" x14ac:dyDescent="0.5">
      <c r="A613" s="33"/>
      <c r="B613" s="33"/>
      <c r="C613" s="33"/>
      <c r="D613" s="46"/>
      <c r="E613" s="46"/>
      <c r="F613" s="46"/>
      <c r="G613" s="46"/>
      <c r="H613" s="46"/>
      <c r="I613" s="46"/>
      <c r="J613" s="46"/>
      <c r="K613" s="33"/>
      <c r="L613" s="33"/>
      <c r="M613" s="33"/>
      <c r="N613" s="46"/>
      <c r="O613" s="46"/>
      <c r="P613" s="46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</row>
    <row r="614" spans="1:37" ht="33.75" customHeight="1" x14ac:dyDescent="0.5">
      <c r="A614" s="33"/>
      <c r="B614" s="33"/>
      <c r="C614" s="33"/>
      <c r="D614" s="46"/>
      <c r="E614" s="46"/>
      <c r="F614" s="46"/>
      <c r="G614" s="46"/>
      <c r="H614" s="46"/>
      <c r="I614" s="46"/>
      <c r="J614" s="46"/>
      <c r="K614" s="33"/>
      <c r="L614" s="33"/>
      <c r="M614" s="33"/>
      <c r="N614" s="46"/>
      <c r="O614" s="46"/>
      <c r="P614" s="46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spans="1:37" ht="33.75" customHeight="1" x14ac:dyDescent="0.5">
      <c r="A615" s="33"/>
      <c r="B615" s="33"/>
      <c r="C615" s="33"/>
      <c r="D615" s="46"/>
      <c r="E615" s="46"/>
      <c r="F615" s="46"/>
      <c r="G615" s="46"/>
      <c r="H615" s="46"/>
      <c r="I615" s="46"/>
      <c r="J615" s="46"/>
      <c r="K615" s="33"/>
      <c r="L615" s="33"/>
      <c r="M615" s="33"/>
      <c r="N615" s="46"/>
      <c r="O615" s="46"/>
      <c r="P615" s="46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</row>
    <row r="616" spans="1:37" ht="33.75" customHeight="1" x14ac:dyDescent="0.5">
      <c r="A616" s="33"/>
      <c r="B616" s="33"/>
      <c r="C616" s="33"/>
      <c r="D616" s="46"/>
      <c r="E616" s="46"/>
      <c r="F616" s="46"/>
      <c r="G616" s="46"/>
      <c r="H616" s="46"/>
      <c r="I616" s="46"/>
      <c r="J616" s="46"/>
      <c r="K616" s="33"/>
      <c r="L616" s="33"/>
      <c r="M616" s="33"/>
      <c r="N616" s="46"/>
      <c r="O616" s="46"/>
      <c r="P616" s="46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</row>
    <row r="617" spans="1:37" ht="33.75" customHeight="1" x14ac:dyDescent="0.5">
      <c r="A617" s="33"/>
      <c r="B617" s="33"/>
      <c r="C617" s="33"/>
      <c r="D617" s="46"/>
      <c r="E617" s="46"/>
      <c r="F617" s="46"/>
      <c r="G617" s="46"/>
      <c r="H617" s="46"/>
      <c r="I617" s="46"/>
      <c r="J617" s="46"/>
      <c r="K617" s="33"/>
      <c r="L617" s="33"/>
      <c r="M617" s="33"/>
      <c r="N617" s="46"/>
      <c r="O617" s="46"/>
      <c r="P617" s="46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</row>
    <row r="618" spans="1:37" ht="33.75" customHeight="1" x14ac:dyDescent="0.5">
      <c r="A618" s="33"/>
      <c r="B618" s="33"/>
      <c r="C618" s="33"/>
      <c r="D618" s="46"/>
      <c r="E618" s="46"/>
      <c r="F618" s="46"/>
      <c r="G618" s="46"/>
      <c r="H618" s="46"/>
      <c r="I618" s="46"/>
      <c r="J618" s="46"/>
      <c r="K618" s="33"/>
      <c r="L618" s="33"/>
      <c r="M618" s="33"/>
      <c r="N618" s="46"/>
      <c r="O618" s="46"/>
      <c r="P618" s="46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</row>
    <row r="619" spans="1:37" ht="33.75" customHeight="1" x14ac:dyDescent="0.5">
      <c r="A619" s="33"/>
      <c r="B619" s="33"/>
      <c r="C619" s="33"/>
      <c r="D619" s="46"/>
      <c r="E619" s="46"/>
      <c r="F619" s="46"/>
      <c r="G619" s="46"/>
      <c r="H619" s="46"/>
      <c r="I619" s="46"/>
      <c r="J619" s="46"/>
      <c r="K619" s="33"/>
      <c r="L619" s="33"/>
      <c r="M619" s="33"/>
      <c r="N619" s="46"/>
      <c r="O619" s="46"/>
      <c r="P619" s="46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</row>
    <row r="620" spans="1:37" ht="33.75" customHeight="1" x14ac:dyDescent="0.5">
      <c r="A620" s="33"/>
      <c r="B620" s="33"/>
      <c r="C620" s="33"/>
      <c r="D620" s="46"/>
      <c r="E620" s="46"/>
      <c r="F620" s="46"/>
      <c r="G620" s="46"/>
      <c r="H620" s="46"/>
      <c r="I620" s="46"/>
      <c r="J620" s="46"/>
      <c r="K620" s="33"/>
      <c r="L620" s="33"/>
      <c r="M620" s="33"/>
      <c r="N620" s="46"/>
      <c r="O620" s="46"/>
      <c r="P620" s="46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</row>
    <row r="621" spans="1:37" ht="33.75" customHeight="1" x14ac:dyDescent="0.5">
      <c r="A621" s="33"/>
      <c r="B621" s="33"/>
      <c r="C621" s="33"/>
      <c r="D621" s="46"/>
      <c r="E621" s="46"/>
      <c r="F621" s="46"/>
      <c r="G621" s="46"/>
      <c r="H621" s="46"/>
      <c r="I621" s="46"/>
      <c r="J621" s="46"/>
      <c r="K621" s="33"/>
      <c r="L621" s="33"/>
      <c r="M621" s="33"/>
      <c r="N621" s="46"/>
      <c r="O621" s="46"/>
      <c r="P621" s="46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</row>
    <row r="622" spans="1:37" ht="33.75" customHeight="1" x14ac:dyDescent="0.5">
      <c r="A622" s="33"/>
      <c r="B622" s="33"/>
      <c r="C622" s="33"/>
      <c r="D622" s="46"/>
      <c r="E622" s="46"/>
      <c r="F622" s="46"/>
      <c r="G622" s="46"/>
      <c r="H622" s="46"/>
      <c r="I622" s="46"/>
      <c r="J622" s="46"/>
      <c r="K622" s="33"/>
      <c r="L622" s="33"/>
      <c r="M622" s="33"/>
      <c r="N622" s="46"/>
      <c r="O622" s="46"/>
      <c r="P622" s="46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</row>
    <row r="623" spans="1:37" ht="33.75" customHeight="1" x14ac:dyDescent="0.5">
      <c r="A623" s="33"/>
      <c r="B623" s="33"/>
      <c r="C623" s="33"/>
      <c r="D623" s="46"/>
      <c r="E623" s="46"/>
      <c r="F623" s="46"/>
      <c r="G623" s="46"/>
      <c r="H623" s="46"/>
      <c r="I623" s="46"/>
      <c r="J623" s="46"/>
      <c r="K623" s="33"/>
      <c r="L623" s="33"/>
      <c r="M623" s="33"/>
      <c r="N623" s="46"/>
      <c r="O623" s="46"/>
      <c r="P623" s="46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</row>
    <row r="624" spans="1:37" ht="33.75" customHeight="1" x14ac:dyDescent="0.5">
      <c r="A624" s="33"/>
      <c r="B624" s="33"/>
      <c r="C624" s="33"/>
      <c r="D624" s="46"/>
      <c r="E624" s="46"/>
      <c r="F624" s="46"/>
      <c r="G624" s="46"/>
      <c r="H624" s="46"/>
      <c r="I624" s="46"/>
      <c r="J624" s="46"/>
      <c r="K624" s="33"/>
      <c r="L624" s="33"/>
      <c r="M624" s="33"/>
      <c r="N624" s="46"/>
      <c r="O624" s="46"/>
      <c r="P624" s="46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</row>
    <row r="625" spans="1:37" ht="33.75" customHeight="1" x14ac:dyDescent="0.5">
      <c r="A625" s="33"/>
      <c r="B625" s="33"/>
      <c r="C625" s="33"/>
      <c r="D625" s="46"/>
      <c r="E625" s="46"/>
      <c r="F625" s="46"/>
      <c r="G625" s="46"/>
      <c r="H625" s="46"/>
      <c r="I625" s="46"/>
      <c r="J625" s="46"/>
      <c r="K625" s="33"/>
      <c r="L625" s="33"/>
      <c r="M625" s="33"/>
      <c r="N625" s="46"/>
      <c r="O625" s="46"/>
      <c r="P625" s="46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</row>
    <row r="626" spans="1:37" ht="33.75" customHeight="1" x14ac:dyDescent="0.5">
      <c r="A626" s="33"/>
      <c r="B626" s="33"/>
      <c r="C626" s="33"/>
      <c r="D626" s="46"/>
      <c r="E626" s="46"/>
      <c r="F626" s="46"/>
      <c r="G626" s="46"/>
      <c r="H626" s="46"/>
      <c r="I626" s="46"/>
      <c r="J626" s="46"/>
      <c r="K626" s="33"/>
      <c r="L626" s="33"/>
      <c r="M626" s="33"/>
      <c r="N626" s="46"/>
      <c r="O626" s="46"/>
      <c r="P626" s="46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spans="1:37" ht="33.75" customHeight="1" x14ac:dyDescent="0.5">
      <c r="A627" s="33"/>
      <c r="B627" s="33"/>
      <c r="C627" s="33"/>
      <c r="D627" s="46"/>
      <c r="E627" s="46"/>
      <c r="F627" s="46"/>
      <c r="G627" s="46"/>
      <c r="H627" s="46"/>
      <c r="I627" s="46"/>
      <c r="J627" s="46"/>
      <c r="K627" s="33"/>
      <c r="L627" s="33"/>
      <c r="M627" s="33"/>
      <c r="N627" s="46"/>
      <c r="O627" s="46"/>
      <c r="P627" s="46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</row>
    <row r="628" spans="1:37" ht="33.75" customHeight="1" x14ac:dyDescent="0.5">
      <c r="A628" s="33"/>
      <c r="B628" s="33"/>
      <c r="C628" s="33"/>
      <c r="D628" s="46"/>
      <c r="E628" s="46"/>
      <c r="F628" s="46"/>
      <c r="G628" s="46"/>
      <c r="H628" s="46"/>
      <c r="I628" s="46"/>
      <c r="J628" s="46"/>
      <c r="K628" s="33"/>
      <c r="L628" s="33"/>
      <c r="M628" s="33"/>
      <c r="N628" s="46"/>
      <c r="O628" s="46"/>
      <c r="P628" s="46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</row>
    <row r="629" spans="1:37" ht="33.75" customHeight="1" x14ac:dyDescent="0.5">
      <c r="A629" s="33"/>
      <c r="B629" s="33"/>
      <c r="C629" s="33"/>
      <c r="D629" s="46"/>
      <c r="E629" s="46"/>
      <c r="F629" s="46"/>
      <c r="G629" s="46"/>
      <c r="H629" s="46"/>
      <c r="I629" s="46"/>
      <c r="J629" s="46"/>
      <c r="K629" s="33"/>
      <c r="L629" s="33"/>
      <c r="M629" s="33"/>
      <c r="N629" s="46"/>
      <c r="O629" s="46"/>
      <c r="P629" s="46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</row>
    <row r="630" spans="1:37" ht="33.75" customHeight="1" x14ac:dyDescent="0.5">
      <c r="A630" s="33"/>
      <c r="B630" s="33"/>
      <c r="C630" s="33"/>
      <c r="D630" s="46"/>
      <c r="E630" s="46"/>
      <c r="F630" s="46"/>
      <c r="G630" s="46"/>
      <c r="H630" s="46"/>
      <c r="I630" s="46"/>
      <c r="J630" s="46"/>
      <c r="K630" s="33"/>
      <c r="L630" s="33"/>
      <c r="M630" s="33"/>
      <c r="N630" s="46"/>
      <c r="O630" s="46"/>
      <c r="P630" s="46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</row>
    <row r="631" spans="1:37" ht="33.75" customHeight="1" x14ac:dyDescent="0.5">
      <c r="A631" s="33"/>
      <c r="B631" s="33"/>
      <c r="C631" s="33"/>
      <c r="D631" s="46"/>
      <c r="E631" s="46"/>
      <c r="F631" s="46"/>
      <c r="G631" s="46"/>
      <c r="H631" s="46"/>
      <c r="I631" s="46"/>
      <c r="J631" s="46"/>
      <c r="K631" s="33"/>
      <c r="L631" s="33"/>
      <c r="M631" s="33"/>
      <c r="N631" s="46"/>
      <c r="O631" s="46"/>
      <c r="P631" s="46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</row>
    <row r="632" spans="1:37" ht="33.75" customHeight="1" x14ac:dyDescent="0.5">
      <c r="A632" s="33"/>
      <c r="B632" s="33"/>
      <c r="C632" s="33"/>
      <c r="D632" s="46"/>
      <c r="E632" s="46"/>
      <c r="F632" s="46"/>
      <c r="G632" s="46"/>
      <c r="H632" s="46"/>
      <c r="I632" s="46"/>
      <c r="J632" s="46"/>
      <c r="K632" s="33"/>
      <c r="L632" s="33"/>
      <c r="M632" s="33"/>
      <c r="N632" s="46"/>
      <c r="O632" s="46"/>
      <c r="P632" s="46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</row>
    <row r="633" spans="1:37" ht="33.75" customHeight="1" x14ac:dyDescent="0.5">
      <c r="A633" s="33"/>
      <c r="B633" s="33"/>
      <c r="C633" s="33"/>
      <c r="D633" s="46"/>
      <c r="E633" s="46"/>
      <c r="F633" s="46"/>
      <c r="G633" s="46"/>
      <c r="H633" s="46"/>
      <c r="I633" s="46"/>
      <c r="J633" s="46"/>
      <c r="K633" s="33"/>
      <c r="L633" s="33"/>
      <c r="M633" s="33"/>
      <c r="N633" s="46"/>
      <c r="O633" s="46"/>
      <c r="P633" s="46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</row>
    <row r="634" spans="1:37" ht="33.75" customHeight="1" x14ac:dyDescent="0.5">
      <c r="A634" s="33"/>
      <c r="B634" s="33"/>
      <c r="C634" s="33"/>
      <c r="D634" s="46"/>
      <c r="E634" s="46"/>
      <c r="F634" s="46"/>
      <c r="G634" s="46"/>
      <c r="H634" s="46"/>
      <c r="I634" s="46"/>
      <c r="J634" s="46"/>
      <c r="K634" s="33"/>
      <c r="L634" s="33"/>
      <c r="M634" s="33"/>
      <c r="N634" s="46"/>
      <c r="O634" s="46"/>
      <c r="P634" s="46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</row>
    <row r="635" spans="1:37" ht="33.75" customHeight="1" x14ac:dyDescent="0.5">
      <c r="A635" s="33"/>
      <c r="B635" s="33"/>
      <c r="C635" s="33"/>
      <c r="D635" s="46"/>
      <c r="E635" s="46"/>
      <c r="F635" s="46"/>
      <c r="G635" s="46"/>
      <c r="H635" s="46"/>
      <c r="I635" s="46"/>
      <c r="J635" s="46"/>
      <c r="K635" s="33"/>
      <c r="L635" s="33"/>
      <c r="M635" s="33"/>
      <c r="N635" s="46"/>
      <c r="O635" s="46"/>
      <c r="P635" s="46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</row>
    <row r="636" spans="1:37" ht="33.75" customHeight="1" x14ac:dyDescent="0.5">
      <c r="A636" s="33"/>
      <c r="B636" s="33"/>
      <c r="C636" s="33"/>
      <c r="D636" s="46"/>
      <c r="E636" s="46"/>
      <c r="F636" s="46"/>
      <c r="G636" s="46"/>
      <c r="H636" s="46"/>
      <c r="I636" s="46"/>
      <c r="J636" s="46"/>
      <c r="K636" s="33"/>
      <c r="L636" s="33"/>
      <c r="M636" s="33"/>
      <c r="N636" s="46"/>
      <c r="O636" s="46"/>
      <c r="P636" s="46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</row>
    <row r="637" spans="1:37" ht="33.75" customHeight="1" x14ac:dyDescent="0.5">
      <c r="A637" s="33"/>
      <c r="B637" s="33"/>
      <c r="C637" s="33"/>
      <c r="D637" s="46"/>
      <c r="E637" s="46"/>
      <c r="F637" s="46"/>
      <c r="G637" s="46"/>
      <c r="H637" s="46"/>
      <c r="I637" s="46"/>
      <c r="J637" s="46"/>
      <c r="K637" s="33"/>
      <c r="L637" s="33"/>
      <c r="M637" s="33"/>
      <c r="N637" s="46"/>
      <c r="O637" s="46"/>
      <c r="P637" s="46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</row>
    <row r="638" spans="1:37" ht="33.75" customHeight="1" x14ac:dyDescent="0.5">
      <c r="A638" s="33"/>
      <c r="B638" s="33"/>
      <c r="C638" s="33"/>
      <c r="D638" s="46"/>
      <c r="E638" s="46"/>
      <c r="F638" s="46"/>
      <c r="G638" s="46"/>
      <c r="H638" s="46"/>
      <c r="I638" s="46"/>
      <c r="J638" s="46"/>
      <c r="K638" s="33"/>
      <c r="L638" s="33"/>
      <c r="M638" s="33"/>
      <c r="N638" s="46"/>
      <c r="O638" s="46"/>
      <c r="P638" s="46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</row>
    <row r="639" spans="1:37" ht="33.75" customHeight="1" x14ac:dyDescent="0.5">
      <c r="A639" s="33"/>
      <c r="B639" s="33"/>
      <c r="C639" s="33"/>
      <c r="D639" s="46"/>
      <c r="E639" s="46"/>
      <c r="F639" s="46"/>
      <c r="G639" s="46"/>
      <c r="H639" s="46"/>
      <c r="I639" s="46"/>
      <c r="J639" s="46"/>
      <c r="K639" s="33"/>
      <c r="L639" s="33"/>
      <c r="M639" s="33"/>
      <c r="N639" s="46"/>
      <c r="O639" s="46"/>
      <c r="P639" s="46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</row>
    <row r="640" spans="1:37" ht="33.75" customHeight="1" x14ac:dyDescent="0.5">
      <c r="A640" s="33"/>
      <c r="B640" s="33"/>
      <c r="C640" s="33"/>
      <c r="D640" s="46"/>
      <c r="E640" s="46"/>
      <c r="F640" s="46"/>
      <c r="G640" s="46"/>
      <c r="H640" s="46"/>
      <c r="I640" s="46"/>
      <c r="J640" s="46"/>
      <c r="K640" s="33"/>
      <c r="L640" s="33"/>
      <c r="M640" s="33"/>
      <c r="N640" s="46"/>
      <c r="O640" s="46"/>
      <c r="P640" s="46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</row>
    <row r="641" spans="1:37" ht="33.75" customHeight="1" x14ac:dyDescent="0.5">
      <c r="A641" s="33"/>
      <c r="B641" s="33"/>
      <c r="C641" s="33"/>
      <c r="D641" s="46"/>
      <c r="E641" s="46"/>
      <c r="F641" s="46"/>
      <c r="G641" s="46"/>
      <c r="H641" s="46"/>
      <c r="I641" s="46"/>
      <c r="J641" s="46"/>
      <c r="K641" s="33"/>
      <c r="L641" s="33"/>
      <c r="M641" s="33"/>
      <c r="N641" s="46"/>
      <c r="O641" s="46"/>
      <c r="P641" s="46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</row>
    <row r="642" spans="1:37" ht="33.75" customHeight="1" x14ac:dyDescent="0.5">
      <c r="A642" s="33"/>
      <c r="B642" s="33"/>
      <c r="C642" s="33"/>
      <c r="D642" s="46"/>
      <c r="E642" s="46"/>
      <c r="F642" s="46"/>
      <c r="G642" s="46"/>
      <c r="H642" s="46"/>
      <c r="I642" s="46"/>
      <c r="J642" s="46"/>
      <c r="K642" s="33"/>
      <c r="L642" s="33"/>
      <c r="M642" s="33"/>
      <c r="N642" s="46"/>
      <c r="O642" s="46"/>
      <c r="P642" s="46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</row>
    <row r="643" spans="1:37" ht="33.75" customHeight="1" x14ac:dyDescent="0.5">
      <c r="A643" s="33"/>
      <c r="B643" s="33"/>
      <c r="C643" s="33"/>
      <c r="D643" s="46"/>
      <c r="E643" s="46"/>
      <c r="F643" s="46"/>
      <c r="G643" s="46"/>
      <c r="H643" s="46"/>
      <c r="I643" s="46"/>
      <c r="J643" s="46"/>
      <c r="K643" s="33"/>
      <c r="L643" s="33"/>
      <c r="M643" s="33"/>
      <c r="N643" s="46"/>
      <c r="O643" s="46"/>
      <c r="P643" s="46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4" spans="1:37" ht="33.75" customHeight="1" x14ac:dyDescent="0.5">
      <c r="A644" s="33"/>
      <c r="B644" s="33"/>
      <c r="C644" s="33"/>
      <c r="D644" s="46"/>
      <c r="E644" s="46"/>
      <c r="F644" s="46"/>
      <c r="G644" s="46"/>
      <c r="H644" s="46"/>
      <c r="I644" s="46"/>
      <c r="J644" s="46"/>
      <c r="K644" s="33"/>
      <c r="L644" s="33"/>
      <c r="M644" s="33"/>
      <c r="N644" s="46"/>
      <c r="O644" s="46"/>
      <c r="P644" s="46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</row>
    <row r="645" spans="1:37" ht="33.75" customHeight="1" x14ac:dyDescent="0.5">
      <c r="A645" s="33"/>
      <c r="B645" s="33"/>
      <c r="C645" s="33"/>
      <c r="D645" s="46"/>
      <c r="E645" s="46"/>
      <c r="F645" s="46"/>
      <c r="G645" s="46"/>
      <c r="H645" s="46"/>
      <c r="I645" s="46"/>
      <c r="J645" s="46"/>
      <c r="K645" s="33"/>
      <c r="L645" s="33"/>
      <c r="M645" s="33"/>
      <c r="N645" s="46"/>
      <c r="O645" s="46"/>
      <c r="P645" s="46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</row>
    <row r="646" spans="1:37" ht="33.75" customHeight="1" x14ac:dyDescent="0.5">
      <c r="A646" s="33"/>
      <c r="B646" s="33"/>
      <c r="C646" s="33"/>
      <c r="D646" s="46"/>
      <c r="E646" s="46"/>
      <c r="F646" s="46"/>
      <c r="G646" s="46"/>
      <c r="H646" s="46"/>
      <c r="I646" s="46"/>
      <c r="J646" s="46"/>
      <c r="K646" s="33"/>
      <c r="L646" s="33"/>
      <c r="M646" s="33"/>
      <c r="N646" s="46"/>
      <c r="O646" s="46"/>
      <c r="P646" s="46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</row>
    <row r="647" spans="1:37" ht="33.75" customHeight="1" x14ac:dyDescent="0.5">
      <c r="A647" s="33"/>
      <c r="B647" s="33"/>
      <c r="C647" s="33"/>
      <c r="D647" s="46"/>
      <c r="E647" s="46"/>
      <c r="F647" s="46"/>
      <c r="G647" s="46"/>
      <c r="H647" s="46"/>
      <c r="I647" s="46"/>
      <c r="J647" s="46"/>
      <c r="K647" s="33"/>
      <c r="L647" s="33"/>
      <c r="M647" s="33"/>
      <c r="N647" s="46"/>
      <c r="O647" s="46"/>
      <c r="P647" s="46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</row>
    <row r="648" spans="1:37" ht="33.75" customHeight="1" x14ac:dyDescent="0.5">
      <c r="A648" s="33"/>
      <c r="B648" s="33"/>
      <c r="C648" s="33"/>
      <c r="D648" s="46"/>
      <c r="E648" s="46"/>
      <c r="F648" s="46"/>
      <c r="G648" s="46"/>
      <c r="H648" s="46"/>
      <c r="I648" s="46"/>
      <c r="J648" s="46"/>
      <c r="K648" s="33"/>
      <c r="L648" s="33"/>
      <c r="M648" s="33"/>
      <c r="N648" s="46"/>
      <c r="O648" s="46"/>
      <c r="P648" s="46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</row>
    <row r="649" spans="1:37" ht="33.75" customHeight="1" x14ac:dyDescent="0.5">
      <c r="A649" s="33"/>
      <c r="B649" s="33"/>
      <c r="C649" s="33"/>
      <c r="D649" s="46"/>
      <c r="E649" s="46"/>
      <c r="F649" s="46"/>
      <c r="G649" s="46"/>
      <c r="H649" s="46"/>
      <c r="I649" s="46"/>
      <c r="J649" s="46"/>
      <c r="K649" s="33"/>
      <c r="L649" s="33"/>
      <c r="M649" s="33"/>
      <c r="N649" s="46"/>
      <c r="O649" s="46"/>
      <c r="P649" s="46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</row>
    <row r="650" spans="1:37" ht="33.75" customHeight="1" x14ac:dyDescent="0.5">
      <c r="A650" s="33"/>
      <c r="B650" s="33"/>
      <c r="C650" s="33"/>
      <c r="D650" s="46"/>
      <c r="E650" s="46"/>
      <c r="F650" s="46"/>
      <c r="G650" s="46"/>
      <c r="H650" s="46"/>
      <c r="I650" s="46"/>
      <c r="J650" s="46"/>
      <c r="K650" s="33"/>
      <c r="L650" s="33"/>
      <c r="M650" s="33"/>
      <c r="N650" s="46"/>
      <c r="O650" s="46"/>
      <c r="P650" s="46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</row>
    <row r="651" spans="1:37" ht="33.75" customHeight="1" x14ac:dyDescent="0.5">
      <c r="A651" s="33"/>
      <c r="B651" s="33"/>
      <c r="C651" s="33"/>
      <c r="D651" s="46"/>
      <c r="E651" s="46"/>
      <c r="F651" s="46"/>
      <c r="G651" s="46"/>
      <c r="H651" s="46"/>
      <c r="I651" s="46"/>
      <c r="J651" s="46"/>
      <c r="K651" s="33"/>
      <c r="L651" s="33"/>
      <c r="M651" s="33"/>
      <c r="N651" s="46"/>
      <c r="O651" s="46"/>
      <c r="P651" s="46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</row>
    <row r="652" spans="1:37" ht="33.75" customHeight="1" x14ac:dyDescent="0.5">
      <c r="A652" s="33"/>
      <c r="B652" s="33"/>
      <c r="C652" s="33"/>
      <c r="D652" s="46"/>
      <c r="E652" s="46"/>
      <c r="F652" s="46"/>
      <c r="G652" s="46"/>
      <c r="H652" s="46"/>
      <c r="I652" s="46"/>
      <c r="J652" s="46"/>
      <c r="K652" s="33"/>
      <c r="L652" s="33"/>
      <c r="M652" s="33"/>
      <c r="N652" s="46"/>
      <c r="O652" s="46"/>
      <c r="P652" s="46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</row>
    <row r="653" spans="1:37" ht="33.75" customHeight="1" x14ac:dyDescent="0.5">
      <c r="A653" s="33"/>
      <c r="B653" s="33"/>
      <c r="C653" s="33"/>
      <c r="D653" s="46"/>
      <c r="E653" s="46"/>
      <c r="F653" s="46"/>
      <c r="G653" s="46"/>
      <c r="H653" s="46"/>
      <c r="I653" s="46"/>
      <c r="J653" s="46"/>
      <c r="K653" s="33"/>
      <c r="L653" s="33"/>
      <c r="M653" s="33"/>
      <c r="N653" s="46"/>
      <c r="O653" s="46"/>
      <c r="P653" s="46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</row>
    <row r="654" spans="1:37" ht="33.75" customHeight="1" x14ac:dyDescent="0.5">
      <c r="A654" s="33"/>
      <c r="B654" s="33"/>
      <c r="C654" s="33"/>
      <c r="D654" s="46"/>
      <c r="E654" s="46"/>
      <c r="F654" s="46"/>
      <c r="G654" s="46"/>
      <c r="H654" s="46"/>
      <c r="I654" s="46"/>
      <c r="J654" s="46"/>
      <c r="K654" s="33"/>
      <c r="L654" s="33"/>
      <c r="M654" s="33"/>
      <c r="N654" s="46"/>
      <c r="O654" s="46"/>
      <c r="P654" s="46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</row>
    <row r="655" spans="1:37" ht="33.75" customHeight="1" x14ac:dyDescent="0.5">
      <c r="A655" s="33"/>
      <c r="B655" s="33"/>
      <c r="C655" s="33"/>
      <c r="D655" s="46"/>
      <c r="E655" s="46"/>
      <c r="F655" s="46"/>
      <c r="G655" s="46"/>
      <c r="H655" s="46"/>
      <c r="I655" s="46"/>
      <c r="J655" s="46"/>
      <c r="K655" s="33"/>
      <c r="L655" s="33"/>
      <c r="M655" s="33"/>
      <c r="N655" s="46"/>
      <c r="O655" s="46"/>
      <c r="P655" s="46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</row>
    <row r="656" spans="1:37" ht="33.75" customHeight="1" x14ac:dyDescent="0.5">
      <c r="A656" s="33"/>
      <c r="B656" s="33"/>
      <c r="C656" s="33"/>
      <c r="D656" s="46"/>
      <c r="E656" s="46"/>
      <c r="F656" s="46"/>
      <c r="G656" s="46"/>
      <c r="H656" s="46"/>
      <c r="I656" s="46"/>
      <c r="J656" s="46"/>
      <c r="K656" s="33"/>
      <c r="L656" s="33"/>
      <c r="M656" s="33"/>
      <c r="N656" s="46"/>
      <c r="O656" s="46"/>
      <c r="P656" s="46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</row>
    <row r="657" spans="1:37" ht="33.75" customHeight="1" x14ac:dyDescent="0.5">
      <c r="A657" s="33"/>
      <c r="B657" s="33"/>
      <c r="C657" s="33"/>
      <c r="D657" s="46"/>
      <c r="E657" s="46"/>
      <c r="F657" s="46"/>
      <c r="G657" s="46"/>
      <c r="H657" s="46"/>
      <c r="I657" s="46"/>
      <c r="J657" s="46"/>
      <c r="K657" s="33"/>
      <c r="L657" s="33"/>
      <c r="M657" s="33"/>
      <c r="N657" s="46"/>
      <c r="O657" s="46"/>
      <c r="P657" s="46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</row>
    <row r="658" spans="1:37" ht="33.75" customHeight="1" x14ac:dyDescent="0.5">
      <c r="A658" s="33"/>
      <c r="B658" s="33"/>
      <c r="C658" s="33"/>
      <c r="D658" s="46"/>
      <c r="E658" s="46"/>
      <c r="F658" s="46"/>
      <c r="G658" s="46"/>
      <c r="H658" s="46"/>
      <c r="I658" s="46"/>
      <c r="J658" s="46"/>
      <c r="K658" s="33"/>
      <c r="L658" s="33"/>
      <c r="M658" s="33"/>
      <c r="N658" s="46"/>
      <c r="O658" s="46"/>
      <c r="P658" s="46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</row>
    <row r="659" spans="1:37" ht="33.75" customHeight="1" x14ac:dyDescent="0.5">
      <c r="A659" s="33"/>
      <c r="B659" s="33"/>
      <c r="C659" s="33"/>
      <c r="D659" s="46"/>
      <c r="E659" s="46"/>
      <c r="F659" s="46"/>
      <c r="G659" s="46"/>
      <c r="H659" s="46"/>
      <c r="I659" s="46"/>
      <c r="J659" s="46"/>
      <c r="K659" s="33"/>
      <c r="L659" s="33"/>
      <c r="M659" s="33"/>
      <c r="N659" s="46"/>
      <c r="O659" s="46"/>
      <c r="P659" s="46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</row>
    <row r="660" spans="1:37" ht="33.75" customHeight="1" x14ac:dyDescent="0.5">
      <c r="A660" s="33"/>
      <c r="B660" s="33"/>
      <c r="C660" s="33"/>
      <c r="D660" s="46"/>
      <c r="E660" s="46"/>
      <c r="F660" s="46"/>
      <c r="G660" s="46"/>
      <c r="H660" s="46"/>
      <c r="I660" s="46"/>
      <c r="J660" s="46"/>
      <c r="K660" s="33"/>
      <c r="L660" s="33"/>
      <c r="M660" s="33"/>
      <c r="N660" s="46"/>
      <c r="O660" s="46"/>
      <c r="P660" s="46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</row>
    <row r="661" spans="1:37" ht="33.75" customHeight="1" x14ac:dyDescent="0.5">
      <c r="A661" s="33"/>
      <c r="B661" s="33"/>
      <c r="C661" s="33"/>
      <c r="D661" s="46"/>
      <c r="E661" s="46"/>
      <c r="F661" s="46"/>
      <c r="G661" s="46"/>
      <c r="H661" s="46"/>
      <c r="I661" s="46"/>
      <c r="J661" s="46"/>
      <c r="K661" s="33"/>
      <c r="L661" s="33"/>
      <c r="M661" s="33"/>
      <c r="N661" s="46"/>
      <c r="O661" s="46"/>
      <c r="P661" s="46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</row>
    <row r="662" spans="1:37" ht="33.75" customHeight="1" x14ac:dyDescent="0.5">
      <c r="A662" s="33"/>
      <c r="B662" s="33"/>
      <c r="C662" s="33"/>
      <c r="D662" s="46"/>
      <c r="E662" s="46"/>
      <c r="F662" s="46"/>
      <c r="G662" s="46"/>
      <c r="H662" s="46"/>
      <c r="I662" s="46"/>
      <c r="J662" s="46"/>
      <c r="K662" s="33"/>
      <c r="L662" s="33"/>
      <c r="M662" s="33"/>
      <c r="N662" s="46"/>
      <c r="O662" s="46"/>
      <c r="P662" s="46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</row>
    <row r="663" spans="1:37" ht="33.75" customHeight="1" x14ac:dyDescent="0.5">
      <c r="A663" s="33"/>
      <c r="B663" s="33"/>
      <c r="C663" s="33"/>
      <c r="D663" s="46"/>
      <c r="E663" s="46"/>
      <c r="F663" s="46"/>
      <c r="G663" s="46"/>
      <c r="H663" s="46"/>
      <c r="I663" s="46"/>
      <c r="J663" s="46"/>
      <c r="K663" s="33"/>
      <c r="L663" s="33"/>
      <c r="M663" s="33"/>
      <c r="N663" s="46"/>
      <c r="O663" s="46"/>
      <c r="P663" s="46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</row>
    <row r="664" spans="1:37" ht="33.75" customHeight="1" x14ac:dyDescent="0.5">
      <c r="A664" s="33"/>
      <c r="B664" s="33"/>
      <c r="C664" s="33"/>
      <c r="D664" s="46"/>
      <c r="E664" s="46"/>
      <c r="F664" s="46"/>
      <c r="G664" s="46"/>
      <c r="H664" s="46"/>
      <c r="I664" s="46"/>
      <c r="J664" s="46"/>
      <c r="K664" s="33"/>
      <c r="L664" s="33"/>
      <c r="M664" s="33"/>
      <c r="N664" s="46"/>
      <c r="O664" s="46"/>
      <c r="P664" s="46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</row>
    <row r="665" spans="1:37" ht="33.75" customHeight="1" x14ac:dyDescent="0.5">
      <c r="A665" s="33"/>
      <c r="B665" s="33"/>
      <c r="C665" s="33"/>
      <c r="D665" s="46"/>
      <c r="E665" s="46"/>
      <c r="F665" s="46"/>
      <c r="G665" s="46"/>
      <c r="H665" s="46"/>
      <c r="I665" s="46"/>
      <c r="J665" s="46"/>
      <c r="K665" s="33"/>
      <c r="L665" s="33"/>
      <c r="M665" s="33"/>
      <c r="N665" s="46"/>
      <c r="O665" s="46"/>
      <c r="P665" s="46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</row>
    <row r="666" spans="1:37" ht="33.75" customHeight="1" x14ac:dyDescent="0.5">
      <c r="A666" s="33"/>
      <c r="B666" s="33"/>
      <c r="C666" s="33"/>
      <c r="D666" s="46"/>
      <c r="E666" s="46"/>
      <c r="F666" s="46"/>
      <c r="G666" s="46"/>
      <c r="H666" s="46"/>
      <c r="I666" s="46"/>
      <c r="J666" s="46"/>
      <c r="K666" s="33"/>
      <c r="L666" s="33"/>
      <c r="M666" s="33"/>
      <c r="N666" s="46"/>
      <c r="O666" s="46"/>
      <c r="P666" s="46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</row>
    <row r="667" spans="1:37" ht="33.75" customHeight="1" x14ac:dyDescent="0.5">
      <c r="A667" s="33"/>
      <c r="B667" s="33"/>
      <c r="C667" s="33"/>
      <c r="D667" s="46"/>
      <c r="E667" s="46"/>
      <c r="F667" s="46"/>
      <c r="G667" s="46"/>
      <c r="H667" s="46"/>
      <c r="I667" s="46"/>
      <c r="J667" s="46"/>
      <c r="K667" s="33"/>
      <c r="L667" s="33"/>
      <c r="M667" s="33"/>
      <c r="N667" s="46"/>
      <c r="O667" s="46"/>
      <c r="P667" s="46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</row>
    <row r="668" spans="1:37" ht="33.75" customHeight="1" x14ac:dyDescent="0.5">
      <c r="A668" s="33"/>
      <c r="B668" s="33"/>
      <c r="C668" s="33"/>
      <c r="D668" s="46"/>
      <c r="E668" s="46"/>
      <c r="F668" s="46"/>
      <c r="G668" s="46"/>
      <c r="H668" s="46"/>
      <c r="I668" s="46"/>
      <c r="J668" s="46"/>
      <c r="K668" s="33"/>
      <c r="L668" s="33"/>
      <c r="M668" s="33"/>
      <c r="N668" s="46"/>
      <c r="O668" s="46"/>
      <c r="P668" s="46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spans="1:37" ht="33.75" customHeight="1" x14ac:dyDescent="0.5">
      <c r="A669" s="33"/>
      <c r="B669" s="33"/>
      <c r="C669" s="33"/>
      <c r="D669" s="46"/>
      <c r="E669" s="46"/>
      <c r="F669" s="46"/>
      <c r="G669" s="46"/>
      <c r="H669" s="46"/>
      <c r="I669" s="46"/>
      <c r="J669" s="46"/>
      <c r="K669" s="33"/>
      <c r="L669" s="33"/>
      <c r="M669" s="33"/>
      <c r="N669" s="46"/>
      <c r="O669" s="46"/>
      <c r="P669" s="46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spans="1:37" ht="33.75" customHeight="1" x14ac:dyDescent="0.5">
      <c r="A670" s="33"/>
      <c r="B670" s="33"/>
      <c r="C670" s="33"/>
      <c r="D670" s="46"/>
      <c r="E670" s="46"/>
      <c r="F670" s="46"/>
      <c r="G670" s="46"/>
      <c r="H670" s="46"/>
      <c r="I670" s="46"/>
      <c r="J670" s="46"/>
      <c r="K670" s="33"/>
      <c r="L670" s="33"/>
      <c r="M670" s="33"/>
      <c r="N670" s="46"/>
      <c r="O670" s="46"/>
      <c r="P670" s="46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spans="1:37" ht="33.75" customHeight="1" x14ac:dyDescent="0.5">
      <c r="A671" s="33"/>
      <c r="B671" s="33"/>
      <c r="C671" s="33"/>
      <c r="D671" s="46"/>
      <c r="E671" s="46"/>
      <c r="F671" s="46"/>
      <c r="G671" s="46"/>
      <c r="H671" s="46"/>
      <c r="I671" s="46"/>
      <c r="J671" s="46"/>
      <c r="K671" s="33"/>
      <c r="L671" s="33"/>
      <c r="M671" s="33"/>
      <c r="N671" s="46"/>
      <c r="O671" s="46"/>
      <c r="P671" s="46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</row>
    <row r="672" spans="1:37" ht="33.75" customHeight="1" x14ac:dyDescent="0.5">
      <c r="A672" s="33"/>
      <c r="B672" s="33"/>
      <c r="C672" s="33"/>
      <c r="D672" s="46"/>
      <c r="E672" s="46"/>
      <c r="F672" s="46"/>
      <c r="G672" s="46"/>
      <c r="H672" s="46"/>
      <c r="I672" s="46"/>
      <c r="J672" s="46"/>
      <c r="K672" s="33"/>
      <c r="L672" s="33"/>
      <c r="M672" s="33"/>
      <c r="N672" s="46"/>
      <c r="O672" s="46"/>
      <c r="P672" s="46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</row>
    <row r="673" spans="1:37" ht="33.75" customHeight="1" x14ac:dyDescent="0.5">
      <c r="A673" s="33"/>
      <c r="B673" s="33"/>
      <c r="C673" s="33"/>
      <c r="D673" s="46"/>
      <c r="E673" s="46"/>
      <c r="F673" s="46"/>
      <c r="G673" s="46"/>
      <c r="H673" s="46"/>
      <c r="I673" s="46"/>
      <c r="J673" s="46"/>
      <c r="K673" s="33"/>
      <c r="L673" s="33"/>
      <c r="M673" s="33"/>
      <c r="N673" s="46"/>
      <c r="O673" s="46"/>
      <c r="P673" s="46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</row>
    <row r="674" spans="1:37" ht="33.75" customHeight="1" x14ac:dyDescent="0.5">
      <c r="A674" s="33"/>
      <c r="B674" s="33"/>
      <c r="C674" s="33"/>
      <c r="D674" s="46"/>
      <c r="E674" s="46"/>
      <c r="F674" s="46"/>
      <c r="G674" s="46"/>
      <c r="H674" s="46"/>
      <c r="I674" s="46"/>
      <c r="J674" s="46"/>
      <c r="K674" s="33"/>
      <c r="L674" s="33"/>
      <c r="M674" s="33"/>
      <c r="N674" s="46"/>
      <c r="O674" s="46"/>
      <c r="P674" s="46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</row>
    <row r="675" spans="1:37" ht="33.75" customHeight="1" x14ac:dyDescent="0.5">
      <c r="A675" s="33"/>
      <c r="B675" s="33"/>
      <c r="C675" s="33"/>
      <c r="D675" s="46"/>
      <c r="E675" s="46"/>
      <c r="F675" s="46"/>
      <c r="G675" s="46"/>
      <c r="H675" s="46"/>
      <c r="I675" s="46"/>
      <c r="J675" s="46"/>
      <c r="K675" s="33"/>
      <c r="L675" s="33"/>
      <c r="M675" s="33"/>
      <c r="N675" s="46"/>
      <c r="O675" s="46"/>
      <c r="P675" s="46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</row>
    <row r="676" spans="1:37" ht="33.75" customHeight="1" x14ac:dyDescent="0.5">
      <c r="A676" s="33"/>
      <c r="B676" s="33"/>
      <c r="C676" s="33"/>
      <c r="D676" s="46"/>
      <c r="E676" s="46"/>
      <c r="F676" s="46"/>
      <c r="G676" s="46"/>
      <c r="H676" s="46"/>
      <c r="I676" s="46"/>
      <c r="J676" s="46"/>
      <c r="K676" s="33"/>
      <c r="L676" s="33"/>
      <c r="M676" s="33"/>
      <c r="N676" s="46"/>
      <c r="O676" s="46"/>
      <c r="P676" s="46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</row>
    <row r="677" spans="1:37" ht="33.75" customHeight="1" x14ac:dyDescent="0.5">
      <c r="A677" s="33"/>
      <c r="B677" s="33"/>
      <c r="C677" s="33"/>
      <c r="D677" s="46"/>
      <c r="E677" s="46"/>
      <c r="F677" s="46"/>
      <c r="G677" s="46"/>
      <c r="H677" s="46"/>
      <c r="I677" s="46"/>
      <c r="J677" s="46"/>
      <c r="K677" s="33"/>
      <c r="L677" s="33"/>
      <c r="M677" s="33"/>
      <c r="N677" s="46"/>
      <c r="O677" s="46"/>
      <c r="P677" s="46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</row>
    <row r="678" spans="1:37" ht="33.75" customHeight="1" x14ac:dyDescent="0.5">
      <c r="A678" s="33"/>
      <c r="B678" s="33"/>
      <c r="C678" s="33"/>
      <c r="D678" s="46"/>
      <c r="E678" s="46"/>
      <c r="F678" s="46"/>
      <c r="G678" s="46"/>
      <c r="H678" s="46"/>
      <c r="I678" s="46"/>
      <c r="J678" s="46"/>
      <c r="K678" s="33"/>
      <c r="L678" s="33"/>
      <c r="M678" s="33"/>
      <c r="N678" s="46"/>
      <c r="O678" s="46"/>
      <c r="P678" s="46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spans="1:37" ht="33.75" customHeight="1" x14ac:dyDescent="0.5">
      <c r="A679" s="33"/>
      <c r="B679" s="33"/>
      <c r="C679" s="33"/>
      <c r="D679" s="46"/>
      <c r="E679" s="46"/>
      <c r="F679" s="46"/>
      <c r="G679" s="46"/>
      <c r="H679" s="46"/>
      <c r="I679" s="46"/>
      <c r="J679" s="46"/>
      <c r="K679" s="33"/>
      <c r="L679" s="33"/>
      <c r="M679" s="33"/>
      <c r="N679" s="46"/>
      <c r="O679" s="46"/>
      <c r="P679" s="46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spans="1:37" ht="33.75" customHeight="1" x14ac:dyDescent="0.5">
      <c r="A680" s="33"/>
      <c r="B680" s="33"/>
      <c r="C680" s="33"/>
      <c r="D680" s="46"/>
      <c r="E680" s="46"/>
      <c r="F680" s="46"/>
      <c r="G680" s="46"/>
      <c r="H680" s="46"/>
      <c r="I680" s="46"/>
      <c r="J680" s="46"/>
      <c r="K680" s="33"/>
      <c r="L680" s="33"/>
      <c r="M680" s="33"/>
      <c r="N680" s="46"/>
      <c r="O680" s="46"/>
      <c r="P680" s="46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spans="1:37" ht="33.75" customHeight="1" x14ac:dyDescent="0.5">
      <c r="A681" s="33"/>
      <c r="B681" s="33"/>
      <c r="C681" s="33"/>
      <c r="D681" s="46"/>
      <c r="E681" s="46"/>
      <c r="F681" s="46"/>
      <c r="G681" s="46"/>
      <c r="H681" s="46"/>
      <c r="I681" s="46"/>
      <c r="J681" s="46"/>
      <c r="K681" s="33"/>
      <c r="L681" s="33"/>
      <c r="M681" s="33"/>
      <c r="N681" s="46"/>
      <c r="O681" s="46"/>
      <c r="P681" s="46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spans="1:37" ht="33.75" customHeight="1" x14ac:dyDescent="0.5">
      <c r="A682" s="33"/>
      <c r="B682" s="33"/>
      <c r="C682" s="33"/>
      <c r="D682" s="46"/>
      <c r="E682" s="46"/>
      <c r="F682" s="46"/>
      <c r="G682" s="46"/>
      <c r="H682" s="46"/>
      <c r="I682" s="46"/>
      <c r="J682" s="46"/>
      <c r="K682" s="33"/>
      <c r="L682" s="33"/>
      <c r="M682" s="33"/>
      <c r="N682" s="46"/>
      <c r="O682" s="46"/>
      <c r="P682" s="46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spans="1:37" ht="33.75" customHeight="1" x14ac:dyDescent="0.5">
      <c r="A683" s="33"/>
      <c r="B683" s="33"/>
      <c r="C683" s="33"/>
      <c r="D683" s="46"/>
      <c r="E683" s="46"/>
      <c r="F683" s="46"/>
      <c r="G683" s="46"/>
      <c r="H683" s="46"/>
      <c r="I683" s="46"/>
      <c r="J683" s="46"/>
      <c r="K683" s="33"/>
      <c r="L683" s="33"/>
      <c r="M683" s="33"/>
      <c r="N683" s="46"/>
      <c r="O683" s="46"/>
      <c r="P683" s="46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spans="1:37" ht="33.75" customHeight="1" x14ac:dyDescent="0.5">
      <c r="A684" s="33"/>
      <c r="B684" s="33"/>
      <c r="C684" s="33"/>
      <c r="D684" s="46"/>
      <c r="E684" s="46"/>
      <c r="F684" s="46"/>
      <c r="G684" s="46"/>
      <c r="H684" s="46"/>
      <c r="I684" s="46"/>
      <c r="J684" s="46"/>
      <c r="K684" s="33"/>
      <c r="L684" s="33"/>
      <c r="M684" s="33"/>
      <c r="N684" s="46"/>
      <c r="O684" s="46"/>
      <c r="P684" s="46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spans="1:37" ht="33.75" customHeight="1" x14ac:dyDescent="0.5">
      <c r="A685" s="33"/>
      <c r="B685" s="33"/>
      <c r="C685" s="33"/>
      <c r="D685" s="46"/>
      <c r="E685" s="46"/>
      <c r="F685" s="46"/>
      <c r="G685" s="46"/>
      <c r="H685" s="46"/>
      <c r="I685" s="46"/>
      <c r="J685" s="46"/>
      <c r="K685" s="33"/>
      <c r="L685" s="33"/>
      <c r="M685" s="33"/>
      <c r="N685" s="46"/>
      <c r="O685" s="46"/>
      <c r="P685" s="46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spans="1:37" ht="33.75" customHeight="1" x14ac:dyDescent="0.5">
      <c r="A686" s="33"/>
      <c r="B686" s="33"/>
      <c r="C686" s="33"/>
      <c r="D686" s="46"/>
      <c r="E686" s="46"/>
      <c r="F686" s="46"/>
      <c r="G686" s="46"/>
      <c r="H686" s="46"/>
      <c r="I686" s="46"/>
      <c r="J686" s="46"/>
      <c r="K686" s="33"/>
      <c r="L686" s="33"/>
      <c r="M686" s="33"/>
      <c r="N686" s="46"/>
      <c r="O686" s="46"/>
      <c r="P686" s="46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spans="1:37" ht="33.75" customHeight="1" x14ac:dyDescent="0.5">
      <c r="A687" s="33"/>
      <c r="B687" s="33"/>
      <c r="C687" s="33"/>
      <c r="D687" s="46"/>
      <c r="E687" s="46"/>
      <c r="F687" s="46"/>
      <c r="G687" s="46"/>
      <c r="H687" s="46"/>
      <c r="I687" s="46"/>
      <c r="J687" s="46"/>
      <c r="K687" s="33"/>
      <c r="L687" s="33"/>
      <c r="M687" s="33"/>
      <c r="N687" s="46"/>
      <c r="O687" s="46"/>
      <c r="P687" s="46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spans="1:37" ht="33.75" customHeight="1" x14ac:dyDescent="0.5">
      <c r="A688" s="33"/>
      <c r="B688" s="33"/>
      <c r="C688" s="33"/>
      <c r="D688" s="46"/>
      <c r="E688" s="46"/>
      <c r="F688" s="46"/>
      <c r="G688" s="46"/>
      <c r="H688" s="46"/>
      <c r="I688" s="46"/>
      <c r="J688" s="46"/>
      <c r="K688" s="33"/>
      <c r="L688" s="33"/>
      <c r="M688" s="33"/>
      <c r="N688" s="46"/>
      <c r="O688" s="46"/>
      <c r="P688" s="46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spans="1:37" ht="33.75" customHeight="1" x14ac:dyDescent="0.5">
      <c r="A689" s="33"/>
      <c r="B689" s="33"/>
      <c r="C689" s="33"/>
      <c r="D689" s="46"/>
      <c r="E689" s="46"/>
      <c r="F689" s="46"/>
      <c r="G689" s="46"/>
      <c r="H689" s="46"/>
      <c r="I689" s="46"/>
      <c r="J689" s="46"/>
      <c r="K689" s="33"/>
      <c r="L689" s="33"/>
      <c r="M689" s="33"/>
      <c r="N689" s="46"/>
      <c r="O689" s="46"/>
      <c r="P689" s="46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spans="1:37" ht="33.75" customHeight="1" x14ac:dyDescent="0.5">
      <c r="A690" s="33"/>
      <c r="B690" s="33"/>
      <c r="C690" s="33"/>
      <c r="D690" s="46"/>
      <c r="E690" s="46"/>
      <c r="F690" s="46"/>
      <c r="G690" s="46"/>
      <c r="H690" s="46"/>
      <c r="I690" s="46"/>
      <c r="J690" s="46"/>
      <c r="K690" s="33"/>
      <c r="L690" s="33"/>
      <c r="M690" s="33"/>
      <c r="N690" s="46"/>
      <c r="O690" s="46"/>
      <c r="P690" s="46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spans="1:37" ht="33.75" customHeight="1" x14ac:dyDescent="0.5">
      <c r="A691" s="33"/>
      <c r="B691" s="33"/>
      <c r="C691" s="33"/>
      <c r="D691" s="46"/>
      <c r="E691" s="46"/>
      <c r="F691" s="46"/>
      <c r="G691" s="46"/>
      <c r="H691" s="46"/>
      <c r="I691" s="46"/>
      <c r="J691" s="46"/>
      <c r="K691" s="33"/>
      <c r="L691" s="33"/>
      <c r="M691" s="33"/>
      <c r="N691" s="46"/>
      <c r="O691" s="46"/>
      <c r="P691" s="46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spans="1:37" ht="33.75" customHeight="1" x14ac:dyDescent="0.5">
      <c r="A692" s="33"/>
      <c r="B692" s="33"/>
      <c r="C692" s="33"/>
      <c r="D692" s="46"/>
      <c r="E692" s="46"/>
      <c r="F692" s="46"/>
      <c r="G692" s="46"/>
      <c r="H692" s="46"/>
      <c r="I692" s="46"/>
      <c r="J692" s="46"/>
      <c r="K692" s="33"/>
      <c r="L692" s="33"/>
      <c r="M692" s="33"/>
      <c r="N692" s="46"/>
      <c r="O692" s="46"/>
      <c r="P692" s="46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spans="1:37" ht="33.75" customHeight="1" x14ac:dyDescent="0.5">
      <c r="A693" s="33"/>
      <c r="B693" s="33"/>
      <c r="C693" s="33"/>
      <c r="D693" s="46"/>
      <c r="E693" s="46"/>
      <c r="F693" s="46"/>
      <c r="G693" s="46"/>
      <c r="H693" s="46"/>
      <c r="I693" s="46"/>
      <c r="J693" s="46"/>
      <c r="K693" s="33"/>
      <c r="L693" s="33"/>
      <c r="M693" s="33"/>
      <c r="N693" s="46"/>
      <c r="O693" s="46"/>
      <c r="P693" s="46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spans="1:37" ht="33.75" customHeight="1" x14ac:dyDescent="0.5">
      <c r="A694" s="33"/>
      <c r="B694" s="33"/>
      <c r="C694" s="33"/>
      <c r="D694" s="46"/>
      <c r="E694" s="46"/>
      <c r="F694" s="46"/>
      <c r="G694" s="46"/>
      <c r="H694" s="46"/>
      <c r="I694" s="46"/>
      <c r="J694" s="46"/>
      <c r="K694" s="33"/>
      <c r="L694" s="33"/>
      <c r="M694" s="33"/>
      <c r="N694" s="46"/>
      <c r="O694" s="46"/>
      <c r="P694" s="46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spans="1:37" ht="33.75" customHeight="1" x14ac:dyDescent="0.5">
      <c r="A695" s="33"/>
      <c r="B695" s="33"/>
      <c r="C695" s="33"/>
      <c r="D695" s="46"/>
      <c r="E695" s="46"/>
      <c r="F695" s="46"/>
      <c r="G695" s="46"/>
      <c r="H695" s="46"/>
      <c r="I695" s="46"/>
      <c r="J695" s="46"/>
      <c r="K695" s="33"/>
      <c r="L695" s="33"/>
      <c r="M695" s="33"/>
      <c r="N695" s="46"/>
      <c r="O695" s="46"/>
      <c r="P695" s="46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spans="1:37" ht="33.75" customHeight="1" x14ac:dyDescent="0.5">
      <c r="A696" s="33"/>
      <c r="B696" s="33"/>
      <c r="C696" s="33"/>
      <c r="D696" s="46"/>
      <c r="E696" s="46"/>
      <c r="F696" s="46"/>
      <c r="G696" s="46"/>
      <c r="H696" s="46"/>
      <c r="I696" s="46"/>
      <c r="J696" s="46"/>
      <c r="K696" s="33"/>
      <c r="L696" s="33"/>
      <c r="M696" s="33"/>
      <c r="N696" s="46"/>
      <c r="O696" s="46"/>
      <c r="P696" s="46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spans="1:37" ht="33.75" customHeight="1" x14ac:dyDescent="0.5">
      <c r="A697" s="33"/>
      <c r="B697" s="33"/>
      <c r="C697" s="33"/>
      <c r="D697" s="46"/>
      <c r="E697" s="46"/>
      <c r="F697" s="46"/>
      <c r="G697" s="46"/>
      <c r="H697" s="46"/>
      <c r="I697" s="46"/>
      <c r="J697" s="46"/>
      <c r="K697" s="33"/>
      <c r="L697" s="33"/>
      <c r="M697" s="33"/>
      <c r="N697" s="46"/>
      <c r="O697" s="46"/>
      <c r="P697" s="46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spans="1:37" ht="33.75" customHeight="1" x14ac:dyDescent="0.5">
      <c r="A698" s="33"/>
      <c r="B698" s="33"/>
      <c r="C698" s="33"/>
      <c r="D698" s="46"/>
      <c r="E698" s="46"/>
      <c r="F698" s="46"/>
      <c r="G698" s="46"/>
      <c r="H698" s="46"/>
      <c r="I698" s="46"/>
      <c r="J698" s="46"/>
      <c r="K698" s="33"/>
      <c r="L698" s="33"/>
      <c r="M698" s="33"/>
      <c r="N698" s="46"/>
      <c r="O698" s="46"/>
      <c r="P698" s="46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spans="1:37" ht="33.75" customHeight="1" x14ac:dyDescent="0.5">
      <c r="A699" s="33"/>
      <c r="B699" s="33"/>
      <c r="C699" s="33"/>
      <c r="D699" s="46"/>
      <c r="E699" s="46"/>
      <c r="F699" s="46"/>
      <c r="G699" s="46"/>
      <c r="H699" s="46"/>
      <c r="I699" s="46"/>
      <c r="J699" s="46"/>
      <c r="K699" s="33"/>
      <c r="L699" s="33"/>
      <c r="M699" s="33"/>
      <c r="N699" s="46"/>
      <c r="O699" s="46"/>
      <c r="P699" s="46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spans="1:37" ht="33.75" customHeight="1" x14ac:dyDescent="0.5">
      <c r="A700" s="33"/>
      <c r="B700" s="33"/>
      <c r="C700" s="33"/>
      <c r="D700" s="46"/>
      <c r="E700" s="46"/>
      <c r="F700" s="46"/>
      <c r="G700" s="46"/>
      <c r="H700" s="46"/>
      <c r="I700" s="46"/>
      <c r="J700" s="46"/>
      <c r="K700" s="33"/>
      <c r="L700" s="33"/>
      <c r="M700" s="33"/>
      <c r="N700" s="46"/>
      <c r="O700" s="46"/>
      <c r="P700" s="46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spans="1:37" ht="33.75" customHeight="1" x14ac:dyDescent="0.5">
      <c r="A701" s="33"/>
      <c r="B701" s="33"/>
      <c r="C701" s="33"/>
      <c r="D701" s="46"/>
      <c r="E701" s="46"/>
      <c r="F701" s="46"/>
      <c r="G701" s="46"/>
      <c r="H701" s="46"/>
      <c r="I701" s="46"/>
      <c r="J701" s="46"/>
      <c r="K701" s="33"/>
      <c r="L701" s="33"/>
      <c r="M701" s="33"/>
      <c r="N701" s="46"/>
      <c r="O701" s="46"/>
      <c r="P701" s="46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spans="1:37" ht="33.75" customHeight="1" x14ac:dyDescent="0.5">
      <c r="A702" s="33"/>
      <c r="B702" s="33"/>
      <c r="C702" s="33"/>
      <c r="D702" s="46"/>
      <c r="E702" s="46"/>
      <c r="F702" s="46"/>
      <c r="G702" s="46"/>
      <c r="H702" s="46"/>
      <c r="I702" s="46"/>
      <c r="J702" s="46"/>
      <c r="K702" s="33"/>
      <c r="L702" s="33"/>
      <c r="M702" s="33"/>
      <c r="N702" s="46"/>
      <c r="O702" s="46"/>
      <c r="P702" s="46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spans="1:37" ht="33.75" customHeight="1" x14ac:dyDescent="0.5">
      <c r="A703" s="33"/>
      <c r="B703" s="33"/>
      <c r="C703" s="33"/>
      <c r="D703" s="46"/>
      <c r="E703" s="46"/>
      <c r="F703" s="46"/>
      <c r="G703" s="46"/>
      <c r="H703" s="46"/>
      <c r="I703" s="46"/>
      <c r="J703" s="46"/>
      <c r="K703" s="33"/>
      <c r="L703" s="33"/>
      <c r="M703" s="33"/>
      <c r="N703" s="46"/>
      <c r="O703" s="46"/>
      <c r="P703" s="46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spans="1:37" ht="33.75" customHeight="1" x14ac:dyDescent="0.5">
      <c r="A704" s="33"/>
      <c r="B704" s="33"/>
      <c r="C704" s="33"/>
      <c r="D704" s="46"/>
      <c r="E704" s="46"/>
      <c r="F704" s="46"/>
      <c r="G704" s="46"/>
      <c r="H704" s="46"/>
      <c r="I704" s="46"/>
      <c r="J704" s="46"/>
      <c r="K704" s="33"/>
      <c r="L704" s="33"/>
      <c r="M704" s="33"/>
      <c r="N704" s="46"/>
      <c r="O704" s="46"/>
      <c r="P704" s="46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spans="1:37" ht="33.75" customHeight="1" x14ac:dyDescent="0.5">
      <c r="A705" s="33"/>
      <c r="B705" s="33"/>
      <c r="C705" s="33"/>
      <c r="D705" s="46"/>
      <c r="E705" s="46"/>
      <c r="F705" s="46"/>
      <c r="G705" s="46"/>
      <c r="H705" s="46"/>
      <c r="I705" s="46"/>
      <c r="J705" s="46"/>
      <c r="K705" s="33"/>
      <c r="L705" s="33"/>
      <c r="M705" s="33"/>
      <c r="N705" s="46"/>
      <c r="O705" s="46"/>
      <c r="P705" s="46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spans="1:37" ht="33.75" customHeight="1" x14ac:dyDescent="0.5">
      <c r="A706" s="33"/>
      <c r="B706" s="33"/>
      <c r="C706" s="33"/>
      <c r="D706" s="46"/>
      <c r="E706" s="46"/>
      <c r="F706" s="46"/>
      <c r="G706" s="46"/>
      <c r="H706" s="46"/>
      <c r="I706" s="46"/>
      <c r="J706" s="46"/>
      <c r="K706" s="33"/>
      <c r="L706" s="33"/>
      <c r="M706" s="33"/>
      <c r="N706" s="46"/>
      <c r="O706" s="46"/>
      <c r="P706" s="46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spans="1:37" ht="33.75" customHeight="1" x14ac:dyDescent="0.5">
      <c r="A707" s="33"/>
      <c r="B707" s="33"/>
      <c r="C707" s="33"/>
      <c r="D707" s="46"/>
      <c r="E707" s="46"/>
      <c r="F707" s="46"/>
      <c r="G707" s="46"/>
      <c r="H707" s="46"/>
      <c r="I707" s="46"/>
      <c r="J707" s="46"/>
      <c r="K707" s="33"/>
      <c r="L707" s="33"/>
      <c r="M707" s="33"/>
      <c r="N707" s="46"/>
      <c r="O707" s="46"/>
      <c r="P707" s="46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spans="1:37" ht="33.75" customHeight="1" x14ac:dyDescent="0.5">
      <c r="A708" s="33"/>
      <c r="B708" s="33"/>
      <c r="C708" s="33"/>
      <c r="D708" s="46"/>
      <c r="E708" s="46"/>
      <c r="F708" s="46"/>
      <c r="G708" s="46"/>
      <c r="H708" s="46"/>
      <c r="I708" s="46"/>
      <c r="J708" s="46"/>
      <c r="K708" s="33"/>
      <c r="L708" s="33"/>
      <c r="M708" s="33"/>
      <c r="N708" s="46"/>
      <c r="O708" s="46"/>
      <c r="P708" s="46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spans="1:37" ht="33.75" customHeight="1" x14ac:dyDescent="0.5">
      <c r="A709" s="33"/>
      <c r="B709" s="33"/>
      <c r="C709" s="33"/>
      <c r="D709" s="46"/>
      <c r="E709" s="46"/>
      <c r="F709" s="46"/>
      <c r="G709" s="46"/>
      <c r="H709" s="46"/>
      <c r="I709" s="46"/>
      <c r="J709" s="46"/>
      <c r="K709" s="33"/>
      <c r="L709" s="33"/>
      <c r="M709" s="33"/>
      <c r="N709" s="46"/>
      <c r="O709" s="46"/>
      <c r="P709" s="46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spans="1:37" ht="33.75" customHeight="1" x14ac:dyDescent="0.5">
      <c r="A710" s="33"/>
      <c r="B710" s="33"/>
      <c r="C710" s="33"/>
      <c r="D710" s="46"/>
      <c r="E710" s="46"/>
      <c r="F710" s="46"/>
      <c r="G710" s="46"/>
      <c r="H710" s="46"/>
      <c r="I710" s="46"/>
      <c r="J710" s="46"/>
      <c r="K710" s="33"/>
      <c r="L710" s="33"/>
      <c r="M710" s="33"/>
      <c r="N710" s="46"/>
      <c r="O710" s="46"/>
      <c r="P710" s="46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spans="1:37" ht="33.75" customHeight="1" x14ac:dyDescent="0.5">
      <c r="A711" s="33"/>
      <c r="B711" s="33"/>
      <c r="C711" s="33"/>
      <c r="D711" s="46"/>
      <c r="E711" s="46"/>
      <c r="F711" s="46"/>
      <c r="G711" s="46"/>
      <c r="H711" s="46"/>
      <c r="I711" s="46"/>
      <c r="J711" s="46"/>
      <c r="K711" s="33"/>
      <c r="L711" s="33"/>
      <c r="M711" s="33"/>
      <c r="N711" s="46"/>
      <c r="O711" s="46"/>
      <c r="P711" s="46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spans="1:37" ht="33.75" customHeight="1" x14ac:dyDescent="0.5">
      <c r="A712" s="33"/>
      <c r="B712" s="33"/>
      <c r="C712" s="33"/>
      <c r="D712" s="46"/>
      <c r="E712" s="46"/>
      <c r="F712" s="46"/>
      <c r="G712" s="46"/>
      <c r="H712" s="46"/>
      <c r="I712" s="46"/>
      <c r="J712" s="46"/>
      <c r="K712" s="33"/>
      <c r="L712" s="33"/>
      <c r="M712" s="33"/>
      <c r="N712" s="46"/>
      <c r="O712" s="46"/>
      <c r="P712" s="46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spans="1:37" ht="33.75" customHeight="1" x14ac:dyDescent="0.5">
      <c r="A713" s="33"/>
      <c r="B713" s="33"/>
      <c r="C713" s="33"/>
      <c r="D713" s="46"/>
      <c r="E713" s="46"/>
      <c r="F713" s="46"/>
      <c r="G713" s="46"/>
      <c r="H713" s="46"/>
      <c r="I713" s="46"/>
      <c r="J713" s="46"/>
      <c r="K713" s="33"/>
      <c r="L713" s="33"/>
      <c r="M713" s="33"/>
      <c r="N713" s="46"/>
      <c r="O713" s="46"/>
      <c r="P713" s="46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spans="1:37" ht="33.75" customHeight="1" x14ac:dyDescent="0.5">
      <c r="A714" s="33"/>
      <c r="B714" s="33"/>
      <c r="C714" s="33"/>
      <c r="D714" s="46"/>
      <c r="E714" s="46"/>
      <c r="F714" s="46"/>
      <c r="G714" s="46"/>
      <c r="H714" s="46"/>
      <c r="I714" s="46"/>
      <c r="J714" s="46"/>
      <c r="K714" s="33"/>
      <c r="L714" s="33"/>
      <c r="M714" s="33"/>
      <c r="N714" s="46"/>
      <c r="O714" s="46"/>
      <c r="P714" s="46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spans="1:37" ht="33.75" customHeight="1" x14ac:dyDescent="0.5">
      <c r="A715" s="33"/>
      <c r="B715" s="33"/>
      <c r="C715" s="33"/>
      <c r="D715" s="46"/>
      <c r="E715" s="46"/>
      <c r="F715" s="46"/>
      <c r="G715" s="46"/>
      <c r="H715" s="46"/>
      <c r="I715" s="46"/>
      <c r="J715" s="46"/>
      <c r="K715" s="33"/>
      <c r="L715" s="33"/>
      <c r="M715" s="33"/>
      <c r="N715" s="46"/>
      <c r="O715" s="46"/>
      <c r="P715" s="46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spans="1:37" ht="33.75" customHeight="1" x14ac:dyDescent="0.5">
      <c r="A716" s="33"/>
      <c r="B716" s="33"/>
      <c r="C716" s="33"/>
      <c r="D716" s="46"/>
      <c r="E716" s="46"/>
      <c r="F716" s="46"/>
      <c r="G716" s="46"/>
      <c r="H716" s="46"/>
      <c r="I716" s="46"/>
      <c r="J716" s="46"/>
      <c r="K716" s="33"/>
      <c r="L716" s="33"/>
      <c r="M716" s="33"/>
      <c r="N716" s="46"/>
      <c r="O716" s="46"/>
      <c r="P716" s="46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spans="1:37" ht="33.75" customHeight="1" x14ac:dyDescent="0.5">
      <c r="A717" s="33"/>
      <c r="B717" s="33"/>
      <c r="C717" s="33"/>
      <c r="D717" s="46"/>
      <c r="E717" s="46"/>
      <c r="F717" s="46"/>
      <c r="G717" s="46"/>
      <c r="H717" s="46"/>
      <c r="I717" s="46"/>
      <c r="J717" s="46"/>
      <c r="K717" s="33"/>
      <c r="L717" s="33"/>
      <c r="M717" s="33"/>
      <c r="N717" s="46"/>
      <c r="O717" s="46"/>
      <c r="P717" s="46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spans="1:37" ht="33.75" customHeight="1" x14ac:dyDescent="0.5">
      <c r="A718" s="33"/>
      <c r="B718" s="33"/>
      <c r="C718" s="33"/>
      <c r="D718" s="46"/>
      <c r="E718" s="46"/>
      <c r="F718" s="46"/>
      <c r="G718" s="46"/>
      <c r="H718" s="46"/>
      <c r="I718" s="46"/>
      <c r="J718" s="46"/>
      <c r="K718" s="33"/>
      <c r="L718" s="33"/>
      <c r="M718" s="33"/>
      <c r="N718" s="46"/>
      <c r="O718" s="46"/>
      <c r="P718" s="46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spans="1:37" ht="33.75" customHeight="1" x14ac:dyDescent="0.5">
      <c r="A719" s="33"/>
      <c r="B719" s="33"/>
      <c r="C719" s="33"/>
      <c r="D719" s="46"/>
      <c r="E719" s="46"/>
      <c r="F719" s="46"/>
      <c r="G719" s="46"/>
      <c r="H719" s="46"/>
      <c r="I719" s="46"/>
      <c r="J719" s="46"/>
      <c r="K719" s="33"/>
      <c r="L719" s="33"/>
      <c r="M719" s="33"/>
      <c r="N719" s="46"/>
      <c r="O719" s="46"/>
      <c r="P719" s="46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spans="1:37" ht="33.75" customHeight="1" x14ac:dyDescent="0.5">
      <c r="A720" s="33"/>
      <c r="B720" s="33"/>
      <c r="C720" s="33"/>
      <c r="D720" s="46"/>
      <c r="E720" s="46"/>
      <c r="F720" s="46"/>
      <c r="G720" s="46"/>
      <c r="H720" s="46"/>
      <c r="I720" s="46"/>
      <c r="J720" s="46"/>
      <c r="K720" s="33"/>
      <c r="L720" s="33"/>
      <c r="M720" s="33"/>
      <c r="N720" s="46"/>
      <c r="O720" s="46"/>
      <c r="P720" s="46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spans="1:37" ht="33.75" customHeight="1" x14ac:dyDescent="0.5">
      <c r="A721" s="33"/>
      <c r="B721" s="33"/>
      <c r="C721" s="33"/>
      <c r="D721" s="46"/>
      <c r="E721" s="46"/>
      <c r="F721" s="46"/>
      <c r="G721" s="46"/>
      <c r="H721" s="46"/>
      <c r="I721" s="46"/>
      <c r="J721" s="46"/>
      <c r="K721" s="33"/>
      <c r="L721" s="33"/>
      <c r="M721" s="33"/>
      <c r="N721" s="46"/>
      <c r="O721" s="46"/>
      <c r="P721" s="46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spans="1:37" ht="33.75" customHeight="1" x14ac:dyDescent="0.5">
      <c r="A722" s="33"/>
      <c r="B722" s="33"/>
      <c r="C722" s="33"/>
      <c r="D722" s="46"/>
      <c r="E722" s="46"/>
      <c r="F722" s="46"/>
      <c r="G722" s="46"/>
      <c r="H722" s="46"/>
      <c r="I722" s="46"/>
      <c r="J722" s="46"/>
      <c r="K722" s="33"/>
      <c r="L722" s="33"/>
      <c r="M722" s="33"/>
      <c r="N722" s="46"/>
      <c r="O722" s="46"/>
      <c r="P722" s="46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spans="1:37" ht="33.75" customHeight="1" x14ac:dyDescent="0.5">
      <c r="A723" s="33"/>
      <c r="B723" s="33"/>
      <c r="C723" s="33"/>
      <c r="D723" s="46"/>
      <c r="E723" s="46"/>
      <c r="F723" s="46"/>
      <c r="G723" s="46"/>
      <c r="H723" s="46"/>
      <c r="I723" s="46"/>
      <c r="J723" s="46"/>
      <c r="K723" s="33"/>
      <c r="L723" s="33"/>
      <c r="M723" s="33"/>
      <c r="N723" s="46"/>
      <c r="O723" s="46"/>
      <c r="P723" s="46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spans="1:37" ht="33.75" customHeight="1" x14ac:dyDescent="0.5">
      <c r="A724" s="33"/>
      <c r="B724" s="33"/>
      <c r="C724" s="33"/>
      <c r="D724" s="46"/>
      <c r="E724" s="46"/>
      <c r="F724" s="46"/>
      <c r="G724" s="46"/>
      <c r="H724" s="46"/>
      <c r="I724" s="46"/>
      <c r="J724" s="46"/>
      <c r="K724" s="33"/>
      <c r="L724" s="33"/>
      <c r="M724" s="33"/>
      <c r="N724" s="46"/>
      <c r="O724" s="46"/>
      <c r="P724" s="46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spans="1:37" ht="33.75" customHeight="1" x14ac:dyDescent="0.5">
      <c r="A725" s="33"/>
      <c r="B725" s="33"/>
      <c r="C725" s="33"/>
      <c r="D725" s="46"/>
      <c r="E725" s="46"/>
      <c r="F725" s="46"/>
      <c r="G725" s="46"/>
      <c r="H725" s="46"/>
      <c r="I725" s="46"/>
      <c r="J725" s="46"/>
      <c r="K725" s="33"/>
      <c r="L725" s="33"/>
      <c r="M725" s="33"/>
      <c r="N725" s="46"/>
      <c r="O725" s="46"/>
      <c r="P725" s="46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spans="1:37" ht="33.75" customHeight="1" x14ac:dyDescent="0.5">
      <c r="A726" s="33"/>
      <c r="B726" s="33"/>
      <c r="C726" s="33"/>
      <c r="D726" s="46"/>
      <c r="E726" s="46"/>
      <c r="F726" s="46"/>
      <c r="G726" s="46"/>
      <c r="H726" s="46"/>
      <c r="I726" s="46"/>
      <c r="J726" s="46"/>
      <c r="K726" s="33"/>
      <c r="L726" s="33"/>
      <c r="M726" s="33"/>
      <c r="N726" s="46"/>
      <c r="O726" s="46"/>
      <c r="P726" s="46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spans="1:37" ht="33.75" customHeight="1" x14ac:dyDescent="0.5">
      <c r="A727" s="33"/>
      <c r="B727" s="33"/>
      <c r="C727" s="33"/>
      <c r="D727" s="46"/>
      <c r="E727" s="46"/>
      <c r="F727" s="46"/>
      <c r="G727" s="46"/>
      <c r="H727" s="46"/>
      <c r="I727" s="46"/>
      <c r="J727" s="46"/>
      <c r="K727" s="33"/>
      <c r="L727" s="33"/>
      <c r="M727" s="33"/>
      <c r="N727" s="46"/>
      <c r="O727" s="46"/>
      <c r="P727" s="46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spans="1:37" ht="33.75" customHeight="1" x14ac:dyDescent="0.5">
      <c r="A728" s="33"/>
      <c r="B728" s="33"/>
      <c r="C728" s="33"/>
      <c r="D728" s="46"/>
      <c r="E728" s="46"/>
      <c r="F728" s="46"/>
      <c r="G728" s="46"/>
      <c r="H728" s="46"/>
      <c r="I728" s="46"/>
      <c r="J728" s="46"/>
      <c r="K728" s="33"/>
      <c r="L728" s="33"/>
      <c r="M728" s="33"/>
      <c r="N728" s="46"/>
      <c r="O728" s="46"/>
      <c r="P728" s="46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spans="1:37" ht="33.75" customHeight="1" x14ac:dyDescent="0.5">
      <c r="A729" s="33"/>
      <c r="B729" s="33"/>
      <c r="C729" s="33"/>
      <c r="D729" s="46"/>
      <c r="E729" s="46"/>
      <c r="F729" s="46"/>
      <c r="G729" s="46"/>
      <c r="H729" s="46"/>
      <c r="I729" s="46"/>
      <c r="J729" s="46"/>
      <c r="K729" s="33"/>
      <c r="L729" s="33"/>
      <c r="M729" s="33"/>
      <c r="N729" s="46"/>
      <c r="O729" s="46"/>
      <c r="P729" s="46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spans="1:37" ht="33.75" customHeight="1" x14ac:dyDescent="0.5">
      <c r="A730" s="33"/>
      <c r="B730" s="33"/>
      <c r="C730" s="33"/>
      <c r="D730" s="46"/>
      <c r="E730" s="46"/>
      <c r="F730" s="46"/>
      <c r="G730" s="46"/>
      <c r="H730" s="46"/>
      <c r="I730" s="46"/>
      <c r="J730" s="46"/>
      <c r="K730" s="33"/>
      <c r="L730" s="33"/>
      <c r="M730" s="33"/>
      <c r="N730" s="46"/>
      <c r="O730" s="46"/>
      <c r="P730" s="46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spans="1:37" ht="33.75" customHeight="1" x14ac:dyDescent="0.5">
      <c r="A731" s="33"/>
      <c r="B731" s="33"/>
      <c r="C731" s="33"/>
      <c r="D731" s="46"/>
      <c r="E731" s="46"/>
      <c r="F731" s="46"/>
      <c r="G731" s="46"/>
      <c r="H731" s="46"/>
      <c r="I731" s="46"/>
      <c r="J731" s="46"/>
      <c r="K731" s="33"/>
      <c r="L731" s="33"/>
      <c r="M731" s="33"/>
      <c r="N731" s="46"/>
      <c r="O731" s="46"/>
      <c r="P731" s="46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spans="1:37" ht="33.75" customHeight="1" x14ac:dyDescent="0.5">
      <c r="A732" s="33"/>
      <c r="B732" s="33"/>
      <c r="C732" s="33"/>
      <c r="D732" s="46"/>
      <c r="E732" s="46"/>
      <c r="F732" s="46"/>
      <c r="G732" s="46"/>
      <c r="H732" s="46"/>
      <c r="I732" s="46"/>
      <c r="J732" s="46"/>
      <c r="K732" s="33"/>
      <c r="L732" s="33"/>
      <c r="M732" s="33"/>
      <c r="N732" s="46"/>
      <c r="O732" s="46"/>
      <c r="P732" s="46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spans="1:37" ht="33.75" customHeight="1" x14ac:dyDescent="0.5">
      <c r="A733" s="33"/>
      <c r="B733" s="33"/>
      <c r="C733" s="33"/>
      <c r="D733" s="46"/>
      <c r="E733" s="46"/>
      <c r="F733" s="46"/>
      <c r="G733" s="46"/>
      <c r="H733" s="46"/>
      <c r="I733" s="46"/>
      <c r="J733" s="46"/>
      <c r="K733" s="33"/>
      <c r="L733" s="33"/>
      <c r="M733" s="33"/>
      <c r="N733" s="46"/>
      <c r="O733" s="46"/>
      <c r="P733" s="46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spans="1:37" ht="33.75" customHeight="1" x14ac:dyDescent="0.5">
      <c r="A734" s="33"/>
      <c r="B734" s="33"/>
      <c r="C734" s="33"/>
      <c r="D734" s="46"/>
      <c r="E734" s="46"/>
      <c r="F734" s="46"/>
      <c r="G734" s="46"/>
      <c r="H734" s="46"/>
      <c r="I734" s="46"/>
      <c r="J734" s="46"/>
      <c r="K734" s="33"/>
      <c r="L734" s="33"/>
      <c r="M734" s="33"/>
      <c r="N734" s="46"/>
      <c r="O734" s="46"/>
      <c r="P734" s="46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spans="1:37" ht="33.75" customHeight="1" x14ac:dyDescent="0.5">
      <c r="A735" s="33"/>
      <c r="B735" s="33"/>
      <c r="C735" s="33"/>
      <c r="D735" s="46"/>
      <c r="E735" s="46"/>
      <c r="F735" s="46"/>
      <c r="G735" s="46"/>
      <c r="H735" s="46"/>
      <c r="I735" s="46"/>
      <c r="J735" s="46"/>
      <c r="K735" s="33"/>
      <c r="L735" s="33"/>
      <c r="M735" s="33"/>
      <c r="N735" s="46"/>
      <c r="O735" s="46"/>
      <c r="P735" s="46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spans="1:37" ht="33.75" customHeight="1" x14ac:dyDescent="0.5">
      <c r="A736" s="33"/>
      <c r="B736" s="33"/>
      <c r="C736" s="33"/>
      <c r="D736" s="46"/>
      <c r="E736" s="46"/>
      <c r="F736" s="46"/>
      <c r="G736" s="46"/>
      <c r="H736" s="46"/>
      <c r="I736" s="46"/>
      <c r="J736" s="46"/>
      <c r="K736" s="33"/>
      <c r="L736" s="33"/>
      <c r="M736" s="33"/>
      <c r="N736" s="46"/>
      <c r="O736" s="46"/>
      <c r="P736" s="46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spans="1:37" ht="33.75" customHeight="1" x14ac:dyDescent="0.5">
      <c r="A737" s="33"/>
      <c r="B737" s="33"/>
      <c r="C737" s="33"/>
      <c r="D737" s="46"/>
      <c r="E737" s="46"/>
      <c r="F737" s="46"/>
      <c r="G737" s="46"/>
      <c r="H737" s="46"/>
      <c r="I737" s="46"/>
      <c r="J737" s="46"/>
      <c r="K737" s="33"/>
      <c r="L737" s="33"/>
      <c r="M737" s="33"/>
      <c r="N737" s="46"/>
      <c r="O737" s="46"/>
      <c r="P737" s="46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spans="1:37" ht="33.75" customHeight="1" x14ac:dyDescent="0.5">
      <c r="A738" s="33"/>
      <c r="B738" s="33"/>
      <c r="C738" s="33"/>
      <c r="D738" s="46"/>
      <c r="E738" s="46"/>
      <c r="F738" s="46"/>
      <c r="G738" s="46"/>
      <c r="H738" s="46"/>
      <c r="I738" s="46"/>
      <c r="J738" s="46"/>
      <c r="K738" s="33"/>
      <c r="L738" s="33"/>
      <c r="M738" s="33"/>
      <c r="N738" s="46"/>
      <c r="O738" s="46"/>
      <c r="P738" s="46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spans="1:37" ht="33.75" customHeight="1" x14ac:dyDescent="0.5">
      <c r="A739" s="33"/>
      <c r="B739" s="33"/>
      <c r="C739" s="33"/>
      <c r="D739" s="46"/>
      <c r="E739" s="46"/>
      <c r="F739" s="46"/>
      <c r="G739" s="46"/>
      <c r="H739" s="46"/>
      <c r="I739" s="46"/>
      <c r="J739" s="46"/>
      <c r="K739" s="33"/>
      <c r="L739" s="33"/>
      <c r="M739" s="33"/>
      <c r="N739" s="46"/>
      <c r="O739" s="46"/>
      <c r="P739" s="46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spans="1:37" ht="33.75" customHeight="1" x14ac:dyDescent="0.5">
      <c r="A740" s="33"/>
      <c r="B740" s="33"/>
      <c r="C740" s="33"/>
      <c r="D740" s="46"/>
      <c r="E740" s="46"/>
      <c r="F740" s="46"/>
      <c r="G740" s="46"/>
      <c r="H740" s="46"/>
      <c r="I740" s="46"/>
      <c r="J740" s="46"/>
      <c r="K740" s="33"/>
      <c r="L740" s="33"/>
      <c r="M740" s="33"/>
      <c r="N740" s="46"/>
      <c r="O740" s="46"/>
      <c r="P740" s="46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spans="1:37" ht="33.75" customHeight="1" x14ac:dyDescent="0.5">
      <c r="A741" s="33"/>
      <c r="B741" s="33"/>
      <c r="C741" s="33"/>
      <c r="D741" s="46"/>
      <c r="E741" s="46"/>
      <c r="F741" s="46"/>
      <c r="G741" s="46"/>
      <c r="H741" s="46"/>
      <c r="I741" s="46"/>
      <c r="J741" s="46"/>
      <c r="K741" s="33"/>
      <c r="L741" s="33"/>
      <c r="M741" s="33"/>
      <c r="N741" s="46"/>
      <c r="O741" s="46"/>
      <c r="P741" s="46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spans="1:37" ht="33.75" customHeight="1" x14ac:dyDescent="0.5">
      <c r="A742" s="33"/>
      <c r="B742" s="33"/>
      <c r="C742" s="33"/>
      <c r="D742" s="46"/>
      <c r="E742" s="46"/>
      <c r="F742" s="46"/>
      <c r="G742" s="46"/>
      <c r="H742" s="46"/>
      <c r="I742" s="46"/>
      <c r="J742" s="46"/>
      <c r="K742" s="33"/>
      <c r="L742" s="33"/>
      <c r="M742" s="33"/>
      <c r="N742" s="46"/>
      <c r="O742" s="46"/>
      <c r="P742" s="46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spans="1:37" ht="33.75" customHeight="1" x14ac:dyDescent="0.5">
      <c r="A743" s="33"/>
      <c r="B743" s="33"/>
      <c r="C743" s="33"/>
      <c r="D743" s="46"/>
      <c r="E743" s="46"/>
      <c r="F743" s="46"/>
      <c r="G743" s="46"/>
      <c r="H743" s="46"/>
      <c r="I743" s="46"/>
      <c r="J743" s="46"/>
      <c r="K743" s="33"/>
      <c r="L743" s="33"/>
      <c r="M743" s="33"/>
      <c r="N743" s="46"/>
      <c r="O743" s="46"/>
      <c r="P743" s="46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spans="1:37" ht="33.75" customHeight="1" x14ac:dyDescent="0.5">
      <c r="A744" s="33"/>
      <c r="B744" s="33"/>
      <c r="C744" s="33"/>
      <c r="D744" s="46"/>
      <c r="E744" s="46"/>
      <c r="F744" s="46"/>
      <c r="G744" s="46"/>
      <c r="H744" s="46"/>
      <c r="I744" s="46"/>
      <c r="J744" s="46"/>
      <c r="K744" s="33"/>
      <c r="L744" s="33"/>
      <c r="M744" s="33"/>
      <c r="N744" s="46"/>
      <c r="O744" s="46"/>
      <c r="P744" s="46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spans="1:37" ht="33.75" customHeight="1" x14ac:dyDescent="0.5">
      <c r="A745" s="33"/>
      <c r="B745" s="33"/>
      <c r="C745" s="33"/>
      <c r="D745" s="46"/>
      <c r="E745" s="46"/>
      <c r="F745" s="46"/>
      <c r="G745" s="46"/>
      <c r="H745" s="46"/>
      <c r="I745" s="46"/>
      <c r="J745" s="46"/>
      <c r="K745" s="33"/>
      <c r="L745" s="33"/>
      <c r="M745" s="33"/>
      <c r="N745" s="46"/>
      <c r="O745" s="46"/>
      <c r="P745" s="46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spans="1:37" ht="33.75" customHeight="1" x14ac:dyDescent="0.5">
      <c r="A746" s="33"/>
      <c r="B746" s="33"/>
      <c r="C746" s="33"/>
      <c r="D746" s="46"/>
      <c r="E746" s="46"/>
      <c r="F746" s="46"/>
      <c r="G746" s="46"/>
      <c r="H746" s="46"/>
      <c r="I746" s="46"/>
      <c r="J746" s="46"/>
      <c r="K746" s="33"/>
      <c r="L746" s="33"/>
      <c r="M746" s="33"/>
      <c r="N746" s="46"/>
      <c r="O746" s="46"/>
      <c r="P746" s="46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spans="1:37" ht="33.75" customHeight="1" x14ac:dyDescent="0.5">
      <c r="A747" s="33"/>
      <c r="B747" s="33"/>
      <c r="C747" s="33"/>
      <c r="D747" s="46"/>
      <c r="E747" s="46"/>
      <c r="F747" s="46"/>
      <c r="G747" s="46"/>
      <c r="H747" s="46"/>
      <c r="I747" s="46"/>
      <c r="J747" s="46"/>
      <c r="K747" s="33"/>
      <c r="L747" s="33"/>
      <c r="M747" s="33"/>
      <c r="N747" s="46"/>
      <c r="O747" s="46"/>
      <c r="P747" s="46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spans="1:37" ht="33.75" customHeight="1" x14ac:dyDescent="0.5">
      <c r="A748" s="33"/>
      <c r="B748" s="33"/>
      <c r="C748" s="33"/>
      <c r="D748" s="46"/>
      <c r="E748" s="46"/>
      <c r="F748" s="46"/>
      <c r="G748" s="46"/>
      <c r="H748" s="46"/>
      <c r="I748" s="46"/>
      <c r="J748" s="46"/>
      <c r="K748" s="33"/>
      <c r="L748" s="33"/>
      <c r="M748" s="33"/>
      <c r="N748" s="46"/>
      <c r="O748" s="46"/>
      <c r="P748" s="46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spans="1:37" ht="33.75" customHeight="1" x14ac:dyDescent="0.5">
      <c r="A749" s="33"/>
      <c r="B749" s="33"/>
      <c r="C749" s="33"/>
      <c r="D749" s="46"/>
      <c r="E749" s="46"/>
      <c r="F749" s="46"/>
      <c r="G749" s="46"/>
      <c r="H749" s="46"/>
      <c r="I749" s="46"/>
      <c r="J749" s="46"/>
      <c r="K749" s="33"/>
      <c r="L749" s="33"/>
      <c r="M749" s="33"/>
      <c r="N749" s="46"/>
      <c r="O749" s="46"/>
      <c r="P749" s="46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spans="1:37" ht="33.75" customHeight="1" x14ac:dyDescent="0.5">
      <c r="A750" s="33"/>
      <c r="B750" s="33"/>
      <c r="C750" s="33"/>
      <c r="D750" s="46"/>
      <c r="E750" s="46"/>
      <c r="F750" s="46"/>
      <c r="G750" s="46"/>
      <c r="H750" s="46"/>
      <c r="I750" s="46"/>
      <c r="J750" s="46"/>
      <c r="K750" s="33"/>
      <c r="L750" s="33"/>
      <c r="M750" s="33"/>
      <c r="N750" s="46"/>
      <c r="O750" s="46"/>
      <c r="P750" s="46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spans="1:37" ht="33.75" customHeight="1" x14ac:dyDescent="0.5">
      <c r="A751" s="33"/>
      <c r="B751" s="33"/>
      <c r="C751" s="33"/>
      <c r="D751" s="46"/>
      <c r="E751" s="46"/>
      <c r="F751" s="46"/>
      <c r="G751" s="46"/>
      <c r="H751" s="46"/>
      <c r="I751" s="46"/>
      <c r="J751" s="46"/>
      <c r="K751" s="33"/>
      <c r="L751" s="33"/>
      <c r="M751" s="33"/>
      <c r="N751" s="46"/>
      <c r="O751" s="46"/>
      <c r="P751" s="46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spans="1:37" ht="33.75" customHeight="1" x14ac:dyDescent="0.5">
      <c r="A752" s="33"/>
      <c r="B752" s="33"/>
      <c r="C752" s="33"/>
      <c r="D752" s="46"/>
      <c r="E752" s="46"/>
      <c r="F752" s="46"/>
      <c r="G752" s="46"/>
      <c r="H752" s="46"/>
      <c r="I752" s="46"/>
      <c r="J752" s="46"/>
      <c r="K752" s="33"/>
      <c r="L752" s="33"/>
      <c r="M752" s="33"/>
      <c r="N752" s="46"/>
      <c r="O752" s="46"/>
      <c r="P752" s="46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spans="1:37" ht="33.75" customHeight="1" x14ac:dyDescent="0.5">
      <c r="A753" s="33"/>
      <c r="B753" s="33"/>
      <c r="C753" s="33"/>
      <c r="D753" s="46"/>
      <c r="E753" s="46"/>
      <c r="F753" s="46"/>
      <c r="G753" s="46"/>
      <c r="H753" s="46"/>
      <c r="I753" s="46"/>
      <c r="J753" s="46"/>
      <c r="K753" s="33"/>
      <c r="L753" s="33"/>
      <c r="M753" s="33"/>
      <c r="N753" s="46"/>
      <c r="O753" s="46"/>
      <c r="P753" s="46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spans="1:37" ht="33.75" customHeight="1" x14ac:dyDescent="0.5">
      <c r="A754" s="33"/>
      <c r="B754" s="33"/>
      <c r="C754" s="33"/>
      <c r="D754" s="46"/>
      <c r="E754" s="46"/>
      <c r="F754" s="46"/>
      <c r="G754" s="46"/>
      <c r="H754" s="46"/>
      <c r="I754" s="46"/>
      <c r="J754" s="46"/>
      <c r="K754" s="33"/>
      <c r="L754" s="33"/>
      <c r="M754" s="33"/>
      <c r="N754" s="46"/>
      <c r="O754" s="46"/>
      <c r="P754" s="46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spans="1:37" ht="33.75" customHeight="1" x14ac:dyDescent="0.5">
      <c r="A755" s="33"/>
      <c r="B755" s="33"/>
      <c r="C755" s="33"/>
      <c r="D755" s="46"/>
      <c r="E755" s="46"/>
      <c r="F755" s="46"/>
      <c r="G755" s="46"/>
      <c r="H755" s="46"/>
      <c r="I755" s="46"/>
      <c r="J755" s="46"/>
      <c r="K755" s="33"/>
      <c r="L755" s="33"/>
      <c r="M755" s="33"/>
      <c r="N755" s="46"/>
      <c r="O755" s="46"/>
      <c r="P755" s="46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spans="1:37" ht="33.75" customHeight="1" x14ac:dyDescent="0.5">
      <c r="A756" s="33"/>
      <c r="B756" s="33"/>
      <c r="C756" s="33"/>
      <c r="D756" s="46"/>
      <c r="E756" s="46"/>
      <c r="F756" s="46"/>
      <c r="G756" s="46"/>
      <c r="H756" s="46"/>
      <c r="I756" s="46"/>
      <c r="J756" s="46"/>
      <c r="K756" s="33"/>
      <c r="L756" s="33"/>
      <c r="M756" s="33"/>
      <c r="N756" s="46"/>
      <c r="O756" s="46"/>
      <c r="P756" s="46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spans="1:37" ht="33.75" customHeight="1" x14ac:dyDescent="0.5">
      <c r="A757" s="33"/>
      <c r="B757" s="33"/>
      <c r="C757" s="33"/>
      <c r="D757" s="46"/>
      <c r="E757" s="46"/>
      <c r="F757" s="46"/>
      <c r="G757" s="46"/>
      <c r="H757" s="46"/>
      <c r="I757" s="46"/>
      <c r="J757" s="46"/>
      <c r="K757" s="33"/>
      <c r="L757" s="33"/>
      <c r="M757" s="33"/>
      <c r="N757" s="46"/>
      <c r="O757" s="46"/>
      <c r="P757" s="46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spans="1:37" ht="33.75" customHeight="1" x14ac:dyDescent="0.5">
      <c r="A758" s="33"/>
      <c r="B758" s="33"/>
      <c r="C758" s="33"/>
      <c r="D758" s="46"/>
      <c r="E758" s="46"/>
      <c r="F758" s="46"/>
      <c r="G758" s="46"/>
      <c r="H758" s="46"/>
      <c r="I758" s="46"/>
      <c r="J758" s="46"/>
      <c r="K758" s="33"/>
      <c r="L758" s="33"/>
      <c r="M758" s="33"/>
      <c r="N758" s="46"/>
      <c r="O758" s="46"/>
      <c r="P758" s="46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spans="1:37" ht="33.75" customHeight="1" x14ac:dyDescent="0.5">
      <c r="A759" s="33"/>
      <c r="B759" s="33"/>
      <c r="C759" s="33"/>
      <c r="D759" s="46"/>
      <c r="E759" s="46"/>
      <c r="F759" s="46"/>
      <c r="G759" s="46"/>
      <c r="H759" s="46"/>
      <c r="I759" s="46"/>
      <c r="J759" s="46"/>
      <c r="K759" s="33"/>
      <c r="L759" s="33"/>
      <c r="M759" s="33"/>
      <c r="N759" s="46"/>
      <c r="O759" s="46"/>
      <c r="P759" s="46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spans="1:37" ht="33.75" customHeight="1" x14ac:dyDescent="0.5">
      <c r="A760" s="33"/>
      <c r="B760" s="33"/>
      <c r="C760" s="33"/>
      <c r="D760" s="46"/>
      <c r="E760" s="46"/>
      <c r="F760" s="46"/>
      <c r="G760" s="46"/>
      <c r="H760" s="46"/>
      <c r="I760" s="46"/>
      <c r="J760" s="46"/>
      <c r="K760" s="33"/>
      <c r="L760" s="33"/>
      <c r="M760" s="33"/>
      <c r="N760" s="46"/>
      <c r="O760" s="46"/>
      <c r="P760" s="46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spans="1:37" ht="33.75" customHeight="1" x14ac:dyDescent="0.5">
      <c r="A761" s="33"/>
      <c r="B761" s="33"/>
      <c r="C761" s="33"/>
      <c r="D761" s="46"/>
      <c r="E761" s="46"/>
      <c r="F761" s="46"/>
      <c r="G761" s="46"/>
      <c r="H761" s="46"/>
      <c r="I761" s="46"/>
      <c r="J761" s="46"/>
      <c r="K761" s="33"/>
      <c r="L761" s="33"/>
      <c r="M761" s="33"/>
      <c r="N761" s="46"/>
      <c r="O761" s="46"/>
      <c r="P761" s="46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spans="1:37" ht="33.75" customHeight="1" x14ac:dyDescent="0.5">
      <c r="A762" s="33"/>
      <c r="B762" s="33"/>
      <c r="C762" s="33"/>
      <c r="D762" s="46"/>
      <c r="E762" s="46"/>
      <c r="F762" s="46"/>
      <c r="G762" s="46"/>
      <c r="H762" s="46"/>
      <c r="I762" s="46"/>
      <c r="J762" s="46"/>
      <c r="K762" s="33"/>
      <c r="L762" s="33"/>
      <c r="M762" s="33"/>
      <c r="N762" s="46"/>
      <c r="O762" s="46"/>
      <c r="P762" s="46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spans="1:37" ht="33.75" customHeight="1" x14ac:dyDescent="0.5">
      <c r="A763" s="33"/>
      <c r="B763" s="33"/>
      <c r="C763" s="33"/>
      <c r="D763" s="46"/>
      <c r="E763" s="46"/>
      <c r="F763" s="46"/>
      <c r="G763" s="46"/>
      <c r="H763" s="46"/>
      <c r="I763" s="46"/>
      <c r="J763" s="46"/>
      <c r="K763" s="33"/>
      <c r="L763" s="33"/>
      <c r="M763" s="33"/>
      <c r="N763" s="46"/>
      <c r="O763" s="46"/>
      <c r="P763" s="46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spans="1:37" ht="33.75" customHeight="1" x14ac:dyDescent="0.5">
      <c r="A764" s="33"/>
      <c r="B764" s="33"/>
      <c r="C764" s="33"/>
      <c r="D764" s="46"/>
      <c r="E764" s="46"/>
      <c r="F764" s="46"/>
      <c r="G764" s="46"/>
      <c r="H764" s="46"/>
      <c r="I764" s="46"/>
      <c r="J764" s="46"/>
      <c r="K764" s="33"/>
      <c r="L764" s="33"/>
      <c r="M764" s="33"/>
      <c r="N764" s="46"/>
      <c r="O764" s="46"/>
      <c r="P764" s="46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spans="1:37" ht="33.75" customHeight="1" x14ac:dyDescent="0.5">
      <c r="A765" s="33"/>
      <c r="B765" s="33"/>
      <c r="C765" s="33"/>
      <c r="D765" s="46"/>
      <c r="E765" s="46"/>
      <c r="F765" s="46"/>
      <c r="G765" s="46"/>
      <c r="H765" s="46"/>
      <c r="I765" s="46"/>
      <c r="J765" s="46"/>
      <c r="K765" s="33"/>
      <c r="L765" s="33"/>
      <c r="M765" s="33"/>
      <c r="N765" s="46"/>
      <c r="O765" s="46"/>
      <c r="P765" s="46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spans="1:37" ht="33.75" customHeight="1" x14ac:dyDescent="0.5">
      <c r="A766" s="33"/>
      <c r="B766" s="33"/>
      <c r="C766" s="33"/>
      <c r="D766" s="46"/>
      <c r="E766" s="46"/>
      <c r="F766" s="46"/>
      <c r="G766" s="46"/>
      <c r="H766" s="46"/>
      <c r="I766" s="46"/>
      <c r="J766" s="46"/>
      <c r="K766" s="33"/>
      <c r="L766" s="33"/>
      <c r="M766" s="33"/>
      <c r="N766" s="46"/>
      <c r="O766" s="46"/>
      <c r="P766" s="46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spans="1:37" ht="33.75" customHeight="1" x14ac:dyDescent="0.5">
      <c r="A767" s="33"/>
      <c r="B767" s="33"/>
      <c r="C767" s="33"/>
      <c r="D767" s="46"/>
      <c r="E767" s="46"/>
      <c r="F767" s="46"/>
      <c r="G767" s="46"/>
      <c r="H767" s="46"/>
      <c r="I767" s="46"/>
      <c r="J767" s="46"/>
      <c r="K767" s="33"/>
      <c r="L767" s="33"/>
      <c r="M767" s="33"/>
      <c r="N767" s="46"/>
      <c r="O767" s="46"/>
      <c r="P767" s="46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spans="1:37" ht="33.75" customHeight="1" x14ac:dyDescent="0.5">
      <c r="A768" s="33"/>
      <c r="B768" s="33"/>
      <c r="C768" s="33"/>
      <c r="D768" s="46"/>
      <c r="E768" s="46"/>
      <c r="F768" s="46"/>
      <c r="G768" s="46"/>
      <c r="H768" s="46"/>
      <c r="I768" s="46"/>
      <c r="J768" s="46"/>
      <c r="K768" s="33"/>
      <c r="L768" s="33"/>
      <c r="M768" s="33"/>
      <c r="N768" s="46"/>
      <c r="O768" s="46"/>
      <c r="P768" s="46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spans="1:37" ht="33.75" customHeight="1" x14ac:dyDescent="0.5">
      <c r="A769" s="33"/>
      <c r="B769" s="33"/>
      <c r="C769" s="33"/>
      <c r="D769" s="46"/>
      <c r="E769" s="46"/>
      <c r="F769" s="46"/>
      <c r="G769" s="46"/>
      <c r="H769" s="46"/>
      <c r="I769" s="46"/>
      <c r="J769" s="46"/>
      <c r="K769" s="33"/>
      <c r="L769" s="33"/>
      <c r="M769" s="33"/>
      <c r="N769" s="46"/>
      <c r="O769" s="46"/>
      <c r="P769" s="46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spans="1:37" ht="33.75" customHeight="1" x14ac:dyDescent="0.5">
      <c r="A770" s="33"/>
      <c r="B770" s="33"/>
      <c r="C770" s="33"/>
      <c r="D770" s="46"/>
      <c r="E770" s="46"/>
      <c r="F770" s="46"/>
      <c r="G770" s="46"/>
      <c r="H770" s="46"/>
      <c r="I770" s="46"/>
      <c r="J770" s="46"/>
      <c r="K770" s="33"/>
      <c r="L770" s="33"/>
      <c r="M770" s="33"/>
      <c r="N770" s="46"/>
      <c r="O770" s="46"/>
      <c r="P770" s="46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spans="1:37" ht="33.75" customHeight="1" x14ac:dyDescent="0.5">
      <c r="A771" s="33"/>
      <c r="B771" s="33"/>
      <c r="C771" s="33"/>
      <c r="D771" s="46"/>
      <c r="E771" s="46"/>
      <c r="F771" s="46"/>
      <c r="G771" s="46"/>
      <c r="H771" s="46"/>
      <c r="I771" s="46"/>
      <c r="J771" s="46"/>
      <c r="K771" s="33"/>
      <c r="L771" s="33"/>
      <c r="M771" s="33"/>
      <c r="N771" s="46"/>
      <c r="O771" s="46"/>
      <c r="P771" s="46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spans="1:37" ht="33.75" customHeight="1" x14ac:dyDescent="0.5">
      <c r="A772" s="33"/>
      <c r="B772" s="33"/>
      <c r="C772" s="33"/>
      <c r="D772" s="46"/>
      <c r="E772" s="46"/>
      <c r="F772" s="46"/>
      <c r="G772" s="46"/>
      <c r="H772" s="46"/>
      <c r="I772" s="46"/>
      <c r="J772" s="46"/>
      <c r="K772" s="33"/>
      <c r="L772" s="33"/>
      <c r="M772" s="33"/>
      <c r="N772" s="46"/>
      <c r="O772" s="46"/>
      <c r="P772" s="46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spans="1:37" ht="33.75" customHeight="1" x14ac:dyDescent="0.5">
      <c r="A773" s="33"/>
      <c r="B773" s="33"/>
      <c r="C773" s="33"/>
      <c r="D773" s="46"/>
      <c r="E773" s="46"/>
      <c r="F773" s="46"/>
      <c r="G773" s="46"/>
      <c r="H773" s="46"/>
      <c r="I773" s="46"/>
      <c r="J773" s="46"/>
      <c r="K773" s="33"/>
      <c r="L773" s="33"/>
      <c r="M773" s="33"/>
      <c r="N773" s="46"/>
      <c r="O773" s="46"/>
      <c r="P773" s="46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spans="1:37" ht="33.75" customHeight="1" x14ac:dyDescent="0.5">
      <c r="A774" s="33"/>
      <c r="B774" s="33"/>
      <c r="C774" s="33"/>
      <c r="D774" s="46"/>
      <c r="E774" s="46"/>
      <c r="F774" s="46"/>
      <c r="G774" s="46"/>
      <c r="H774" s="46"/>
      <c r="I774" s="46"/>
      <c r="J774" s="46"/>
      <c r="K774" s="33"/>
      <c r="L774" s="33"/>
      <c r="M774" s="33"/>
      <c r="N774" s="46"/>
      <c r="O774" s="46"/>
      <c r="P774" s="46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spans="1:37" ht="33.75" customHeight="1" x14ac:dyDescent="0.5">
      <c r="A775" s="33"/>
      <c r="B775" s="33"/>
      <c r="C775" s="33"/>
      <c r="D775" s="46"/>
      <c r="E775" s="46"/>
      <c r="F775" s="46"/>
      <c r="G775" s="46"/>
      <c r="H775" s="46"/>
      <c r="I775" s="46"/>
      <c r="J775" s="46"/>
      <c r="K775" s="33"/>
      <c r="L775" s="33"/>
      <c r="M775" s="33"/>
      <c r="N775" s="46"/>
      <c r="O775" s="46"/>
      <c r="P775" s="46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spans="1:37" ht="33.75" customHeight="1" x14ac:dyDescent="0.5">
      <c r="A776" s="33"/>
      <c r="B776" s="33"/>
      <c r="C776" s="33"/>
      <c r="D776" s="46"/>
      <c r="E776" s="46"/>
      <c r="F776" s="46"/>
      <c r="G776" s="46"/>
      <c r="H776" s="46"/>
      <c r="I776" s="46"/>
      <c r="J776" s="46"/>
      <c r="K776" s="33"/>
      <c r="L776" s="33"/>
      <c r="M776" s="33"/>
      <c r="N776" s="46"/>
      <c r="O776" s="46"/>
      <c r="P776" s="46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spans="1:37" ht="33.75" customHeight="1" x14ac:dyDescent="0.5">
      <c r="A777" s="33"/>
      <c r="B777" s="33"/>
      <c r="C777" s="33"/>
      <c r="D777" s="46"/>
      <c r="E777" s="46"/>
      <c r="F777" s="46"/>
      <c r="G777" s="46"/>
      <c r="H777" s="46"/>
      <c r="I777" s="46"/>
      <c r="J777" s="46"/>
      <c r="K777" s="33"/>
      <c r="L777" s="33"/>
      <c r="M777" s="33"/>
      <c r="N777" s="46"/>
      <c r="O777" s="46"/>
      <c r="P777" s="46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spans="1:37" ht="33.75" customHeight="1" x14ac:dyDescent="0.5">
      <c r="A778" s="33"/>
      <c r="B778" s="33"/>
      <c r="C778" s="33"/>
      <c r="D778" s="46"/>
      <c r="E778" s="46"/>
      <c r="F778" s="46"/>
      <c r="G778" s="46"/>
      <c r="H778" s="46"/>
      <c r="I778" s="46"/>
      <c r="J778" s="46"/>
      <c r="K778" s="33"/>
      <c r="L778" s="33"/>
      <c r="M778" s="33"/>
      <c r="N778" s="46"/>
      <c r="O778" s="46"/>
      <c r="P778" s="46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spans="1:37" ht="33.75" customHeight="1" x14ac:dyDescent="0.5">
      <c r="A779" s="33"/>
      <c r="B779" s="33"/>
      <c r="C779" s="33"/>
      <c r="D779" s="46"/>
      <c r="E779" s="46"/>
      <c r="F779" s="46"/>
      <c r="G779" s="46"/>
      <c r="H779" s="46"/>
      <c r="I779" s="46"/>
      <c r="J779" s="46"/>
      <c r="K779" s="33"/>
      <c r="L779" s="33"/>
      <c r="M779" s="33"/>
      <c r="N779" s="46"/>
      <c r="O779" s="46"/>
      <c r="P779" s="46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spans="1:37" ht="33.75" customHeight="1" x14ac:dyDescent="0.5">
      <c r="A780" s="33"/>
      <c r="B780" s="33"/>
      <c r="C780" s="33"/>
      <c r="D780" s="46"/>
      <c r="E780" s="46"/>
      <c r="F780" s="46"/>
      <c r="G780" s="46"/>
      <c r="H780" s="46"/>
      <c r="I780" s="46"/>
      <c r="J780" s="46"/>
      <c r="K780" s="33"/>
      <c r="L780" s="33"/>
      <c r="M780" s="33"/>
      <c r="N780" s="46"/>
      <c r="O780" s="46"/>
      <c r="P780" s="46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spans="1:37" ht="33.75" customHeight="1" x14ac:dyDescent="0.5">
      <c r="A781" s="33"/>
      <c r="B781" s="33"/>
      <c r="C781" s="33"/>
      <c r="D781" s="46"/>
      <c r="E781" s="46"/>
      <c r="F781" s="46"/>
      <c r="G781" s="46"/>
      <c r="H781" s="46"/>
      <c r="I781" s="46"/>
      <c r="J781" s="46"/>
      <c r="K781" s="33"/>
      <c r="L781" s="33"/>
      <c r="M781" s="33"/>
      <c r="N781" s="46"/>
      <c r="O781" s="46"/>
      <c r="P781" s="46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spans="1:37" ht="33.75" customHeight="1" x14ac:dyDescent="0.5">
      <c r="A782" s="33"/>
      <c r="B782" s="33"/>
      <c r="C782" s="33"/>
      <c r="D782" s="46"/>
      <c r="E782" s="46"/>
      <c r="F782" s="46"/>
      <c r="G782" s="46"/>
      <c r="H782" s="46"/>
      <c r="I782" s="46"/>
      <c r="J782" s="46"/>
      <c r="K782" s="33"/>
      <c r="L782" s="33"/>
      <c r="M782" s="33"/>
      <c r="N782" s="46"/>
      <c r="O782" s="46"/>
      <c r="P782" s="46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spans="1:37" ht="33.75" customHeight="1" x14ac:dyDescent="0.5">
      <c r="A783" s="33"/>
      <c r="B783" s="33"/>
      <c r="C783" s="33"/>
      <c r="D783" s="46"/>
      <c r="E783" s="46"/>
      <c r="F783" s="46"/>
      <c r="G783" s="46"/>
      <c r="H783" s="46"/>
      <c r="I783" s="46"/>
      <c r="J783" s="46"/>
      <c r="K783" s="33"/>
      <c r="L783" s="33"/>
      <c r="M783" s="33"/>
      <c r="N783" s="46"/>
      <c r="O783" s="46"/>
      <c r="P783" s="46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spans="1:37" ht="33.75" customHeight="1" x14ac:dyDescent="0.5">
      <c r="A784" s="33"/>
      <c r="B784" s="33"/>
      <c r="C784" s="33"/>
      <c r="D784" s="46"/>
      <c r="E784" s="46"/>
      <c r="F784" s="46"/>
      <c r="G784" s="46"/>
      <c r="H784" s="46"/>
      <c r="I784" s="46"/>
      <c r="J784" s="46"/>
      <c r="K784" s="33"/>
      <c r="L784" s="33"/>
      <c r="M784" s="33"/>
      <c r="N784" s="46"/>
      <c r="O784" s="46"/>
      <c r="P784" s="46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spans="1:37" ht="33.75" customHeight="1" x14ac:dyDescent="0.5">
      <c r="A785" s="33"/>
      <c r="B785" s="33"/>
      <c r="C785" s="33"/>
      <c r="D785" s="46"/>
      <c r="E785" s="46"/>
      <c r="F785" s="46"/>
      <c r="G785" s="46"/>
      <c r="H785" s="46"/>
      <c r="I785" s="46"/>
      <c r="J785" s="46"/>
      <c r="K785" s="33"/>
      <c r="L785" s="33"/>
      <c r="M785" s="33"/>
      <c r="N785" s="46"/>
      <c r="O785" s="46"/>
      <c r="P785" s="46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spans="1:37" ht="33.75" customHeight="1" x14ac:dyDescent="0.5">
      <c r="A786" s="33"/>
      <c r="B786" s="33"/>
      <c r="C786" s="33"/>
      <c r="D786" s="46"/>
      <c r="E786" s="46"/>
      <c r="F786" s="46"/>
      <c r="G786" s="46"/>
      <c r="H786" s="46"/>
      <c r="I786" s="46"/>
      <c r="J786" s="46"/>
      <c r="K786" s="33"/>
      <c r="L786" s="33"/>
      <c r="M786" s="33"/>
      <c r="N786" s="46"/>
      <c r="O786" s="46"/>
      <c r="P786" s="46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spans="1:37" ht="33.75" customHeight="1" x14ac:dyDescent="0.5">
      <c r="A787" s="33"/>
      <c r="B787" s="33"/>
      <c r="C787" s="33"/>
      <c r="D787" s="46"/>
      <c r="E787" s="46"/>
      <c r="F787" s="46"/>
      <c r="G787" s="46"/>
      <c r="H787" s="46"/>
      <c r="I787" s="46"/>
      <c r="J787" s="46"/>
      <c r="K787" s="33"/>
      <c r="L787" s="33"/>
      <c r="M787" s="33"/>
      <c r="N787" s="46"/>
      <c r="O787" s="46"/>
      <c r="P787" s="46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spans="1:37" ht="33.75" customHeight="1" x14ac:dyDescent="0.5">
      <c r="A788" s="33"/>
      <c r="B788" s="33"/>
      <c r="C788" s="33"/>
      <c r="D788" s="46"/>
      <c r="E788" s="46"/>
      <c r="F788" s="46"/>
      <c r="G788" s="46"/>
      <c r="H788" s="46"/>
      <c r="I788" s="46"/>
      <c r="J788" s="46"/>
      <c r="K788" s="33"/>
      <c r="L788" s="33"/>
      <c r="M788" s="33"/>
      <c r="N788" s="46"/>
      <c r="O788" s="46"/>
      <c r="P788" s="46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spans="1:37" ht="33.75" customHeight="1" x14ac:dyDescent="0.5">
      <c r="A789" s="33"/>
      <c r="B789" s="33"/>
      <c r="C789" s="33"/>
      <c r="D789" s="46"/>
      <c r="E789" s="46"/>
      <c r="F789" s="46"/>
      <c r="G789" s="46"/>
      <c r="H789" s="46"/>
      <c r="I789" s="46"/>
      <c r="J789" s="46"/>
      <c r="K789" s="33"/>
      <c r="L789" s="33"/>
      <c r="M789" s="33"/>
      <c r="N789" s="46"/>
      <c r="O789" s="46"/>
      <c r="P789" s="46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spans="1:37" ht="33.75" customHeight="1" x14ac:dyDescent="0.5">
      <c r="A790" s="33"/>
      <c r="B790" s="33"/>
      <c r="C790" s="33"/>
      <c r="D790" s="46"/>
      <c r="E790" s="46"/>
      <c r="F790" s="46"/>
      <c r="G790" s="46"/>
      <c r="H790" s="46"/>
      <c r="I790" s="46"/>
      <c r="J790" s="46"/>
      <c r="K790" s="33"/>
      <c r="L790" s="33"/>
      <c r="M790" s="33"/>
      <c r="N790" s="46"/>
      <c r="O790" s="46"/>
      <c r="P790" s="46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spans="1:37" ht="33.75" customHeight="1" x14ac:dyDescent="0.5">
      <c r="A791" s="33"/>
      <c r="B791" s="33"/>
      <c r="C791" s="33"/>
      <c r="D791" s="46"/>
      <c r="E791" s="46"/>
      <c r="F791" s="46"/>
      <c r="G791" s="46"/>
      <c r="H791" s="46"/>
      <c r="I791" s="46"/>
      <c r="J791" s="46"/>
      <c r="K791" s="33"/>
      <c r="L791" s="33"/>
      <c r="M791" s="33"/>
      <c r="N791" s="46"/>
      <c r="O791" s="46"/>
      <c r="P791" s="46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spans="1:37" ht="33.75" customHeight="1" x14ac:dyDescent="0.5">
      <c r="A792" s="33"/>
      <c r="B792" s="33"/>
      <c r="C792" s="33"/>
      <c r="D792" s="46"/>
      <c r="E792" s="46"/>
      <c r="F792" s="46"/>
      <c r="G792" s="46"/>
      <c r="H792" s="46"/>
      <c r="I792" s="46"/>
      <c r="J792" s="46"/>
      <c r="K792" s="33"/>
      <c r="L792" s="33"/>
      <c r="M792" s="33"/>
      <c r="N792" s="46"/>
      <c r="O792" s="46"/>
      <c r="P792" s="46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spans="1:37" ht="33.75" customHeight="1" x14ac:dyDescent="0.5">
      <c r="A793" s="33"/>
      <c r="B793" s="33"/>
      <c r="C793" s="33"/>
      <c r="D793" s="46"/>
      <c r="E793" s="46"/>
      <c r="F793" s="46"/>
      <c r="G793" s="46"/>
      <c r="H793" s="46"/>
      <c r="I793" s="46"/>
      <c r="J793" s="46"/>
      <c r="K793" s="33"/>
      <c r="L793" s="33"/>
      <c r="M793" s="33"/>
      <c r="N793" s="46"/>
      <c r="O793" s="46"/>
      <c r="P793" s="46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spans="1:37" ht="33.75" customHeight="1" x14ac:dyDescent="0.5">
      <c r="A794" s="33"/>
      <c r="B794" s="33"/>
      <c r="C794" s="33"/>
      <c r="D794" s="46"/>
      <c r="E794" s="46"/>
      <c r="F794" s="46"/>
      <c r="G794" s="46"/>
      <c r="H794" s="46"/>
      <c r="I794" s="46"/>
      <c r="J794" s="46"/>
      <c r="K794" s="33"/>
      <c r="L794" s="33"/>
      <c r="M794" s="33"/>
      <c r="N794" s="46"/>
      <c r="O794" s="46"/>
      <c r="P794" s="46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spans="1:37" ht="33.75" customHeight="1" x14ac:dyDescent="0.5">
      <c r="A795" s="33"/>
      <c r="B795" s="33"/>
      <c r="C795" s="33"/>
      <c r="D795" s="46"/>
      <c r="E795" s="46"/>
      <c r="F795" s="46"/>
      <c r="G795" s="46"/>
      <c r="H795" s="46"/>
      <c r="I795" s="46"/>
      <c r="J795" s="46"/>
      <c r="K795" s="33"/>
      <c r="L795" s="33"/>
      <c r="M795" s="33"/>
      <c r="N795" s="46"/>
      <c r="O795" s="46"/>
      <c r="P795" s="46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spans="1:37" ht="33.75" customHeight="1" x14ac:dyDescent="0.5">
      <c r="A796" s="33"/>
      <c r="B796" s="33"/>
      <c r="C796" s="33"/>
      <c r="D796" s="46"/>
      <c r="E796" s="46"/>
      <c r="F796" s="46"/>
      <c r="G796" s="46"/>
      <c r="H796" s="46"/>
      <c r="I796" s="46"/>
      <c r="J796" s="46"/>
      <c r="K796" s="33"/>
      <c r="L796" s="33"/>
      <c r="M796" s="33"/>
      <c r="N796" s="46"/>
      <c r="O796" s="46"/>
      <c r="P796" s="46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spans="1:37" ht="33.75" customHeight="1" x14ac:dyDescent="0.5">
      <c r="A797" s="33"/>
      <c r="B797" s="33"/>
      <c r="C797" s="33"/>
      <c r="D797" s="46"/>
      <c r="E797" s="46"/>
      <c r="F797" s="46"/>
      <c r="G797" s="46"/>
      <c r="H797" s="46"/>
      <c r="I797" s="46"/>
      <c r="J797" s="46"/>
      <c r="K797" s="33"/>
      <c r="L797" s="33"/>
      <c r="M797" s="33"/>
      <c r="N797" s="46"/>
      <c r="O797" s="46"/>
      <c r="P797" s="46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spans="1:37" ht="33.75" customHeight="1" x14ac:dyDescent="0.5">
      <c r="A798" s="33"/>
      <c r="B798" s="33"/>
      <c r="C798" s="33"/>
      <c r="D798" s="46"/>
      <c r="E798" s="46"/>
      <c r="F798" s="46"/>
      <c r="G798" s="46"/>
      <c r="H798" s="46"/>
      <c r="I798" s="46"/>
      <c r="J798" s="46"/>
      <c r="K798" s="33"/>
      <c r="L798" s="33"/>
      <c r="M798" s="33"/>
      <c r="N798" s="46"/>
      <c r="O798" s="46"/>
      <c r="P798" s="46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spans="1:37" ht="33.75" customHeight="1" x14ac:dyDescent="0.5">
      <c r="A799" s="33"/>
      <c r="B799" s="33"/>
      <c r="C799" s="33"/>
      <c r="D799" s="46"/>
      <c r="E799" s="46"/>
      <c r="F799" s="46"/>
      <c r="G799" s="46"/>
      <c r="H799" s="46"/>
      <c r="I799" s="46"/>
      <c r="J799" s="46"/>
      <c r="K799" s="33"/>
      <c r="L799" s="33"/>
      <c r="M799" s="33"/>
      <c r="N799" s="46"/>
      <c r="O799" s="46"/>
      <c r="P799" s="46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spans="1:37" ht="33.75" customHeight="1" x14ac:dyDescent="0.5">
      <c r="A800" s="33"/>
      <c r="B800" s="33"/>
      <c r="C800" s="33"/>
      <c r="D800" s="46"/>
      <c r="E800" s="46"/>
      <c r="F800" s="46"/>
      <c r="G800" s="46"/>
      <c r="H800" s="46"/>
      <c r="I800" s="46"/>
      <c r="J800" s="46"/>
      <c r="K800" s="33"/>
      <c r="L800" s="33"/>
      <c r="M800" s="33"/>
      <c r="N800" s="46"/>
      <c r="O800" s="46"/>
      <c r="P800" s="46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spans="1:37" ht="33.75" customHeight="1" x14ac:dyDescent="0.5">
      <c r="A801" s="33"/>
      <c r="B801" s="33"/>
      <c r="C801" s="33"/>
      <c r="D801" s="46"/>
      <c r="E801" s="46"/>
      <c r="F801" s="46"/>
      <c r="G801" s="46"/>
      <c r="H801" s="46"/>
      <c r="I801" s="46"/>
      <c r="J801" s="46"/>
      <c r="K801" s="33"/>
      <c r="L801" s="33"/>
      <c r="M801" s="33"/>
      <c r="N801" s="46"/>
      <c r="O801" s="46"/>
      <c r="P801" s="46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spans="1:37" ht="33.75" customHeight="1" x14ac:dyDescent="0.5">
      <c r="A802" s="33"/>
      <c r="B802" s="33"/>
      <c r="C802" s="33"/>
      <c r="D802" s="46"/>
      <c r="E802" s="46"/>
      <c r="F802" s="46"/>
      <c r="G802" s="46"/>
      <c r="H802" s="46"/>
      <c r="I802" s="46"/>
      <c r="J802" s="46"/>
      <c r="K802" s="33"/>
      <c r="L802" s="33"/>
      <c r="M802" s="33"/>
      <c r="N802" s="46"/>
      <c r="O802" s="46"/>
      <c r="P802" s="46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spans="1:37" ht="33.75" customHeight="1" x14ac:dyDescent="0.5">
      <c r="A803" s="33"/>
      <c r="B803" s="33"/>
      <c r="C803" s="33"/>
      <c r="D803" s="46"/>
      <c r="E803" s="46"/>
      <c r="F803" s="46"/>
      <c r="G803" s="46"/>
      <c r="H803" s="46"/>
      <c r="I803" s="46"/>
      <c r="J803" s="46"/>
      <c r="K803" s="33"/>
      <c r="L803" s="33"/>
      <c r="M803" s="33"/>
      <c r="N803" s="46"/>
      <c r="O803" s="46"/>
      <c r="P803" s="46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spans="1:37" ht="33.75" customHeight="1" x14ac:dyDescent="0.5">
      <c r="A804" s="33"/>
      <c r="B804" s="33"/>
      <c r="C804" s="33"/>
      <c r="D804" s="46"/>
      <c r="E804" s="46"/>
      <c r="F804" s="46"/>
      <c r="G804" s="46"/>
      <c r="H804" s="46"/>
      <c r="I804" s="46"/>
      <c r="J804" s="46"/>
      <c r="K804" s="33"/>
      <c r="L804" s="33"/>
      <c r="M804" s="33"/>
      <c r="N804" s="46"/>
      <c r="O804" s="46"/>
      <c r="P804" s="46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spans="1:37" ht="33.75" customHeight="1" x14ac:dyDescent="0.5">
      <c r="A805" s="33"/>
      <c r="B805" s="33"/>
      <c r="C805" s="33"/>
      <c r="D805" s="46"/>
      <c r="E805" s="46"/>
      <c r="F805" s="46"/>
      <c r="G805" s="46"/>
      <c r="H805" s="46"/>
      <c r="I805" s="46"/>
      <c r="J805" s="46"/>
      <c r="K805" s="33"/>
      <c r="L805" s="33"/>
      <c r="M805" s="33"/>
      <c r="N805" s="46"/>
      <c r="O805" s="46"/>
      <c r="P805" s="46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spans="1:37" ht="33.75" customHeight="1" x14ac:dyDescent="0.5">
      <c r="A806" s="33"/>
      <c r="B806" s="33"/>
      <c r="C806" s="33"/>
      <c r="D806" s="46"/>
      <c r="E806" s="46"/>
      <c r="F806" s="46"/>
      <c r="G806" s="46"/>
      <c r="H806" s="46"/>
      <c r="I806" s="46"/>
      <c r="J806" s="46"/>
      <c r="K806" s="33"/>
      <c r="L806" s="33"/>
      <c r="M806" s="33"/>
      <c r="N806" s="46"/>
      <c r="O806" s="46"/>
      <c r="P806" s="46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spans="1:37" ht="33.75" customHeight="1" x14ac:dyDescent="0.5">
      <c r="A807" s="33"/>
      <c r="B807" s="33"/>
      <c r="C807" s="33"/>
      <c r="D807" s="46"/>
      <c r="E807" s="46"/>
      <c r="F807" s="46"/>
      <c r="G807" s="46"/>
      <c r="H807" s="46"/>
      <c r="I807" s="46"/>
      <c r="J807" s="46"/>
      <c r="K807" s="33"/>
      <c r="L807" s="33"/>
      <c r="M807" s="33"/>
      <c r="N807" s="46"/>
      <c r="O807" s="46"/>
      <c r="P807" s="46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spans="1:37" ht="33.75" customHeight="1" x14ac:dyDescent="0.5">
      <c r="A808" s="33"/>
      <c r="B808" s="33"/>
      <c r="C808" s="33"/>
      <c r="D808" s="46"/>
      <c r="E808" s="46"/>
      <c r="F808" s="46"/>
      <c r="G808" s="46"/>
      <c r="H808" s="46"/>
      <c r="I808" s="46"/>
      <c r="J808" s="46"/>
      <c r="K808" s="33"/>
      <c r="L808" s="33"/>
      <c r="M808" s="33"/>
      <c r="N808" s="46"/>
      <c r="O808" s="46"/>
      <c r="P808" s="46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spans="1:37" ht="33.75" customHeight="1" x14ac:dyDescent="0.5">
      <c r="A809" s="33"/>
      <c r="B809" s="33"/>
      <c r="C809" s="33"/>
      <c r="D809" s="46"/>
      <c r="E809" s="46"/>
      <c r="F809" s="46"/>
      <c r="G809" s="46"/>
      <c r="H809" s="46"/>
      <c r="I809" s="46"/>
      <c r="J809" s="46"/>
      <c r="K809" s="33"/>
      <c r="L809" s="33"/>
      <c r="M809" s="33"/>
      <c r="N809" s="46"/>
      <c r="O809" s="46"/>
      <c r="P809" s="46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spans="1:37" ht="33.75" customHeight="1" x14ac:dyDescent="0.5">
      <c r="A810" s="33"/>
      <c r="B810" s="33"/>
      <c r="C810" s="33"/>
      <c r="D810" s="46"/>
      <c r="E810" s="46"/>
      <c r="F810" s="46"/>
      <c r="G810" s="46"/>
      <c r="H810" s="46"/>
      <c r="I810" s="46"/>
      <c r="J810" s="46"/>
      <c r="K810" s="33"/>
      <c r="L810" s="33"/>
      <c r="M810" s="33"/>
      <c r="N810" s="46"/>
      <c r="O810" s="46"/>
      <c r="P810" s="46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spans="1:37" ht="33.75" customHeight="1" x14ac:dyDescent="0.5">
      <c r="A811" s="33"/>
      <c r="B811" s="33"/>
      <c r="C811" s="33"/>
      <c r="D811" s="46"/>
      <c r="E811" s="46"/>
      <c r="F811" s="46"/>
      <c r="G811" s="46"/>
      <c r="H811" s="46"/>
      <c r="I811" s="46"/>
      <c r="J811" s="46"/>
      <c r="K811" s="33"/>
      <c r="L811" s="33"/>
      <c r="M811" s="33"/>
      <c r="N811" s="46"/>
      <c r="O811" s="46"/>
      <c r="P811" s="46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spans="1:37" ht="33.75" customHeight="1" x14ac:dyDescent="0.5">
      <c r="A812" s="33"/>
      <c r="B812" s="33"/>
      <c r="C812" s="33"/>
      <c r="D812" s="46"/>
      <c r="E812" s="46"/>
      <c r="F812" s="46"/>
      <c r="G812" s="46"/>
      <c r="H812" s="46"/>
      <c r="I812" s="46"/>
      <c r="J812" s="46"/>
      <c r="K812" s="33"/>
      <c r="L812" s="33"/>
      <c r="M812" s="33"/>
      <c r="N812" s="46"/>
      <c r="O812" s="46"/>
      <c r="P812" s="46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spans="1:37" ht="33.75" customHeight="1" x14ac:dyDescent="0.5">
      <c r="A813" s="33"/>
      <c r="B813" s="33"/>
      <c r="C813" s="33"/>
      <c r="D813" s="46"/>
      <c r="E813" s="46"/>
      <c r="F813" s="46"/>
      <c r="G813" s="46"/>
      <c r="H813" s="46"/>
      <c r="I813" s="46"/>
      <c r="J813" s="46"/>
      <c r="K813" s="33"/>
      <c r="L813" s="33"/>
      <c r="M813" s="33"/>
      <c r="N813" s="46"/>
      <c r="O813" s="46"/>
      <c r="P813" s="46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spans="1:37" ht="33.75" customHeight="1" x14ac:dyDescent="0.5">
      <c r="A814" s="33"/>
      <c r="B814" s="33"/>
      <c r="C814" s="33"/>
      <c r="D814" s="46"/>
      <c r="E814" s="46"/>
      <c r="F814" s="46"/>
      <c r="G814" s="46"/>
      <c r="H814" s="46"/>
      <c r="I814" s="46"/>
      <c r="J814" s="46"/>
      <c r="K814" s="33"/>
      <c r="L814" s="33"/>
      <c r="M814" s="33"/>
      <c r="N814" s="46"/>
      <c r="O814" s="46"/>
      <c r="P814" s="46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spans="1:37" ht="33.75" customHeight="1" x14ac:dyDescent="0.5">
      <c r="A815" s="33"/>
      <c r="B815" s="33"/>
      <c r="C815" s="33"/>
      <c r="D815" s="46"/>
      <c r="E815" s="46"/>
      <c r="F815" s="46"/>
      <c r="G815" s="46"/>
      <c r="H815" s="46"/>
      <c r="I815" s="46"/>
      <c r="J815" s="46"/>
      <c r="K815" s="33"/>
      <c r="L815" s="33"/>
      <c r="M815" s="33"/>
      <c r="N815" s="46"/>
      <c r="O815" s="46"/>
      <c r="P815" s="46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spans="1:37" ht="33.75" customHeight="1" x14ac:dyDescent="0.5">
      <c r="A816" s="33"/>
      <c r="B816" s="33"/>
      <c r="C816" s="33"/>
      <c r="D816" s="46"/>
      <c r="E816" s="46"/>
      <c r="F816" s="46"/>
      <c r="G816" s="46"/>
      <c r="H816" s="46"/>
      <c r="I816" s="46"/>
      <c r="J816" s="46"/>
      <c r="K816" s="33"/>
      <c r="L816" s="33"/>
      <c r="M816" s="33"/>
      <c r="N816" s="46"/>
      <c r="O816" s="46"/>
      <c r="P816" s="46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spans="1:37" ht="33.75" customHeight="1" x14ac:dyDescent="0.5">
      <c r="A817" s="33"/>
      <c r="B817" s="33"/>
      <c r="C817" s="33"/>
      <c r="D817" s="46"/>
      <c r="E817" s="46"/>
      <c r="F817" s="46"/>
      <c r="G817" s="46"/>
      <c r="H817" s="46"/>
      <c r="I817" s="46"/>
      <c r="J817" s="46"/>
      <c r="K817" s="33"/>
      <c r="L817" s="33"/>
      <c r="M817" s="33"/>
      <c r="N817" s="46"/>
      <c r="O817" s="46"/>
      <c r="P817" s="46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spans="1:37" ht="33.75" customHeight="1" x14ac:dyDescent="0.5">
      <c r="A818" s="33"/>
      <c r="B818" s="33"/>
      <c r="C818" s="33"/>
      <c r="D818" s="46"/>
      <c r="E818" s="46"/>
      <c r="F818" s="46"/>
      <c r="G818" s="46"/>
      <c r="H818" s="46"/>
      <c r="I818" s="46"/>
      <c r="J818" s="46"/>
      <c r="K818" s="33"/>
      <c r="L818" s="33"/>
      <c r="M818" s="33"/>
      <c r="N818" s="46"/>
      <c r="O818" s="46"/>
      <c r="P818" s="46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spans="1:37" ht="33.75" customHeight="1" x14ac:dyDescent="0.5">
      <c r="A819" s="33"/>
      <c r="B819" s="33"/>
      <c r="C819" s="33"/>
      <c r="D819" s="46"/>
      <c r="E819" s="46"/>
      <c r="F819" s="46"/>
      <c r="G819" s="46"/>
      <c r="H819" s="46"/>
      <c r="I819" s="46"/>
      <c r="J819" s="46"/>
      <c r="K819" s="33"/>
      <c r="L819" s="33"/>
      <c r="M819" s="33"/>
      <c r="N819" s="46"/>
      <c r="O819" s="46"/>
      <c r="P819" s="46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spans="1:37" ht="33.75" customHeight="1" x14ac:dyDescent="0.5">
      <c r="A820" s="33"/>
      <c r="B820" s="33"/>
      <c r="C820" s="33"/>
      <c r="D820" s="46"/>
      <c r="E820" s="46"/>
      <c r="F820" s="46"/>
      <c r="G820" s="46"/>
      <c r="H820" s="46"/>
      <c r="I820" s="46"/>
      <c r="J820" s="46"/>
      <c r="K820" s="33"/>
      <c r="L820" s="33"/>
      <c r="M820" s="33"/>
      <c r="N820" s="46"/>
      <c r="O820" s="46"/>
      <c r="P820" s="46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spans="1:37" ht="33.75" customHeight="1" x14ac:dyDescent="0.5">
      <c r="A821" s="33"/>
      <c r="B821" s="33"/>
      <c r="C821" s="33"/>
      <c r="D821" s="46"/>
      <c r="E821" s="46"/>
      <c r="F821" s="46"/>
      <c r="G821" s="46"/>
      <c r="H821" s="46"/>
      <c r="I821" s="46"/>
      <c r="J821" s="46"/>
      <c r="K821" s="33"/>
      <c r="L821" s="33"/>
      <c r="M821" s="33"/>
      <c r="N821" s="46"/>
      <c r="O821" s="46"/>
      <c r="P821" s="46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spans="1:37" ht="33.75" customHeight="1" x14ac:dyDescent="0.5">
      <c r="A822" s="33"/>
      <c r="B822" s="33"/>
      <c r="C822" s="33"/>
      <c r="D822" s="46"/>
      <c r="E822" s="46"/>
      <c r="F822" s="46"/>
      <c r="G822" s="46"/>
      <c r="H822" s="46"/>
      <c r="I822" s="46"/>
      <c r="J822" s="46"/>
      <c r="K822" s="33"/>
      <c r="L822" s="33"/>
      <c r="M822" s="33"/>
      <c r="N822" s="46"/>
      <c r="O822" s="46"/>
      <c r="P822" s="46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spans="1:37" ht="33.75" customHeight="1" x14ac:dyDescent="0.5">
      <c r="A823" s="33"/>
      <c r="B823" s="33"/>
      <c r="C823" s="33"/>
      <c r="D823" s="46"/>
      <c r="E823" s="46"/>
      <c r="F823" s="46"/>
      <c r="G823" s="46"/>
      <c r="H823" s="46"/>
      <c r="I823" s="46"/>
      <c r="J823" s="46"/>
      <c r="K823" s="33"/>
      <c r="L823" s="33"/>
      <c r="M823" s="33"/>
      <c r="N823" s="46"/>
      <c r="O823" s="46"/>
      <c r="P823" s="46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spans="1:37" ht="33.75" customHeight="1" x14ac:dyDescent="0.5">
      <c r="A824" s="33"/>
      <c r="B824" s="33"/>
      <c r="C824" s="33"/>
      <c r="D824" s="46"/>
      <c r="E824" s="46"/>
      <c r="F824" s="46"/>
      <c r="G824" s="46"/>
      <c r="H824" s="46"/>
      <c r="I824" s="46"/>
      <c r="J824" s="46"/>
      <c r="K824" s="33"/>
      <c r="L824" s="33"/>
      <c r="M824" s="33"/>
      <c r="N824" s="46"/>
      <c r="O824" s="46"/>
      <c r="P824" s="46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spans="1:37" ht="33.75" customHeight="1" x14ac:dyDescent="0.5">
      <c r="A825" s="33"/>
      <c r="B825" s="33"/>
      <c r="C825" s="33"/>
      <c r="D825" s="46"/>
      <c r="E825" s="46"/>
      <c r="F825" s="46"/>
      <c r="G825" s="46"/>
      <c r="H825" s="46"/>
      <c r="I825" s="46"/>
      <c r="J825" s="46"/>
      <c r="K825" s="33"/>
      <c r="L825" s="33"/>
      <c r="M825" s="33"/>
      <c r="N825" s="46"/>
      <c r="O825" s="46"/>
      <c r="P825" s="46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spans="1:37" ht="33.75" customHeight="1" x14ac:dyDescent="0.5">
      <c r="A826" s="33"/>
      <c r="B826" s="33"/>
      <c r="C826" s="33"/>
      <c r="D826" s="46"/>
      <c r="E826" s="46"/>
      <c r="F826" s="46"/>
      <c r="G826" s="46"/>
      <c r="H826" s="46"/>
      <c r="I826" s="46"/>
      <c r="J826" s="46"/>
      <c r="K826" s="33"/>
      <c r="L826" s="33"/>
      <c r="M826" s="33"/>
      <c r="N826" s="46"/>
      <c r="O826" s="46"/>
      <c r="P826" s="46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spans="1:37" ht="33.75" customHeight="1" x14ac:dyDescent="0.5">
      <c r="A827" s="33"/>
      <c r="B827" s="33"/>
      <c r="C827" s="33"/>
      <c r="D827" s="46"/>
      <c r="E827" s="46"/>
      <c r="F827" s="46"/>
      <c r="G827" s="46"/>
      <c r="H827" s="46"/>
      <c r="I827" s="46"/>
      <c r="J827" s="46"/>
      <c r="K827" s="33"/>
      <c r="L827" s="33"/>
      <c r="M827" s="33"/>
      <c r="N827" s="46"/>
      <c r="O827" s="46"/>
      <c r="P827" s="46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spans="1:37" ht="33.75" customHeight="1" x14ac:dyDescent="0.5">
      <c r="A828" s="33"/>
      <c r="B828" s="33"/>
      <c r="C828" s="33"/>
      <c r="D828" s="46"/>
      <c r="E828" s="46"/>
      <c r="F828" s="46"/>
      <c r="G828" s="46"/>
      <c r="H828" s="46"/>
      <c r="I828" s="46"/>
      <c r="J828" s="46"/>
      <c r="K828" s="33"/>
      <c r="L828" s="33"/>
      <c r="M828" s="33"/>
      <c r="N828" s="46"/>
      <c r="O828" s="46"/>
      <c r="P828" s="46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spans="1:37" ht="33.75" customHeight="1" x14ac:dyDescent="0.5">
      <c r="A829" s="33"/>
      <c r="B829" s="33"/>
      <c r="C829" s="33"/>
      <c r="D829" s="46"/>
      <c r="E829" s="46"/>
      <c r="F829" s="46"/>
      <c r="G829" s="46"/>
      <c r="H829" s="46"/>
      <c r="I829" s="46"/>
      <c r="J829" s="46"/>
      <c r="K829" s="33"/>
      <c r="L829" s="33"/>
      <c r="M829" s="33"/>
      <c r="N829" s="46"/>
      <c r="O829" s="46"/>
      <c r="P829" s="46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spans="1:37" ht="33.75" customHeight="1" x14ac:dyDescent="0.5">
      <c r="A830" s="33"/>
      <c r="B830" s="33"/>
      <c r="C830" s="33"/>
      <c r="D830" s="46"/>
      <c r="E830" s="46"/>
      <c r="F830" s="46"/>
      <c r="G830" s="46"/>
      <c r="H830" s="46"/>
      <c r="I830" s="46"/>
      <c r="J830" s="46"/>
      <c r="K830" s="33"/>
      <c r="L830" s="33"/>
      <c r="M830" s="33"/>
      <c r="N830" s="46"/>
      <c r="O830" s="46"/>
      <c r="P830" s="46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spans="1:37" ht="33.75" customHeight="1" x14ac:dyDescent="0.5">
      <c r="A831" s="33"/>
      <c r="B831" s="33"/>
      <c r="C831" s="33"/>
      <c r="D831" s="46"/>
      <c r="E831" s="46"/>
      <c r="F831" s="46"/>
      <c r="G831" s="46"/>
      <c r="H831" s="46"/>
      <c r="I831" s="46"/>
      <c r="J831" s="46"/>
      <c r="K831" s="33"/>
      <c r="L831" s="33"/>
      <c r="M831" s="33"/>
      <c r="N831" s="46"/>
      <c r="O831" s="46"/>
      <c r="P831" s="46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spans="1:37" ht="33.75" customHeight="1" x14ac:dyDescent="0.5">
      <c r="A832" s="33"/>
      <c r="B832" s="33"/>
      <c r="C832" s="33"/>
      <c r="D832" s="46"/>
      <c r="E832" s="46"/>
      <c r="F832" s="46"/>
      <c r="G832" s="46"/>
      <c r="H832" s="46"/>
      <c r="I832" s="46"/>
      <c r="J832" s="46"/>
      <c r="K832" s="33"/>
      <c r="L832" s="33"/>
      <c r="M832" s="33"/>
      <c r="N832" s="46"/>
      <c r="O832" s="46"/>
      <c r="P832" s="46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spans="1:37" ht="33.75" customHeight="1" x14ac:dyDescent="0.5">
      <c r="A833" s="33"/>
      <c r="B833" s="33"/>
      <c r="C833" s="33"/>
      <c r="D833" s="46"/>
      <c r="E833" s="46"/>
      <c r="F833" s="46"/>
      <c r="G833" s="46"/>
      <c r="H833" s="46"/>
      <c r="I833" s="46"/>
      <c r="J833" s="46"/>
      <c r="K833" s="33"/>
      <c r="L833" s="33"/>
      <c r="M833" s="33"/>
      <c r="N833" s="46"/>
      <c r="O833" s="46"/>
      <c r="P833" s="46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spans="1:37" ht="33.75" customHeight="1" x14ac:dyDescent="0.5">
      <c r="A834" s="33"/>
      <c r="B834" s="33"/>
      <c r="C834" s="33"/>
      <c r="D834" s="46"/>
      <c r="E834" s="46"/>
      <c r="F834" s="46"/>
      <c r="G834" s="46"/>
      <c r="H834" s="46"/>
      <c r="I834" s="46"/>
      <c r="J834" s="46"/>
      <c r="K834" s="33"/>
      <c r="L834" s="33"/>
      <c r="M834" s="33"/>
      <c r="N834" s="46"/>
      <c r="O834" s="46"/>
      <c r="P834" s="46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spans="1:37" ht="33.75" customHeight="1" x14ac:dyDescent="0.5">
      <c r="A835" s="33"/>
      <c r="B835" s="33"/>
      <c r="C835" s="33"/>
      <c r="D835" s="46"/>
      <c r="E835" s="46"/>
      <c r="F835" s="46"/>
      <c r="G835" s="46"/>
      <c r="H835" s="46"/>
      <c r="I835" s="46"/>
      <c r="J835" s="46"/>
      <c r="K835" s="33"/>
      <c r="L835" s="33"/>
      <c r="M835" s="33"/>
      <c r="N835" s="46"/>
      <c r="O835" s="46"/>
      <c r="P835" s="46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spans="1:37" ht="33.75" customHeight="1" x14ac:dyDescent="0.5">
      <c r="A836" s="33"/>
      <c r="B836" s="33"/>
      <c r="C836" s="33"/>
      <c r="D836" s="46"/>
      <c r="E836" s="46"/>
      <c r="F836" s="46"/>
      <c r="G836" s="46"/>
      <c r="H836" s="46"/>
      <c r="I836" s="46"/>
      <c r="J836" s="46"/>
      <c r="K836" s="33"/>
      <c r="L836" s="33"/>
      <c r="M836" s="33"/>
      <c r="N836" s="46"/>
      <c r="O836" s="46"/>
      <c r="P836" s="46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spans="1:37" ht="33.75" customHeight="1" x14ac:dyDescent="0.5">
      <c r="A837" s="33"/>
      <c r="B837" s="33"/>
      <c r="C837" s="33"/>
      <c r="D837" s="46"/>
      <c r="E837" s="46"/>
      <c r="F837" s="46"/>
      <c r="G837" s="46"/>
      <c r="H837" s="46"/>
      <c r="I837" s="46"/>
      <c r="J837" s="46"/>
      <c r="K837" s="33"/>
      <c r="L837" s="33"/>
      <c r="M837" s="33"/>
      <c r="N837" s="46"/>
      <c r="O837" s="46"/>
      <c r="P837" s="46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spans="1:37" ht="33.75" customHeight="1" x14ac:dyDescent="0.5">
      <c r="A838" s="33"/>
      <c r="B838" s="33"/>
      <c r="C838" s="33"/>
      <c r="D838" s="46"/>
      <c r="E838" s="46"/>
      <c r="F838" s="46"/>
      <c r="G838" s="46"/>
      <c r="H838" s="46"/>
      <c r="I838" s="46"/>
      <c r="J838" s="46"/>
      <c r="K838" s="33"/>
      <c r="L838" s="33"/>
      <c r="M838" s="33"/>
      <c r="N838" s="46"/>
      <c r="O838" s="46"/>
      <c r="P838" s="46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spans="1:37" ht="33.75" customHeight="1" x14ac:dyDescent="0.5">
      <c r="A839" s="33"/>
      <c r="B839" s="33"/>
      <c r="C839" s="33"/>
      <c r="D839" s="46"/>
      <c r="E839" s="46"/>
      <c r="F839" s="46"/>
      <c r="G839" s="46"/>
      <c r="H839" s="46"/>
      <c r="I839" s="46"/>
      <c r="J839" s="46"/>
      <c r="K839" s="33"/>
      <c r="L839" s="33"/>
      <c r="M839" s="33"/>
      <c r="N839" s="46"/>
      <c r="O839" s="46"/>
      <c r="P839" s="46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spans="1:37" ht="33.75" customHeight="1" x14ac:dyDescent="0.5">
      <c r="A840" s="33"/>
      <c r="B840" s="33"/>
      <c r="C840" s="33"/>
      <c r="D840" s="46"/>
      <c r="E840" s="46"/>
      <c r="F840" s="46"/>
      <c r="G840" s="46"/>
      <c r="H840" s="46"/>
      <c r="I840" s="46"/>
      <c r="J840" s="46"/>
      <c r="K840" s="33"/>
      <c r="L840" s="33"/>
      <c r="M840" s="33"/>
      <c r="N840" s="46"/>
      <c r="O840" s="46"/>
      <c r="P840" s="46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spans="1:37" ht="33.75" customHeight="1" x14ac:dyDescent="0.5">
      <c r="A841" s="33"/>
      <c r="B841" s="33"/>
      <c r="C841" s="33"/>
      <c r="D841" s="46"/>
      <c r="E841" s="46"/>
      <c r="F841" s="46"/>
      <c r="G841" s="46"/>
      <c r="H841" s="46"/>
      <c r="I841" s="46"/>
      <c r="J841" s="46"/>
      <c r="K841" s="33"/>
      <c r="L841" s="33"/>
      <c r="M841" s="33"/>
      <c r="N841" s="46"/>
      <c r="O841" s="46"/>
      <c r="P841" s="46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spans="1:37" ht="33.75" customHeight="1" x14ac:dyDescent="0.5">
      <c r="A842" s="33"/>
      <c r="B842" s="33"/>
      <c r="C842" s="33"/>
      <c r="D842" s="46"/>
      <c r="E842" s="46"/>
      <c r="F842" s="46"/>
      <c r="G842" s="46"/>
      <c r="H842" s="46"/>
      <c r="I842" s="46"/>
      <c r="J842" s="46"/>
      <c r="K842" s="33"/>
      <c r="L842" s="33"/>
      <c r="M842" s="33"/>
      <c r="N842" s="46"/>
      <c r="O842" s="46"/>
      <c r="P842" s="46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spans="1:37" ht="33.75" customHeight="1" x14ac:dyDescent="0.5">
      <c r="A843" s="33"/>
      <c r="B843" s="33"/>
      <c r="C843" s="33"/>
      <c r="D843" s="46"/>
      <c r="E843" s="46"/>
      <c r="F843" s="46"/>
      <c r="G843" s="46"/>
      <c r="H843" s="46"/>
      <c r="I843" s="46"/>
      <c r="J843" s="46"/>
      <c r="K843" s="33"/>
      <c r="L843" s="33"/>
      <c r="M843" s="33"/>
      <c r="N843" s="46"/>
      <c r="O843" s="46"/>
      <c r="P843" s="46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spans="1:37" ht="33.75" customHeight="1" x14ac:dyDescent="0.5">
      <c r="A844" s="33"/>
      <c r="B844" s="33"/>
      <c r="C844" s="33"/>
      <c r="D844" s="46"/>
      <c r="E844" s="46"/>
      <c r="F844" s="46"/>
      <c r="G844" s="46"/>
      <c r="H844" s="46"/>
      <c r="I844" s="46"/>
      <c r="J844" s="46"/>
      <c r="K844" s="33"/>
      <c r="L844" s="33"/>
      <c r="M844" s="33"/>
      <c r="N844" s="46"/>
      <c r="O844" s="46"/>
      <c r="P844" s="46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spans="1:37" ht="33.75" customHeight="1" x14ac:dyDescent="0.5">
      <c r="A845" s="33"/>
      <c r="B845" s="33"/>
      <c r="C845" s="33"/>
      <c r="D845" s="46"/>
      <c r="E845" s="46"/>
      <c r="F845" s="46"/>
      <c r="G845" s="46"/>
      <c r="H845" s="46"/>
      <c r="I845" s="46"/>
      <c r="J845" s="46"/>
      <c r="K845" s="33"/>
      <c r="L845" s="33"/>
      <c r="M845" s="33"/>
      <c r="N845" s="46"/>
      <c r="O845" s="46"/>
      <c r="P845" s="46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spans="1:37" ht="33.75" customHeight="1" x14ac:dyDescent="0.5">
      <c r="A846" s="33"/>
      <c r="B846" s="33"/>
      <c r="C846" s="33"/>
      <c r="D846" s="46"/>
      <c r="E846" s="46"/>
      <c r="F846" s="46"/>
      <c r="G846" s="46"/>
      <c r="H846" s="46"/>
      <c r="I846" s="46"/>
      <c r="J846" s="46"/>
      <c r="K846" s="33"/>
      <c r="L846" s="33"/>
      <c r="M846" s="33"/>
      <c r="N846" s="46"/>
      <c r="O846" s="46"/>
      <c r="P846" s="46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spans="1:37" ht="33.75" customHeight="1" x14ac:dyDescent="0.5">
      <c r="A847" s="33"/>
      <c r="B847" s="33"/>
      <c r="C847" s="33"/>
      <c r="D847" s="46"/>
      <c r="E847" s="46"/>
      <c r="F847" s="46"/>
      <c r="G847" s="46"/>
      <c r="H847" s="46"/>
      <c r="I847" s="46"/>
      <c r="J847" s="46"/>
      <c r="K847" s="33"/>
      <c r="L847" s="33"/>
      <c r="M847" s="33"/>
      <c r="N847" s="46"/>
      <c r="O847" s="46"/>
      <c r="P847" s="46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spans="1:37" ht="33.75" customHeight="1" x14ac:dyDescent="0.5">
      <c r="A848" s="33"/>
      <c r="B848" s="33"/>
      <c r="C848" s="33"/>
      <c r="D848" s="46"/>
      <c r="E848" s="46"/>
      <c r="F848" s="46"/>
      <c r="G848" s="46"/>
      <c r="H848" s="46"/>
      <c r="I848" s="46"/>
      <c r="J848" s="46"/>
      <c r="K848" s="33"/>
      <c r="L848" s="33"/>
      <c r="M848" s="33"/>
      <c r="N848" s="46"/>
      <c r="O848" s="46"/>
      <c r="P848" s="46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spans="1:37" ht="33.75" customHeight="1" x14ac:dyDescent="0.5">
      <c r="A849" s="33"/>
      <c r="B849" s="33"/>
      <c r="C849" s="33"/>
      <c r="D849" s="46"/>
      <c r="E849" s="46"/>
      <c r="F849" s="46"/>
      <c r="G849" s="46"/>
      <c r="H849" s="46"/>
      <c r="I849" s="46"/>
      <c r="J849" s="46"/>
      <c r="K849" s="33"/>
      <c r="L849" s="33"/>
      <c r="M849" s="33"/>
      <c r="N849" s="46"/>
      <c r="O849" s="46"/>
      <c r="P849" s="46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spans="1:37" ht="33.75" customHeight="1" x14ac:dyDescent="0.5">
      <c r="A850" s="33"/>
      <c r="B850" s="33"/>
      <c r="C850" s="33"/>
      <c r="D850" s="46"/>
      <c r="E850" s="46"/>
      <c r="F850" s="46"/>
      <c r="G850" s="46"/>
      <c r="H850" s="46"/>
      <c r="I850" s="46"/>
      <c r="J850" s="46"/>
      <c r="K850" s="33"/>
      <c r="L850" s="33"/>
      <c r="M850" s="33"/>
      <c r="N850" s="46"/>
      <c r="O850" s="46"/>
      <c r="P850" s="46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spans="1:37" ht="33.75" customHeight="1" x14ac:dyDescent="0.5">
      <c r="A851" s="33"/>
      <c r="B851" s="33"/>
      <c r="C851" s="33"/>
      <c r="D851" s="46"/>
      <c r="E851" s="46"/>
      <c r="F851" s="46"/>
      <c r="G851" s="46"/>
      <c r="H851" s="46"/>
      <c r="I851" s="46"/>
      <c r="J851" s="46"/>
      <c r="K851" s="33"/>
      <c r="L851" s="33"/>
      <c r="M851" s="33"/>
      <c r="N851" s="46"/>
      <c r="O851" s="46"/>
      <c r="P851" s="46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spans="1:37" ht="33.75" customHeight="1" x14ac:dyDescent="0.5">
      <c r="A852" s="33"/>
      <c r="B852" s="33"/>
      <c r="C852" s="33"/>
      <c r="D852" s="46"/>
      <c r="E852" s="46"/>
      <c r="F852" s="46"/>
      <c r="G852" s="46"/>
      <c r="H852" s="46"/>
      <c r="I852" s="46"/>
      <c r="J852" s="46"/>
      <c r="K852" s="33"/>
      <c r="L852" s="33"/>
      <c r="M852" s="33"/>
      <c r="N852" s="46"/>
      <c r="O852" s="46"/>
      <c r="P852" s="46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spans="1:37" ht="33.75" customHeight="1" x14ac:dyDescent="0.5">
      <c r="A853" s="33"/>
      <c r="B853" s="33"/>
      <c r="C853" s="33"/>
      <c r="D853" s="46"/>
      <c r="E853" s="46"/>
      <c r="F853" s="46"/>
      <c r="G853" s="46"/>
      <c r="H853" s="46"/>
      <c r="I853" s="46"/>
      <c r="J853" s="46"/>
      <c r="K853" s="33"/>
      <c r="L853" s="33"/>
      <c r="M853" s="33"/>
      <c r="N853" s="46"/>
      <c r="O853" s="46"/>
      <c r="P853" s="46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spans="1:37" ht="33.75" customHeight="1" x14ac:dyDescent="0.5">
      <c r="A854" s="33"/>
      <c r="B854" s="33"/>
      <c r="C854" s="33"/>
      <c r="D854" s="46"/>
      <c r="E854" s="46"/>
      <c r="F854" s="46"/>
      <c r="G854" s="46"/>
      <c r="H854" s="46"/>
      <c r="I854" s="46"/>
      <c r="J854" s="46"/>
      <c r="K854" s="33"/>
      <c r="L854" s="33"/>
      <c r="M854" s="33"/>
      <c r="N854" s="46"/>
      <c r="O854" s="46"/>
      <c r="P854" s="46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spans="1:37" ht="33.75" customHeight="1" x14ac:dyDescent="0.5">
      <c r="A855" s="33"/>
      <c r="B855" s="33"/>
      <c r="C855" s="33"/>
      <c r="D855" s="46"/>
      <c r="E855" s="46"/>
      <c r="F855" s="46"/>
      <c r="G855" s="46"/>
      <c r="H855" s="46"/>
      <c r="I855" s="46"/>
      <c r="J855" s="46"/>
      <c r="K855" s="33"/>
      <c r="L855" s="33"/>
      <c r="M855" s="33"/>
      <c r="N855" s="46"/>
      <c r="O855" s="46"/>
      <c r="P855" s="46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spans="1:37" ht="33.75" customHeight="1" x14ac:dyDescent="0.5">
      <c r="A856" s="33"/>
      <c r="B856" s="33"/>
      <c r="C856" s="33"/>
      <c r="D856" s="46"/>
      <c r="E856" s="46"/>
      <c r="F856" s="46"/>
      <c r="G856" s="46"/>
      <c r="H856" s="46"/>
      <c r="I856" s="46"/>
      <c r="J856" s="46"/>
      <c r="K856" s="33"/>
      <c r="L856" s="33"/>
      <c r="M856" s="33"/>
      <c r="N856" s="46"/>
      <c r="O856" s="46"/>
      <c r="P856" s="46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spans="1:37" ht="33.75" customHeight="1" x14ac:dyDescent="0.5">
      <c r="A857" s="33"/>
      <c r="B857" s="33"/>
      <c r="C857" s="33"/>
      <c r="D857" s="46"/>
      <c r="E857" s="46"/>
      <c r="F857" s="46"/>
      <c r="G857" s="46"/>
      <c r="H857" s="46"/>
      <c r="I857" s="46"/>
      <c r="J857" s="46"/>
      <c r="K857" s="33"/>
      <c r="L857" s="33"/>
      <c r="M857" s="33"/>
      <c r="N857" s="46"/>
      <c r="O857" s="46"/>
      <c r="P857" s="46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spans="1:37" ht="33.75" customHeight="1" x14ac:dyDescent="0.5">
      <c r="A858" s="33"/>
      <c r="B858" s="33"/>
      <c r="C858" s="33"/>
      <c r="D858" s="46"/>
      <c r="E858" s="46"/>
      <c r="F858" s="46"/>
      <c r="G858" s="46"/>
      <c r="H858" s="46"/>
      <c r="I858" s="46"/>
      <c r="J858" s="46"/>
      <c r="K858" s="33"/>
      <c r="L858" s="33"/>
      <c r="M858" s="33"/>
      <c r="N858" s="46"/>
      <c r="O858" s="46"/>
      <c r="P858" s="46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spans="1:37" ht="33.75" customHeight="1" x14ac:dyDescent="0.5">
      <c r="A859" s="33"/>
      <c r="B859" s="33"/>
      <c r="C859" s="33"/>
      <c r="D859" s="46"/>
      <c r="E859" s="46"/>
      <c r="F859" s="46"/>
      <c r="G859" s="46"/>
      <c r="H859" s="46"/>
      <c r="I859" s="46"/>
      <c r="J859" s="46"/>
      <c r="K859" s="33"/>
      <c r="L859" s="33"/>
      <c r="M859" s="33"/>
      <c r="N859" s="46"/>
      <c r="O859" s="46"/>
      <c r="P859" s="46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spans="1:37" ht="33.75" customHeight="1" x14ac:dyDescent="0.5">
      <c r="A860" s="33"/>
      <c r="B860" s="33"/>
      <c r="C860" s="33"/>
      <c r="D860" s="46"/>
      <c r="E860" s="46"/>
      <c r="F860" s="46"/>
      <c r="G860" s="46"/>
      <c r="H860" s="46"/>
      <c r="I860" s="46"/>
      <c r="J860" s="46"/>
      <c r="K860" s="33"/>
      <c r="L860" s="33"/>
      <c r="M860" s="33"/>
      <c r="N860" s="46"/>
      <c r="O860" s="46"/>
      <c r="P860" s="46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spans="1:37" ht="33.75" customHeight="1" x14ac:dyDescent="0.5">
      <c r="A861" s="33"/>
      <c r="B861" s="33"/>
      <c r="C861" s="33"/>
      <c r="D861" s="46"/>
      <c r="E861" s="46"/>
      <c r="F861" s="46"/>
      <c r="G861" s="46"/>
      <c r="H861" s="46"/>
      <c r="I861" s="46"/>
      <c r="J861" s="46"/>
      <c r="K861" s="33"/>
      <c r="L861" s="33"/>
      <c r="M861" s="33"/>
      <c r="N861" s="46"/>
      <c r="O861" s="46"/>
      <c r="P861" s="46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spans="1:37" ht="33.75" customHeight="1" x14ac:dyDescent="0.5">
      <c r="A862" s="33"/>
      <c r="B862" s="33"/>
      <c r="C862" s="33"/>
      <c r="D862" s="46"/>
      <c r="E862" s="46"/>
      <c r="F862" s="46"/>
      <c r="G862" s="46"/>
      <c r="H862" s="46"/>
      <c r="I862" s="46"/>
      <c r="J862" s="46"/>
      <c r="K862" s="33"/>
      <c r="L862" s="33"/>
      <c r="M862" s="33"/>
      <c r="N862" s="46"/>
      <c r="O862" s="46"/>
      <c r="P862" s="46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spans="1:37" ht="33.75" customHeight="1" x14ac:dyDescent="0.5">
      <c r="A863" s="33"/>
      <c r="B863" s="33"/>
      <c r="C863" s="33"/>
      <c r="D863" s="46"/>
      <c r="E863" s="46"/>
      <c r="F863" s="46"/>
      <c r="G863" s="46"/>
      <c r="H863" s="46"/>
      <c r="I863" s="46"/>
      <c r="J863" s="46"/>
      <c r="K863" s="33"/>
      <c r="L863" s="33"/>
      <c r="M863" s="33"/>
      <c r="N863" s="46"/>
      <c r="O863" s="46"/>
      <c r="P863" s="46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spans="1:37" ht="33.75" customHeight="1" x14ac:dyDescent="0.5">
      <c r="A864" s="33"/>
      <c r="B864" s="33"/>
      <c r="C864" s="33"/>
      <c r="D864" s="46"/>
      <c r="E864" s="46"/>
      <c r="F864" s="46"/>
      <c r="G864" s="46"/>
      <c r="H864" s="46"/>
      <c r="I864" s="46"/>
      <c r="J864" s="46"/>
      <c r="K864" s="33"/>
      <c r="L864" s="33"/>
      <c r="M864" s="33"/>
      <c r="N864" s="46"/>
      <c r="O864" s="46"/>
      <c r="P864" s="46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spans="1:37" ht="33.75" customHeight="1" x14ac:dyDescent="0.5">
      <c r="A865" s="33"/>
      <c r="B865" s="33"/>
      <c r="C865" s="33"/>
      <c r="D865" s="46"/>
      <c r="E865" s="46"/>
      <c r="F865" s="46"/>
      <c r="G865" s="46"/>
      <c r="H865" s="46"/>
      <c r="I865" s="46"/>
      <c r="J865" s="46"/>
      <c r="K865" s="33"/>
      <c r="L865" s="33"/>
      <c r="M865" s="33"/>
      <c r="N865" s="46"/>
      <c r="O865" s="46"/>
      <c r="P865" s="46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spans="1:37" ht="33.75" customHeight="1" x14ac:dyDescent="0.5">
      <c r="A866" s="33"/>
      <c r="B866" s="33"/>
      <c r="C866" s="33"/>
      <c r="D866" s="46"/>
      <c r="E866" s="46"/>
      <c r="F866" s="46"/>
      <c r="G866" s="46"/>
      <c r="H866" s="46"/>
      <c r="I866" s="46"/>
      <c r="J866" s="46"/>
      <c r="K866" s="33"/>
      <c r="L866" s="33"/>
      <c r="M866" s="33"/>
      <c r="N866" s="46"/>
      <c r="O866" s="46"/>
      <c r="P866" s="46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spans="1:37" ht="33.75" customHeight="1" x14ac:dyDescent="0.5">
      <c r="A867" s="33"/>
      <c r="B867" s="33"/>
      <c r="C867" s="33"/>
      <c r="D867" s="46"/>
      <c r="E867" s="46"/>
      <c r="F867" s="46"/>
      <c r="G867" s="46"/>
      <c r="H867" s="46"/>
      <c r="I867" s="46"/>
      <c r="J867" s="46"/>
      <c r="K867" s="33"/>
      <c r="L867" s="33"/>
      <c r="M867" s="33"/>
      <c r="N867" s="46"/>
      <c r="O867" s="46"/>
      <c r="P867" s="46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spans="1:37" ht="33.75" customHeight="1" x14ac:dyDescent="0.5">
      <c r="A868" s="33"/>
      <c r="B868" s="33"/>
      <c r="C868" s="33"/>
      <c r="D868" s="46"/>
      <c r="E868" s="46"/>
      <c r="F868" s="46"/>
      <c r="G868" s="46"/>
      <c r="H868" s="46"/>
      <c r="I868" s="46"/>
      <c r="J868" s="46"/>
      <c r="K868" s="33"/>
      <c r="L868" s="33"/>
      <c r="M868" s="33"/>
      <c r="N868" s="46"/>
      <c r="O868" s="46"/>
      <c r="P868" s="46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spans="1:37" ht="33.75" customHeight="1" x14ac:dyDescent="0.5">
      <c r="A869" s="33"/>
      <c r="B869" s="33"/>
      <c r="C869" s="33"/>
      <c r="D869" s="46"/>
      <c r="E869" s="46"/>
      <c r="F869" s="46"/>
      <c r="G869" s="46"/>
      <c r="H869" s="46"/>
      <c r="I869" s="46"/>
      <c r="J869" s="46"/>
      <c r="K869" s="33"/>
      <c r="L869" s="33"/>
      <c r="M869" s="33"/>
      <c r="N869" s="46"/>
      <c r="O869" s="46"/>
      <c r="P869" s="46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spans="1:37" ht="33.75" customHeight="1" x14ac:dyDescent="0.5">
      <c r="A870" s="33"/>
      <c r="B870" s="33"/>
      <c r="C870" s="33"/>
      <c r="D870" s="46"/>
      <c r="E870" s="46"/>
      <c r="F870" s="46"/>
      <c r="G870" s="46"/>
      <c r="H870" s="46"/>
      <c r="I870" s="46"/>
      <c r="J870" s="46"/>
      <c r="K870" s="33"/>
      <c r="L870" s="33"/>
      <c r="M870" s="33"/>
      <c r="N870" s="46"/>
      <c r="O870" s="46"/>
      <c r="P870" s="46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spans="1:37" ht="33.75" customHeight="1" x14ac:dyDescent="0.5">
      <c r="A871" s="33"/>
      <c r="B871" s="33"/>
      <c r="C871" s="33"/>
      <c r="D871" s="46"/>
      <c r="E871" s="46"/>
      <c r="F871" s="46"/>
      <c r="G871" s="46"/>
      <c r="H871" s="46"/>
      <c r="I871" s="46"/>
      <c r="J871" s="46"/>
      <c r="K871" s="33"/>
      <c r="L871" s="33"/>
      <c r="M871" s="33"/>
      <c r="N871" s="46"/>
      <c r="O871" s="46"/>
      <c r="P871" s="46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spans="1:37" ht="33.75" customHeight="1" x14ac:dyDescent="0.5">
      <c r="A872" s="33"/>
      <c r="B872" s="33"/>
      <c r="C872" s="33"/>
      <c r="D872" s="46"/>
      <c r="E872" s="46"/>
      <c r="F872" s="46"/>
      <c r="G872" s="46"/>
      <c r="H872" s="46"/>
      <c r="I872" s="46"/>
      <c r="J872" s="46"/>
      <c r="K872" s="33"/>
      <c r="L872" s="33"/>
      <c r="M872" s="33"/>
      <c r="N872" s="46"/>
      <c r="O872" s="46"/>
      <c r="P872" s="46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spans="1:37" ht="33.75" customHeight="1" x14ac:dyDescent="0.5">
      <c r="A873" s="33"/>
      <c r="B873" s="33"/>
      <c r="C873" s="33"/>
      <c r="D873" s="46"/>
      <c r="E873" s="46"/>
      <c r="F873" s="46"/>
      <c r="G873" s="46"/>
      <c r="H873" s="46"/>
      <c r="I873" s="46"/>
      <c r="J873" s="46"/>
      <c r="K873" s="33"/>
      <c r="L873" s="33"/>
      <c r="M873" s="33"/>
      <c r="N873" s="46"/>
      <c r="O873" s="46"/>
      <c r="P873" s="46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spans="1:37" ht="33.75" customHeight="1" x14ac:dyDescent="0.5">
      <c r="A874" s="33"/>
      <c r="B874" s="33"/>
      <c r="C874" s="33"/>
      <c r="D874" s="46"/>
      <c r="E874" s="46"/>
      <c r="F874" s="46"/>
      <c r="G874" s="46"/>
      <c r="H874" s="46"/>
      <c r="I874" s="46"/>
      <c r="J874" s="46"/>
      <c r="K874" s="33"/>
      <c r="L874" s="33"/>
      <c r="M874" s="33"/>
      <c r="N874" s="46"/>
      <c r="O874" s="46"/>
      <c r="P874" s="46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spans="1:37" ht="33.75" customHeight="1" x14ac:dyDescent="0.5">
      <c r="A875" s="33"/>
      <c r="B875" s="33"/>
      <c r="C875" s="33"/>
      <c r="D875" s="46"/>
      <c r="E875" s="46"/>
      <c r="F875" s="46"/>
      <c r="G875" s="46"/>
      <c r="H875" s="46"/>
      <c r="I875" s="46"/>
      <c r="J875" s="46"/>
      <c r="K875" s="33"/>
      <c r="L875" s="33"/>
      <c r="M875" s="33"/>
      <c r="N875" s="46"/>
      <c r="O875" s="46"/>
      <c r="P875" s="46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spans="1:37" ht="33.75" customHeight="1" x14ac:dyDescent="0.5">
      <c r="A876" s="33"/>
      <c r="B876" s="33"/>
      <c r="C876" s="33"/>
      <c r="D876" s="46"/>
      <c r="E876" s="46"/>
      <c r="F876" s="46"/>
      <c r="G876" s="46"/>
      <c r="H876" s="46"/>
      <c r="I876" s="46"/>
      <c r="J876" s="46"/>
      <c r="K876" s="33"/>
      <c r="L876" s="33"/>
      <c r="M876" s="33"/>
      <c r="N876" s="46"/>
      <c r="O876" s="46"/>
      <c r="P876" s="46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spans="1:37" ht="33.75" customHeight="1" x14ac:dyDescent="0.5">
      <c r="A877" s="33"/>
      <c r="B877" s="33"/>
      <c r="C877" s="33"/>
      <c r="D877" s="46"/>
      <c r="E877" s="46"/>
      <c r="F877" s="46"/>
      <c r="G877" s="46"/>
      <c r="H877" s="46"/>
      <c r="I877" s="46"/>
      <c r="J877" s="46"/>
      <c r="K877" s="33"/>
      <c r="L877" s="33"/>
      <c r="M877" s="33"/>
      <c r="N877" s="46"/>
      <c r="O877" s="46"/>
      <c r="P877" s="46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spans="1:37" ht="33.75" customHeight="1" x14ac:dyDescent="0.5">
      <c r="A878" s="33"/>
      <c r="B878" s="33"/>
      <c r="C878" s="33"/>
      <c r="D878" s="46"/>
      <c r="E878" s="46"/>
      <c r="F878" s="46"/>
      <c r="G878" s="46"/>
      <c r="H878" s="46"/>
      <c r="I878" s="46"/>
      <c r="J878" s="46"/>
      <c r="K878" s="33"/>
      <c r="L878" s="33"/>
      <c r="M878" s="33"/>
      <c r="N878" s="46"/>
      <c r="O878" s="46"/>
      <c r="P878" s="46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spans="1:37" ht="33.75" customHeight="1" x14ac:dyDescent="0.5">
      <c r="A879" s="33"/>
      <c r="B879" s="33"/>
      <c r="C879" s="33"/>
      <c r="D879" s="46"/>
      <c r="E879" s="46"/>
      <c r="F879" s="46"/>
      <c r="G879" s="46"/>
      <c r="H879" s="46"/>
      <c r="I879" s="46"/>
      <c r="J879" s="46"/>
      <c r="K879" s="33"/>
      <c r="L879" s="33"/>
      <c r="M879" s="33"/>
      <c r="N879" s="46"/>
      <c r="O879" s="46"/>
      <c r="P879" s="46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spans="1:37" ht="33.75" customHeight="1" x14ac:dyDescent="0.5">
      <c r="A880" s="33"/>
      <c r="B880" s="33"/>
      <c r="C880" s="33"/>
      <c r="D880" s="46"/>
      <c r="E880" s="46"/>
      <c r="F880" s="46"/>
      <c r="G880" s="46"/>
      <c r="H880" s="46"/>
      <c r="I880" s="46"/>
      <c r="J880" s="46"/>
      <c r="K880" s="33"/>
      <c r="L880" s="33"/>
      <c r="M880" s="33"/>
      <c r="N880" s="46"/>
      <c r="O880" s="46"/>
      <c r="P880" s="46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spans="1:37" ht="33.75" customHeight="1" x14ac:dyDescent="0.5">
      <c r="A881" s="33"/>
      <c r="B881" s="33"/>
      <c r="C881" s="33"/>
      <c r="D881" s="46"/>
      <c r="E881" s="46"/>
      <c r="F881" s="46"/>
      <c r="G881" s="46"/>
      <c r="H881" s="46"/>
      <c r="I881" s="46"/>
      <c r="J881" s="46"/>
      <c r="K881" s="33"/>
      <c r="L881" s="33"/>
      <c r="M881" s="33"/>
      <c r="N881" s="46"/>
      <c r="O881" s="46"/>
      <c r="P881" s="46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spans="1:37" ht="33.75" customHeight="1" x14ac:dyDescent="0.5">
      <c r="A882" s="33"/>
      <c r="B882" s="33"/>
      <c r="C882" s="33"/>
      <c r="D882" s="46"/>
      <c r="E882" s="46"/>
      <c r="F882" s="46"/>
      <c r="G882" s="46"/>
      <c r="H882" s="46"/>
      <c r="I882" s="46"/>
      <c r="J882" s="46"/>
      <c r="K882" s="33"/>
      <c r="L882" s="33"/>
      <c r="M882" s="33"/>
      <c r="N882" s="46"/>
      <c r="O882" s="46"/>
      <c r="P882" s="46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spans="1:37" ht="33.75" customHeight="1" x14ac:dyDescent="0.5">
      <c r="A883" s="33"/>
      <c r="B883" s="33"/>
      <c r="C883" s="33"/>
      <c r="D883" s="46"/>
      <c r="E883" s="46"/>
      <c r="F883" s="46"/>
      <c r="G883" s="46"/>
      <c r="H883" s="46"/>
      <c r="I883" s="46"/>
      <c r="J883" s="46"/>
      <c r="K883" s="33"/>
      <c r="L883" s="33"/>
      <c r="M883" s="33"/>
      <c r="N883" s="46"/>
      <c r="O883" s="46"/>
      <c r="P883" s="46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spans="1:37" ht="33.75" customHeight="1" x14ac:dyDescent="0.5">
      <c r="A884" s="33"/>
      <c r="B884" s="33"/>
      <c r="C884" s="33"/>
      <c r="D884" s="46"/>
      <c r="E884" s="46"/>
      <c r="F884" s="46"/>
      <c r="G884" s="46"/>
      <c r="H884" s="46"/>
      <c r="I884" s="46"/>
      <c r="J884" s="46"/>
      <c r="K884" s="33"/>
      <c r="L884" s="33"/>
      <c r="M884" s="33"/>
      <c r="N884" s="46"/>
      <c r="O884" s="46"/>
      <c r="P884" s="46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spans="1:37" ht="33.75" customHeight="1" x14ac:dyDescent="0.5">
      <c r="A885" s="33"/>
      <c r="B885" s="33"/>
      <c r="C885" s="33"/>
      <c r="D885" s="46"/>
      <c r="E885" s="46"/>
      <c r="F885" s="46"/>
      <c r="G885" s="46"/>
      <c r="H885" s="46"/>
      <c r="I885" s="46"/>
      <c r="J885" s="46"/>
      <c r="K885" s="33"/>
      <c r="L885" s="33"/>
      <c r="M885" s="33"/>
      <c r="N885" s="46"/>
      <c r="O885" s="46"/>
      <c r="P885" s="46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spans="1:37" ht="33.75" customHeight="1" x14ac:dyDescent="0.5">
      <c r="A886" s="33"/>
      <c r="B886" s="33"/>
      <c r="C886" s="33"/>
      <c r="D886" s="46"/>
      <c r="E886" s="46"/>
      <c r="F886" s="46"/>
      <c r="G886" s="46"/>
      <c r="H886" s="46"/>
      <c r="I886" s="46"/>
      <c r="J886" s="46"/>
      <c r="K886" s="33"/>
      <c r="L886" s="33"/>
      <c r="M886" s="33"/>
      <c r="N886" s="46"/>
      <c r="O886" s="46"/>
      <c r="P886" s="46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spans="1:37" ht="33.75" customHeight="1" x14ac:dyDescent="0.5">
      <c r="A887" s="33"/>
      <c r="B887" s="33"/>
      <c r="C887" s="33"/>
      <c r="D887" s="46"/>
      <c r="E887" s="46"/>
      <c r="F887" s="46"/>
      <c r="G887" s="46"/>
      <c r="H887" s="46"/>
      <c r="I887" s="46"/>
      <c r="J887" s="46"/>
      <c r="K887" s="33"/>
      <c r="L887" s="33"/>
      <c r="M887" s="33"/>
      <c r="N887" s="46"/>
      <c r="O887" s="46"/>
      <c r="P887" s="46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spans="1:37" ht="33.75" customHeight="1" x14ac:dyDescent="0.5">
      <c r="A888" s="33"/>
      <c r="B888" s="33"/>
      <c r="C888" s="33"/>
      <c r="D888" s="46"/>
      <c r="E888" s="46"/>
      <c r="F888" s="46"/>
      <c r="G888" s="46"/>
      <c r="H888" s="46"/>
      <c r="I888" s="46"/>
      <c r="J888" s="46"/>
      <c r="K888" s="33"/>
      <c r="L888" s="33"/>
      <c r="M888" s="33"/>
      <c r="N888" s="46"/>
      <c r="O888" s="46"/>
      <c r="P888" s="46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spans="1:37" ht="33.75" customHeight="1" x14ac:dyDescent="0.5">
      <c r="A889" s="33"/>
      <c r="B889" s="33"/>
      <c r="C889" s="33"/>
      <c r="D889" s="46"/>
      <c r="E889" s="46"/>
      <c r="F889" s="46"/>
      <c r="G889" s="46"/>
      <c r="H889" s="46"/>
      <c r="I889" s="46"/>
      <c r="J889" s="46"/>
      <c r="K889" s="33"/>
      <c r="L889" s="33"/>
      <c r="M889" s="33"/>
      <c r="N889" s="46"/>
      <c r="O889" s="46"/>
      <c r="P889" s="46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spans="1:37" ht="33.75" customHeight="1" x14ac:dyDescent="0.5">
      <c r="A890" s="33"/>
      <c r="B890" s="33"/>
      <c r="C890" s="33"/>
      <c r="D890" s="46"/>
      <c r="E890" s="46"/>
      <c r="F890" s="46"/>
      <c r="G890" s="46"/>
      <c r="H890" s="46"/>
      <c r="I890" s="46"/>
      <c r="J890" s="46"/>
      <c r="K890" s="33"/>
      <c r="L890" s="33"/>
      <c r="M890" s="33"/>
      <c r="N890" s="46"/>
      <c r="O890" s="46"/>
      <c r="P890" s="46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spans="1:37" ht="33.75" customHeight="1" x14ac:dyDescent="0.5">
      <c r="A891" s="33"/>
      <c r="B891" s="33"/>
      <c r="C891" s="33"/>
      <c r="D891" s="46"/>
      <c r="E891" s="46"/>
      <c r="F891" s="46"/>
      <c r="G891" s="46"/>
      <c r="H891" s="46"/>
      <c r="I891" s="46"/>
      <c r="J891" s="46"/>
      <c r="K891" s="33"/>
      <c r="L891" s="33"/>
      <c r="M891" s="33"/>
      <c r="N891" s="46"/>
      <c r="O891" s="46"/>
      <c r="P891" s="46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spans="1:37" ht="33.75" customHeight="1" x14ac:dyDescent="0.5">
      <c r="A892" s="33"/>
      <c r="B892" s="33"/>
      <c r="C892" s="33"/>
      <c r="D892" s="46"/>
      <c r="E892" s="46"/>
      <c r="F892" s="46"/>
      <c r="G892" s="46"/>
      <c r="H892" s="46"/>
      <c r="I892" s="46"/>
      <c r="J892" s="46"/>
      <c r="K892" s="33"/>
      <c r="L892" s="33"/>
      <c r="M892" s="33"/>
      <c r="N892" s="46"/>
      <c r="O892" s="46"/>
      <c r="P892" s="46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spans="1:37" ht="33.75" customHeight="1" x14ac:dyDescent="0.5">
      <c r="A893" s="33"/>
      <c r="B893" s="33"/>
      <c r="C893" s="33"/>
      <c r="D893" s="46"/>
      <c r="E893" s="46"/>
      <c r="F893" s="46"/>
      <c r="G893" s="46"/>
      <c r="H893" s="46"/>
      <c r="I893" s="46"/>
      <c r="J893" s="46"/>
      <c r="K893" s="33"/>
      <c r="L893" s="33"/>
      <c r="M893" s="33"/>
      <c r="N893" s="46"/>
      <c r="O893" s="46"/>
      <c r="P893" s="46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spans="1:37" ht="33.75" customHeight="1" x14ac:dyDescent="0.5">
      <c r="A894" s="33"/>
      <c r="B894" s="33"/>
      <c r="C894" s="33"/>
      <c r="D894" s="46"/>
      <c r="E894" s="46"/>
      <c r="F894" s="46"/>
      <c r="G894" s="46"/>
      <c r="H894" s="46"/>
      <c r="I894" s="46"/>
      <c r="J894" s="46"/>
      <c r="K894" s="33"/>
      <c r="L894" s="33"/>
      <c r="M894" s="33"/>
      <c r="N894" s="46"/>
      <c r="O894" s="46"/>
      <c r="P894" s="46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spans="1:37" ht="33.75" customHeight="1" x14ac:dyDescent="0.5">
      <c r="A895" s="33"/>
      <c r="B895" s="33"/>
      <c r="C895" s="33"/>
      <c r="D895" s="46"/>
      <c r="E895" s="46"/>
      <c r="F895" s="46"/>
      <c r="G895" s="46"/>
      <c r="H895" s="46"/>
      <c r="I895" s="46"/>
      <c r="J895" s="46"/>
      <c r="K895" s="33"/>
      <c r="L895" s="33"/>
      <c r="M895" s="33"/>
      <c r="N895" s="46"/>
      <c r="O895" s="46"/>
      <c r="P895" s="46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spans="1:37" ht="33.75" customHeight="1" x14ac:dyDescent="0.5">
      <c r="A896" s="33"/>
      <c r="B896" s="33"/>
      <c r="C896" s="33"/>
      <c r="D896" s="46"/>
      <c r="E896" s="46"/>
      <c r="F896" s="46"/>
      <c r="G896" s="46"/>
      <c r="H896" s="46"/>
      <c r="I896" s="46"/>
      <c r="J896" s="46"/>
      <c r="K896" s="33"/>
      <c r="L896" s="33"/>
      <c r="M896" s="33"/>
      <c r="N896" s="46"/>
      <c r="O896" s="46"/>
      <c r="P896" s="46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spans="1:37" ht="33.75" customHeight="1" x14ac:dyDescent="0.5">
      <c r="A897" s="33"/>
      <c r="B897" s="33"/>
      <c r="C897" s="33"/>
      <c r="D897" s="46"/>
      <c r="E897" s="46"/>
      <c r="F897" s="46"/>
      <c r="G897" s="46"/>
      <c r="H897" s="46"/>
      <c r="I897" s="46"/>
      <c r="J897" s="46"/>
      <c r="K897" s="33"/>
      <c r="L897" s="33"/>
      <c r="M897" s="33"/>
      <c r="N897" s="46"/>
      <c r="O897" s="46"/>
      <c r="P897" s="46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spans="1:37" ht="33.75" customHeight="1" x14ac:dyDescent="0.5">
      <c r="A898" s="33"/>
      <c r="B898" s="33"/>
      <c r="C898" s="33"/>
      <c r="D898" s="46"/>
      <c r="E898" s="46"/>
      <c r="F898" s="46"/>
      <c r="G898" s="46"/>
      <c r="H898" s="46"/>
      <c r="I898" s="46"/>
      <c r="J898" s="46"/>
      <c r="K898" s="33"/>
      <c r="L898" s="33"/>
      <c r="M898" s="33"/>
      <c r="N898" s="46"/>
      <c r="O898" s="46"/>
      <c r="P898" s="46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spans="1:37" ht="33.75" customHeight="1" x14ac:dyDescent="0.5">
      <c r="A899" s="33"/>
      <c r="B899" s="33"/>
      <c r="C899" s="33"/>
      <c r="D899" s="46"/>
      <c r="E899" s="46"/>
      <c r="F899" s="46"/>
      <c r="G899" s="46"/>
      <c r="H899" s="46"/>
      <c r="I899" s="46"/>
      <c r="J899" s="46"/>
      <c r="K899" s="33"/>
      <c r="L899" s="33"/>
      <c r="M899" s="33"/>
      <c r="N899" s="46"/>
      <c r="O899" s="46"/>
      <c r="P899" s="46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spans="1:37" ht="33.75" customHeight="1" x14ac:dyDescent="0.5">
      <c r="A900" s="33"/>
      <c r="B900" s="33"/>
      <c r="C900" s="33"/>
      <c r="D900" s="46"/>
      <c r="E900" s="46"/>
      <c r="F900" s="46"/>
      <c r="G900" s="46"/>
      <c r="H900" s="46"/>
      <c r="I900" s="46"/>
      <c r="J900" s="46"/>
      <c r="K900" s="33"/>
      <c r="L900" s="33"/>
      <c r="M900" s="33"/>
      <c r="N900" s="46"/>
      <c r="O900" s="46"/>
      <c r="P900" s="46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spans="1:37" ht="33.75" customHeight="1" x14ac:dyDescent="0.5">
      <c r="A901" s="33"/>
      <c r="B901" s="33"/>
      <c r="C901" s="33"/>
      <c r="D901" s="46"/>
      <c r="E901" s="46"/>
      <c r="F901" s="46"/>
      <c r="G901" s="46"/>
      <c r="H901" s="46"/>
      <c r="I901" s="46"/>
      <c r="J901" s="46"/>
      <c r="K901" s="33"/>
      <c r="L901" s="33"/>
      <c r="M901" s="33"/>
      <c r="N901" s="46"/>
      <c r="O901" s="46"/>
      <c r="P901" s="46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spans="1:37" ht="33.75" customHeight="1" x14ac:dyDescent="0.5">
      <c r="A902" s="33"/>
      <c r="B902" s="33"/>
      <c r="C902" s="33"/>
      <c r="D902" s="46"/>
      <c r="E902" s="46"/>
      <c r="F902" s="46"/>
      <c r="G902" s="46"/>
      <c r="H902" s="46"/>
      <c r="I902" s="46"/>
      <c r="J902" s="46"/>
      <c r="K902" s="33"/>
      <c r="L902" s="33"/>
      <c r="M902" s="33"/>
      <c r="N902" s="46"/>
      <c r="O902" s="46"/>
      <c r="P902" s="46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spans="1:37" ht="33.75" customHeight="1" x14ac:dyDescent="0.5">
      <c r="A903" s="33"/>
      <c r="B903" s="33"/>
      <c r="C903" s="33"/>
      <c r="D903" s="46"/>
      <c r="E903" s="46"/>
      <c r="F903" s="46"/>
      <c r="G903" s="46"/>
      <c r="H903" s="46"/>
      <c r="I903" s="46"/>
      <c r="J903" s="46"/>
      <c r="K903" s="33"/>
      <c r="L903" s="33"/>
      <c r="M903" s="33"/>
      <c r="N903" s="46"/>
      <c r="O903" s="46"/>
      <c r="P903" s="46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spans="1:37" ht="33.75" customHeight="1" x14ac:dyDescent="0.5">
      <c r="A904" s="33"/>
      <c r="B904" s="33"/>
      <c r="C904" s="33"/>
      <c r="D904" s="46"/>
      <c r="E904" s="46"/>
      <c r="F904" s="46"/>
      <c r="G904" s="46"/>
      <c r="H904" s="46"/>
      <c r="I904" s="46"/>
      <c r="J904" s="46"/>
      <c r="K904" s="33"/>
      <c r="L904" s="33"/>
      <c r="M904" s="33"/>
      <c r="N904" s="46"/>
      <c r="O904" s="46"/>
      <c r="P904" s="46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spans="1:37" ht="33.75" customHeight="1" x14ac:dyDescent="0.5">
      <c r="A905" s="33"/>
      <c r="B905" s="33"/>
      <c r="C905" s="33"/>
      <c r="D905" s="46"/>
      <c r="E905" s="46"/>
      <c r="F905" s="46"/>
      <c r="G905" s="46"/>
      <c r="H905" s="46"/>
      <c r="I905" s="46"/>
      <c r="J905" s="46"/>
      <c r="K905" s="33"/>
      <c r="L905" s="33"/>
      <c r="M905" s="33"/>
      <c r="N905" s="46"/>
      <c r="O905" s="46"/>
      <c r="P905" s="46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spans="1:37" ht="33.75" customHeight="1" x14ac:dyDescent="0.5">
      <c r="A906" s="33"/>
      <c r="B906" s="33"/>
      <c r="C906" s="33"/>
      <c r="D906" s="46"/>
      <c r="E906" s="46"/>
      <c r="F906" s="46"/>
      <c r="G906" s="46"/>
      <c r="H906" s="46"/>
      <c r="I906" s="46"/>
      <c r="J906" s="46"/>
      <c r="K906" s="33"/>
      <c r="L906" s="33"/>
      <c r="M906" s="33"/>
      <c r="N906" s="46"/>
      <c r="O906" s="46"/>
      <c r="P906" s="46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spans="1:37" ht="33.75" customHeight="1" x14ac:dyDescent="0.5">
      <c r="A907" s="33"/>
      <c r="B907" s="33"/>
      <c r="C907" s="33"/>
      <c r="D907" s="46"/>
      <c r="E907" s="46"/>
      <c r="F907" s="46"/>
      <c r="G907" s="46"/>
      <c r="H907" s="46"/>
      <c r="I907" s="46"/>
      <c r="J907" s="46"/>
      <c r="K907" s="33"/>
      <c r="L907" s="33"/>
      <c r="M907" s="33"/>
      <c r="N907" s="46"/>
      <c r="O907" s="46"/>
      <c r="P907" s="46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spans="1:37" ht="33.75" customHeight="1" x14ac:dyDescent="0.5">
      <c r="A908" s="33"/>
      <c r="B908" s="33"/>
      <c r="C908" s="33"/>
      <c r="D908" s="46"/>
      <c r="E908" s="46"/>
      <c r="F908" s="46"/>
      <c r="G908" s="46"/>
      <c r="H908" s="46"/>
      <c r="I908" s="46"/>
      <c r="J908" s="46"/>
      <c r="K908" s="33"/>
      <c r="L908" s="33"/>
      <c r="M908" s="33"/>
      <c r="N908" s="46"/>
      <c r="O908" s="46"/>
      <c r="P908" s="46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spans="1:37" ht="33.75" customHeight="1" x14ac:dyDescent="0.5">
      <c r="A909" s="33"/>
      <c r="B909" s="33"/>
      <c r="C909" s="33"/>
      <c r="D909" s="46"/>
      <c r="E909" s="46"/>
      <c r="F909" s="46"/>
      <c r="G909" s="46"/>
      <c r="H909" s="46"/>
      <c r="I909" s="46"/>
      <c r="J909" s="46"/>
      <c r="K909" s="33"/>
      <c r="L909" s="33"/>
      <c r="M909" s="33"/>
      <c r="N909" s="46"/>
      <c r="O909" s="46"/>
      <c r="P909" s="46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spans="1:37" ht="33.75" customHeight="1" x14ac:dyDescent="0.5">
      <c r="A910" s="33"/>
      <c r="B910" s="33"/>
      <c r="C910" s="33"/>
      <c r="D910" s="46"/>
      <c r="E910" s="46"/>
      <c r="F910" s="46"/>
      <c r="G910" s="46"/>
      <c r="H910" s="46"/>
      <c r="I910" s="46"/>
      <c r="J910" s="46"/>
      <c r="K910" s="33"/>
      <c r="L910" s="33"/>
      <c r="M910" s="33"/>
      <c r="N910" s="46"/>
      <c r="O910" s="46"/>
      <c r="P910" s="46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spans="1:37" ht="33.75" customHeight="1" x14ac:dyDescent="0.5">
      <c r="A911" s="33"/>
      <c r="B911" s="33"/>
      <c r="C911" s="33"/>
      <c r="D911" s="46"/>
      <c r="E911" s="46"/>
      <c r="F911" s="46"/>
      <c r="G911" s="46"/>
      <c r="H911" s="46"/>
      <c r="I911" s="46"/>
      <c r="J911" s="46"/>
      <c r="K911" s="33"/>
      <c r="L911" s="33"/>
      <c r="M911" s="33"/>
      <c r="N911" s="46"/>
      <c r="O911" s="46"/>
      <c r="P911" s="46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spans="1:37" ht="33.75" customHeight="1" x14ac:dyDescent="0.5">
      <c r="A912" s="33"/>
      <c r="B912" s="33"/>
      <c r="C912" s="33"/>
      <c r="D912" s="46"/>
      <c r="E912" s="46"/>
      <c r="F912" s="46"/>
      <c r="G912" s="46"/>
      <c r="H912" s="46"/>
      <c r="I912" s="46"/>
      <c r="J912" s="46"/>
      <c r="K912" s="33"/>
      <c r="L912" s="33"/>
      <c r="M912" s="33"/>
      <c r="N912" s="46"/>
      <c r="O912" s="46"/>
      <c r="P912" s="46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spans="1:37" ht="33.75" customHeight="1" x14ac:dyDescent="0.5">
      <c r="A913" s="33"/>
      <c r="B913" s="33"/>
      <c r="C913" s="33"/>
      <c r="D913" s="46"/>
      <c r="E913" s="46"/>
      <c r="F913" s="46"/>
      <c r="G913" s="46"/>
      <c r="H913" s="46"/>
      <c r="I913" s="46"/>
      <c r="J913" s="46"/>
      <c r="K913" s="33"/>
      <c r="L913" s="33"/>
      <c r="M913" s="33"/>
      <c r="N913" s="46"/>
      <c r="O913" s="46"/>
      <c r="P913" s="46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spans="1:37" ht="33.75" customHeight="1" x14ac:dyDescent="0.5">
      <c r="A914" s="33"/>
      <c r="B914" s="33"/>
      <c r="C914" s="33"/>
      <c r="D914" s="46"/>
      <c r="E914" s="46"/>
      <c r="F914" s="46"/>
      <c r="G914" s="46"/>
      <c r="H914" s="46"/>
      <c r="I914" s="46"/>
      <c r="J914" s="46"/>
      <c r="K914" s="33"/>
      <c r="L914" s="33"/>
      <c r="M914" s="33"/>
      <c r="N914" s="46"/>
      <c r="O914" s="46"/>
      <c r="P914" s="46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spans="1:37" ht="33.75" customHeight="1" x14ac:dyDescent="0.5">
      <c r="A915" s="33"/>
      <c r="B915" s="33"/>
      <c r="C915" s="33"/>
      <c r="D915" s="46"/>
      <c r="E915" s="46"/>
      <c r="F915" s="46"/>
      <c r="G915" s="46"/>
      <c r="H915" s="46"/>
      <c r="I915" s="46"/>
      <c r="J915" s="46"/>
      <c r="K915" s="33"/>
      <c r="L915" s="33"/>
      <c r="M915" s="33"/>
      <c r="N915" s="46"/>
      <c r="O915" s="46"/>
      <c r="P915" s="46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spans="1:37" ht="33.75" customHeight="1" x14ac:dyDescent="0.5">
      <c r="A916" s="33"/>
      <c r="B916" s="33"/>
      <c r="C916" s="33"/>
      <c r="D916" s="46"/>
      <c r="E916" s="46"/>
      <c r="F916" s="46"/>
      <c r="G916" s="46"/>
      <c r="H916" s="46"/>
      <c r="I916" s="46"/>
      <c r="J916" s="46"/>
      <c r="K916" s="33"/>
      <c r="L916" s="33"/>
      <c r="M916" s="33"/>
      <c r="N916" s="46"/>
      <c r="O916" s="46"/>
      <c r="P916" s="46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spans="1:37" ht="33.75" customHeight="1" x14ac:dyDescent="0.5">
      <c r="A917" s="33"/>
      <c r="B917" s="33"/>
      <c r="C917" s="33"/>
      <c r="D917" s="46"/>
      <c r="E917" s="46"/>
      <c r="F917" s="46"/>
      <c r="G917" s="46"/>
      <c r="H917" s="46"/>
      <c r="I917" s="46"/>
      <c r="J917" s="46"/>
      <c r="K917" s="33"/>
      <c r="L917" s="33"/>
      <c r="M917" s="33"/>
      <c r="N917" s="46"/>
      <c r="O917" s="46"/>
      <c r="P917" s="46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spans="1:37" ht="33.75" customHeight="1" x14ac:dyDescent="0.5">
      <c r="A918" s="33"/>
      <c r="B918" s="33"/>
      <c r="C918" s="33"/>
      <c r="D918" s="46"/>
      <c r="E918" s="46"/>
      <c r="F918" s="46"/>
      <c r="G918" s="46"/>
      <c r="H918" s="46"/>
      <c r="I918" s="46"/>
      <c r="J918" s="46"/>
      <c r="K918" s="33"/>
      <c r="L918" s="33"/>
      <c r="M918" s="33"/>
      <c r="N918" s="46"/>
      <c r="O918" s="46"/>
      <c r="P918" s="46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spans="1:37" ht="33.75" customHeight="1" x14ac:dyDescent="0.5">
      <c r="A919" s="33"/>
      <c r="B919" s="33"/>
      <c r="C919" s="33"/>
      <c r="D919" s="46"/>
      <c r="E919" s="46"/>
      <c r="F919" s="46"/>
      <c r="G919" s="46"/>
      <c r="H919" s="46"/>
      <c r="I919" s="46"/>
      <c r="J919" s="46"/>
      <c r="K919" s="33"/>
      <c r="L919" s="33"/>
      <c r="M919" s="33"/>
      <c r="N919" s="46"/>
      <c r="O919" s="46"/>
      <c r="P919" s="46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spans="1:37" ht="33.75" customHeight="1" x14ac:dyDescent="0.5">
      <c r="A920" s="33"/>
      <c r="B920" s="33"/>
      <c r="C920" s="33"/>
      <c r="D920" s="46"/>
      <c r="E920" s="46"/>
      <c r="F920" s="46"/>
      <c r="G920" s="46"/>
      <c r="H920" s="46"/>
      <c r="I920" s="46"/>
      <c r="J920" s="46"/>
      <c r="K920" s="33"/>
      <c r="L920" s="33"/>
      <c r="M920" s="33"/>
      <c r="N920" s="46"/>
      <c r="O920" s="46"/>
      <c r="P920" s="46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spans="1:37" ht="33.75" customHeight="1" x14ac:dyDescent="0.5">
      <c r="A921" s="33"/>
      <c r="B921" s="33"/>
      <c r="C921" s="33"/>
      <c r="D921" s="46"/>
      <c r="E921" s="46"/>
      <c r="F921" s="46"/>
      <c r="G921" s="46"/>
      <c r="H921" s="46"/>
      <c r="I921" s="46"/>
      <c r="J921" s="46"/>
      <c r="K921" s="33"/>
      <c r="L921" s="33"/>
      <c r="M921" s="33"/>
      <c r="N921" s="46"/>
      <c r="O921" s="46"/>
      <c r="P921" s="46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spans="1:37" ht="33.75" customHeight="1" x14ac:dyDescent="0.5">
      <c r="A922" s="33"/>
      <c r="B922" s="33"/>
      <c r="C922" s="33"/>
      <c r="D922" s="46"/>
      <c r="E922" s="46"/>
      <c r="F922" s="46"/>
      <c r="G922" s="46"/>
      <c r="H922" s="46"/>
      <c r="I922" s="46"/>
      <c r="J922" s="46"/>
      <c r="K922" s="33"/>
      <c r="L922" s="33"/>
      <c r="M922" s="33"/>
      <c r="N922" s="46"/>
      <c r="O922" s="46"/>
      <c r="P922" s="46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spans="1:37" ht="33.75" customHeight="1" x14ac:dyDescent="0.5">
      <c r="A923" s="33"/>
      <c r="B923" s="33"/>
      <c r="C923" s="33"/>
      <c r="D923" s="46"/>
      <c r="E923" s="46"/>
      <c r="F923" s="46"/>
      <c r="G923" s="46"/>
      <c r="H923" s="46"/>
      <c r="I923" s="46"/>
      <c r="J923" s="46"/>
      <c r="K923" s="33"/>
      <c r="L923" s="33"/>
      <c r="M923" s="33"/>
      <c r="N923" s="46"/>
      <c r="O923" s="46"/>
      <c r="P923" s="46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spans="1:37" ht="33.75" customHeight="1" x14ac:dyDescent="0.5">
      <c r="A924" s="33"/>
      <c r="B924" s="33"/>
      <c r="C924" s="33"/>
      <c r="D924" s="46"/>
      <c r="E924" s="46"/>
      <c r="F924" s="46"/>
      <c r="G924" s="46"/>
      <c r="H924" s="46"/>
      <c r="I924" s="46"/>
      <c r="J924" s="46"/>
      <c r="K924" s="33"/>
      <c r="L924" s="33"/>
      <c r="M924" s="33"/>
      <c r="N924" s="46"/>
      <c r="O924" s="46"/>
      <c r="P924" s="46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spans="1:37" ht="33.75" customHeight="1" x14ac:dyDescent="0.5">
      <c r="A925" s="33"/>
      <c r="B925" s="33"/>
      <c r="C925" s="33"/>
      <c r="D925" s="46"/>
      <c r="E925" s="46"/>
      <c r="F925" s="46"/>
      <c r="G925" s="46"/>
      <c r="H925" s="46"/>
      <c r="I925" s="46"/>
      <c r="J925" s="46"/>
      <c r="K925" s="33"/>
      <c r="L925" s="33"/>
      <c r="M925" s="33"/>
      <c r="N925" s="46"/>
      <c r="O925" s="46"/>
      <c r="P925" s="46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spans="1:37" ht="33.75" customHeight="1" x14ac:dyDescent="0.5">
      <c r="A926" s="33"/>
      <c r="B926" s="33"/>
      <c r="C926" s="33"/>
      <c r="D926" s="46"/>
      <c r="E926" s="46"/>
      <c r="F926" s="46"/>
      <c r="G926" s="46"/>
      <c r="H926" s="46"/>
      <c r="I926" s="46"/>
      <c r="J926" s="46"/>
      <c r="K926" s="33"/>
      <c r="L926" s="33"/>
      <c r="M926" s="33"/>
      <c r="N926" s="46"/>
      <c r="O926" s="46"/>
      <c r="P926" s="46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spans="1:37" ht="33.75" customHeight="1" x14ac:dyDescent="0.5">
      <c r="A927" s="33"/>
      <c r="B927" s="33"/>
      <c r="C927" s="33"/>
      <c r="D927" s="46"/>
      <c r="E927" s="46"/>
      <c r="F927" s="46"/>
      <c r="G927" s="46"/>
      <c r="H927" s="46"/>
      <c r="I927" s="46"/>
      <c r="J927" s="46"/>
      <c r="K927" s="33"/>
      <c r="L927" s="33"/>
      <c r="M927" s="33"/>
      <c r="N927" s="46"/>
      <c r="O927" s="46"/>
      <c r="P927" s="46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spans="1:37" ht="33.75" customHeight="1" x14ac:dyDescent="0.5">
      <c r="A928" s="33"/>
      <c r="B928" s="33"/>
      <c r="C928" s="33"/>
      <c r="D928" s="46"/>
      <c r="E928" s="46"/>
      <c r="F928" s="46"/>
      <c r="G928" s="46"/>
      <c r="H928" s="46"/>
      <c r="I928" s="46"/>
      <c r="J928" s="46"/>
      <c r="K928" s="33"/>
      <c r="L928" s="33"/>
      <c r="M928" s="33"/>
      <c r="N928" s="46"/>
      <c r="O928" s="46"/>
      <c r="P928" s="46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spans="1:37" ht="33.75" customHeight="1" x14ac:dyDescent="0.5">
      <c r="A929" s="33"/>
      <c r="B929" s="33"/>
      <c r="C929" s="33"/>
      <c r="D929" s="46"/>
      <c r="E929" s="46"/>
      <c r="F929" s="46"/>
      <c r="G929" s="46"/>
      <c r="H929" s="46"/>
      <c r="I929" s="46"/>
      <c r="J929" s="46"/>
      <c r="K929" s="33"/>
      <c r="L929" s="33"/>
      <c r="M929" s="33"/>
      <c r="N929" s="46"/>
      <c r="O929" s="46"/>
      <c r="P929" s="46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spans="1:37" ht="33.75" customHeight="1" x14ac:dyDescent="0.5">
      <c r="A930" s="33"/>
      <c r="B930" s="33"/>
      <c r="C930" s="33"/>
      <c r="D930" s="46"/>
      <c r="E930" s="46"/>
      <c r="F930" s="46"/>
      <c r="G930" s="46"/>
      <c r="H930" s="46"/>
      <c r="I930" s="46"/>
      <c r="J930" s="46"/>
      <c r="K930" s="33"/>
      <c r="L930" s="33"/>
      <c r="M930" s="33"/>
      <c r="N930" s="46"/>
      <c r="O930" s="46"/>
      <c r="P930" s="46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spans="1:37" ht="33.75" customHeight="1" x14ac:dyDescent="0.5">
      <c r="A931" s="33"/>
      <c r="B931" s="33"/>
      <c r="C931" s="33"/>
      <c r="D931" s="46"/>
      <c r="E931" s="46"/>
      <c r="F931" s="46"/>
      <c r="G931" s="46"/>
      <c r="H931" s="46"/>
      <c r="I931" s="46"/>
      <c r="J931" s="46"/>
      <c r="K931" s="33"/>
      <c r="L931" s="33"/>
      <c r="M931" s="33"/>
      <c r="N931" s="46"/>
      <c r="O931" s="46"/>
      <c r="P931" s="46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spans="1:37" ht="33.75" customHeight="1" x14ac:dyDescent="0.5">
      <c r="A932" s="33"/>
      <c r="B932" s="33"/>
      <c r="C932" s="33"/>
      <c r="D932" s="46"/>
      <c r="E932" s="46"/>
      <c r="F932" s="46"/>
      <c r="G932" s="46"/>
      <c r="H932" s="46"/>
      <c r="I932" s="46"/>
      <c r="J932" s="46"/>
      <c r="K932" s="33"/>
      <c r="L932" s="33"/>
      <c r="M932" s="33"/>
      <c r="N932" s="46"/>
      <c r="O932" s="46"/>
      <c r="P932" s="46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spans="1:37" ht="33.75" customHeight="1" x14ac:dyDescent="0.5">
      <c r="A933" s="33"/>
      <c r="B933" s="33"/>
      <c r="C933" s="33"/>
      <c r="D933" s="46"/>
      <c r="E933" s="46"/>
      <c r="F933" s="46"/>
      <c r="G933" s="46"/>
      <c r="H933" s="46"/>
      <c r="I933" s="46"/>
      <c r="J933" s="46"/>
      <c r="K933" s="33"/>
      <c r="L933" s="33"/>
      <c r="M933" s="33"/>
      <c r="N933" s="46"/>
      <c r="O933" s="46"/>
      <c r="P933" s="46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spans="1:37" ht="33.75" customHeight="1" x14ac:dyDescent="0.5">
      <c r="A934" s="33"/>
      <c r="B934" s="33"/>
      <c r="C934" s="33"/>
      <c r="D934" s="46"/>
      <c r="E934" s="46"/>
      <c r="F934" s="46"/>
      <c r="G934" s="46"/>
      <c r="H934" s="46"/>
      <c r="I934" s="46"/>
      <c r="J934" s="46"/>
      <c r="K934" s="33"/>
      <c r="L934" s="33"/>
      <c r="M934" s="33"/>
      <c r="N934" s="46"/>
      <c r="O934" s="46"/>
      <c r="P934" s="46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spans="1:37" ht="33.75" customHeight="1" x14ac:dyDescent="0.5">
      <c r="A935" s="33"/>
      <c r="B935" s="33"/>
      <c r="C935" s="33"/>
      <c r="D935" s="46"/>
      <c r="E935" s="46"/>
      <c r="F935" s="46"/>
      <c r="G935" s="46"/>
      <c r="H935" s="46"/>
      <c r="I935" s="46"/>
      <c r="J935" s="46"/>
      <c r="K935" s="33"/>
      <c r="L935" s="33"/>
      <c r="M935" s="33"/>
      <c r="N935" s="46"/>
      <c r="O935" s="46"/>
      <c r="P935" s="46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spans="1:37" ht="33.75" customHeight="1" x14ac:dyDescent="0.5">
      <c r="A936" s="33"/>
      <c r="B936" s="33"/>
      <c r="C936" s="33"/>
      <c r="D936" s="46"/>
      <c r="E936" s="46"/>
      <c r="F936" s="46"/>
      <c r="G936" s="46"/>
      <c r="H936" s="46"/>
      <c r="I936" s="46"/>
      <c r="J936" s="46"/>
      <c r="K936" s="33"/>
      <c r="L936" s="33"/>
      <c r="M936" s="33"/>
      <c r="N936" s="46"/>
      <c r="O936" s="46"/>
      <c r="P936" s="46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spans="1:37" ht="33.75" customHeight="1" x14ac:dyDescent="0.5">
      <c r="A937" s="33"/>
      <c r="B937" s="33"/>
      <c r="C937" s="33"/>
      <c r="D937" s="46"/>
      <c r="E937" s="46"/>
      <c r="F937" s="46"/>
      <c r="G937" s="46"/>
      <c r="H937" s="46"/>
      <c r="I937" s="46"/>
      <c r="J937" s="46"/>
      <c r="K937" s="33"/>
      <c r="L937" s="33"/>
      <c r="M937" s="33"/>
      <c r="N937" s="46"/>
      <c r="O937" s="46"/>
      <c r="P937" s="46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spans="1:37" ht="33.75" customHeight="1" x14ac:dyDescent="0.5">
      <c r="A938" s="33"/>
      <c r="B938" s="33"/>
      <c r="C938" s="33"/>
      <c r="D938" s="46"/>
      <c r="E938" s="46"/>
      <c r="F938" s="46"/>
      <c r="G938" s="46"/>
      <c r="H938" s="46"/>
      <c r="I938" s="46"/>
      <c r="J938" s="46"/>
      <c r="K938" s="33"/>
      <c r="L938" s="33"/>
      <c r="M938" s="33"/>
      <c r="N938" s="46"/>
      <c r="O938" s="46"/>
      <c r="P938" s="46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spans="1:37" ht="33.75" customHeight="1" x14ac:dyDescent="0.5">
      <c r="A939" s="33"/>
      <c r="B939" s="33"/>
      <c r="C939" s="33"/>
      <c r="D939" s="46"/>
      <c r="E939" s="46"/>
      <c r="F939" s="46"/>
      <c r="G939" s="46"/>
      <c r="H939" s="46"/>
      <c r="I939" s="46"/>
      <c r="J939" s="46"/>
      <c r="K939" s="33"/>
      <c r="L939" s="33"/>
      <c r="M939" s="33"/>
      <c r="N939" s="46"/>
      <c r="O939" s="46"/>
      <c r="P939" s="46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spans="1:37" ht="33.75" customHeight="1" x14ac:dyDescent="0.5">
      <c r="A940" s="33"/>
      <c r="B940" s="33"/>
      <c r="C940" s="33"/>
      <c r="D940" s="46"/>
      <c r="E940" s="46"/>
      <c r="F940" s="46"/>
      <c r="G940" s="46"/>
      <c r="H940" s="46"/>
      <c r="I940" s="46"/>
      <c r="J940" s="46"/>
      <c r="K940" s="33"/>
      <c r="L940" s="33"/>
      <c r="M940" s="33"/>
      <c r="N940" s="46"/>
      <c r="O940" s="46"/>
      <c r="P940" s="46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spans="1:37" ht="33.75" customHeight="1" x14ac:dyDescent="0.5">
      <c r="A941" s="33"/>
      <c r="B941" s="33"/>
      <c r="C941" s="33"/>
      <c r="D941" s="46"/>
      <c r="E941" s="46"/>
      <c r="F941" s="46"/>
      <c r="G941" s="46"/>
      <c r="H941" s="46"/>
      <c r="I941" s="46"/>
      <c r="J941" s="46"/>
      <c r="K941" s="33"/>
      <c r="L941" s="33"/>
      <c r="M941" s="33"/>
      <c r="N941" s="46"/>
      <c r="O941" s="46"/>
      <c r="P941" s="46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spans="1:37" ht="33.75" customHeight="1" x14ac:dyDescent="0.5">
      <c r="A942" s="33"/>
      <c r="B942" s="33"/>
      <c r="C942" s="33"/>
      <c r="D942" s="46"/>
      <c r="E942" s="46"/>
      <c r="F942" s="46"/>
      <c r="G942" s="46"/>
      <c r="H942" s="46"/>
      <c r="I942" s="46"/>
      <c r="J942" s="46"/>
      <c r="K942" s="33"/>
      <c r="L942" s="33"/>
      <c r="M942" s="33"/>
      <c r="N942" s="46"/>
      <c r="O942" s="46"/>
      <c r="P942" s="46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spans="1:37" ht="33.75" customHeight="1" x14ac:dyDescent="0.5">
      <c r="A943" s="33"/>
      <c r="B943" s="33"/>
      <c r="C943" s="33"/>
      <c r="D943" s="46"/>
      <c r="E943" s="46"/>
      <c r="F943" s="46"/>
      <c r="G943" s="46"/>
      <c r="H943" s="46"/>
      <c r="I943" s="46"/>
      <c r="J943" s="46"/>
      <c r="K943" s="33"/>
      <c r="L943" s="33"/>
      <c r="M943" s="33"/>
      <c r="N943" s="46"/>
      <c r="O943" s="46"/>
      <c r="P943" s="46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spans="1:37" ht="33.75" customHeight="1" x14ac:dyDescent="0.5">
      <c r="A944" s="33"/>
      <c r="B944" s="33"/>
      <c r="C944" s="33"/>
      <c r="D944" s="46"/>
      <c r="E944" s="46"/>
      <c r="F944" s="46"/>
      <c r="G944" s="46"/>
      <c r="H944" s="46"/>
      <c r="I944" s="46"/>
      <c r="J944" s="46"/>
      <c r="K944" s="33"/>
      <c r="L944" s="33"/>
      <c r="M944" s="33"/>
      <c r="N944" s="46"/>
      <c r="O944" s="46"/>
      <c r="P944" s="46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spans="1:37" ht="33.75" customHeight="1" x14ac:dyDescent="0.5">
      <c r="A945" s="33"/>
      <c r="B945" s="33"/>
      <c r="C945" s="33"/>
      <c r="D945" s="46"/>
      <c r="E945" s="46"/>
      <c r="F945" s="46"/>
      <c r="G945" s="46"/>
      <c r="H945" s="46"/>
      <c r="I945" s="46"/>
      <c r="J945" s="46"/>
      <c r="K945" s="33"/>
      <c r="L945" s="33"/>
      <c r="M945" s="33"/>
      <c r="N945" s="46"/>
      <c r="O945" s="46"/>
      <c r="P945" s="46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spans="1:37" ht="33.75" customHeight="1" x14ac:dyDescent="0.5">
      <c r="A946" s="33"/>
      <c r="B946" s="33"/>
      <c r="C946" s="33"/>
      <c r="D946" s="46"/>
      <c r="E946" s="46"/>
      <c r="F946" s="46"/>
      <c r="G946" s="46"/>
      <c r="H946" s="46"/>
      <c r="I946" s="46"/>
      <c r="J946" s="46"/>
      <c r="K946" s="33"/>
      <c r="L946" s="33"/>
      <c r="M946" s="33"/>
      <c r="N946" s="46"/>
      <c r="O946" s="46"/>
      <c r="P946" s="46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spans="1:37" ht="33.75" customHeight="1" x14ac:dyDescent="0.5">
      <c r="A947" s="33"/>
      <c r="B947" s="33"/>
      <c r="C947" s="33"/>
      <c r="D947" s="46"/>
      <c r="E947" s="46"/>
      <c r="F947" s="46"/>
      <c r="G947" s="46"/>
      <c r="H947" s="46"/>
      <c r="I947" s="46"/>
      <c r="J947" s="46"/>
      <c r="K947" s="33"/>
      <c r="L947" s="33"/>
      <c r="M947" s="33"/>
      <c r="N947" s="46"/>
      <c r="O947" s="46"/>
      <c r="P947" s="46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spans="1:37" ht="33.75" customHeight="1" x14ac:dyDescent="0.5">
      <c r="A948" s="33"/>
      <c r="B948" s="33"/>
      <c r="C948" s="33"/>
      <c r="D948" s="46"/>
      <c r="E948" s="46"/>
      <c r="F948" s="46"/>
      <c r="G948" s="46"/>
      <c r="H948" s="46"/>
      <c r="I948" s="46"/>
      <c r="J948" s="46"/>
      <c r="K948" s="33"/>
      <c r="L948" s="33"/>
      <c r="M948" s="33"/>
      <c r="N948" s="46"/>
      <c r="O948" s="46"/>
      <c r="P948" s="46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spans="1:37" ht="33.75" customHeight="1" x14ac:dyDescent="0.5">
      <c r="A949" s="33"/>
      <c r="B949" s="33"/>
      <c r="C949" s="33"/>
      <c r="D949" s="46"/>
      <c r="E949" s="46"/>
      <c r="F949" s="46"/>
      <c r="G949" s="46"/>
      <c r="H949" s="46"/>
      <c r="I949" s="46"/>
      <c r="J949" s="46"/>
      <c r="K949" s="33"/>
      <c r="L949" s="33"/>
      <c r="M949" s="33"/>
      <c r="N949" s="46"/>
      <c r="O949" s="46"/>
      <c r="P949" s="46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spans="1:37" ht="33.75" customHeight="1" x14ac:dyDescent="0.5">
      <c r="A950" s="33"/>
      <c r="B950" s="33"/>
      <c r="C950" s="33"/>
      <c r="D950" s="46"/>
      <c r="E950" s="46"/>
      <c r="F950" s="46"/>
      <c r="G950" s="46"/>
      <c r="H950" s="46"/>
      <c r="I950" s="46"/>
      <c r="J950" s="46"/>
      <c r="K950" s="33"/>
      <c r="L950" s="33"/>
      <c r="M950" s="33"/>
      <c r="N950" s="46"/>
      <c r="O950" s="46"/>
      <c r="P950" s="46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spans="1:37" ht="33.75" customHeight="1" x14ac:dyDescent="0.5">
      <c r="A951" s="33"/>
      <c r="B951" s="33"/>
      <c r="C951" s="33"/>
      <c r="D951" s="46"/>
      <c r="E951" s="46"/>
      <c r="F951" s="46"/>
      <c r="G951" s="46"/>
      <c r="H951" s="46"/>
      <c r="I951" s="46"/>
      <c r="J951" s="46"/>
      <c r="K951" s="33"/>
      <c r="L951" s="33"/>
      <c r="M951" s="33"/>
      <c r="N951" s="46"/>
      <c r="O951" s="46"/>
      <c r="P951" s="46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spans="1:37" ht="33.75" customHeight="1" x14ac:dyDescent="0.5">
      <c r="A952" s="33"/>
      <c r="B952" s="33"/>
      <c r="C952" s="33"/>
      <c r="D952" s="46"/>
      <c r="E952" s="46"/>
      <c r="F952" s="46"/>
      <c r="G952" s="46"/>
      <c r="H952" s="46"/>
      <c r="I952" s="46"/>
      <c r="J952" s="46"/>
      <c r="K952" s="33"/>
      <c r="L952" s="33"/>
      <c r="M952" s="33"/>
      <c r="N952" s="46"/>
      <c r="O952" s="46"/>
      <c r="P952" s="46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spans="1:37" ht="33.75" customHeight="1" x14ac:dyDescent="0.5">
      <c r="A953" s="33"/>
      <c r="B953" s="33"/>
      <c r="C953" s="33"/>
      <c r="D953" s="46"/>
      <c r="E953" s="46"/>
      <c r="F953" s="46"/>
      <c r="G953" s="46"/>
      <c r="H953" s="46"/>
      <c r="I953" s="46"/>
      <c r="J953" s="46"/>
      <c r="K953" s="33"/>
      <c r="L953" s="33"/>
      <c r="M953" s="33"/>
      <c r="N953" s="46"/>
      <c r="O953" s="46"/>
      <c r="P953" s="46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spans="1:37" ht="33.75" customHeight="1" x14ac:dyDescent="0.5">
      <c r="A954" s="33"/>
      <c r="B954" s="33"/>
      <c r="C954" s="33"/>
      <c r="D954" s="46"/>
      <c r="E954" s="46"/>
      <c r="F954" s="46"/>
      <c r="G954" s="46"/>
      <c r="H954" s="46"/>
      <c r="I954" s="46"/>
      <c r="J954" s="46"/>
      <c r="K954" s="33"/>
      <c r="L954" s="33"/>
      <c r="M954" s="33"/>
      <c r="N954" s="46"/>
      <c r="O954" s="46"/>
      <c r="P954" s="46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spans="1:37" ht="33.75" customHeight="1" x14ac:dyDescent="0.5">
      <c r="A955" s="33"/>
      <c r="B955" s="33"/>
      <c r="C955" s="33"/>
      <c r="D955" s="46"/>
      <c r="E955" s="46"/>
      <c r="F955" s="46"/>
      <c r="G955" s="46"/>
      <c r="H955" s="46"/>
      <c r="I955" s="46"/>
      <c r="J955" s="46"/>
      <c r="K955" s="33"/>
      <c r="L955" s="33"/>
      <c r="M955" s="33"/>
      <c r="N955" s="46"/>
      <c r="O955" s="46"/>
      <c r="P955" s="46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spans="1:37" ht="33.75" customHeight="1" x14ac:dyDescent="0.5">
      <c r="A956" s="33"/>
      <c r="B956" s="33"/>
      <c r="C956" s="33"/>
      <c r="D956" s="46"/>
      <c r="E956" s="46"/>
      <c r="F956" s="46"/>
      <c r="G956" s="46"/>
      <c r="H956" s="46"/>
      <c r="I956" s="46"/>
      <c r="J956" s="46"/>
      <c r="K956" s="33"/>
      <c r="L956" s="33"/>
      <c r="M956" s="33"/>
      <c r="N956" s="46"/>
      <c r="O956" s="46"/>
      <c r="P956" s="46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spans="1:37" ht="33.75" customHeight="1" x14ac:dyDescent="0.5">
      <c r="A957" s="33"/>
      <c r="B957" s="33"/>
      <c r="C957" s="33"/>
      <c r="D957" s="46"/>
      <c r="E957" s="46"/>
      <c r="F957" s="46"/>
      <c r="G957" s="46"/>
      <c r="H957" s="46"/>
      <c r="I957" s="46"/>
      <c r="J957" s="46"/>
      <c r="K957" s="33"/>
      <c r="L957" s="33"/>
      <c r="M957" s="33"/>
      <c r="N957" s="46"/>
      <c r="O957" s="46"/>
      <c r="P957" s="46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spans="1:37" ht="33.75" customHeight="1" x14ac:dyDescent="0.5">
      <c r="A958" s="33"/>
      <c r="B958" s="33"/>
      <c r="C958" s="33"/>
      <c r="D958" s="46"/>
      <c r="E958" s="46"/>
      <c r="F958" s="46"/>
      <c r="G958" s="46"/>
      <c r="H958" s="46"/>
      <c r="I958" s="46"/>
      <c r="J958" s="46"/>
      <c r="K958" s="33"/>
      <c r="L958" s="33"/>
      <c r="M958" s="33"/>
      <c r="N958" s="46"/>
      <c r="O958" s="46"/>
      <c r="P958" s="46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spans="1:37" ht="33.75" customHeight="1" x14ac:dyDescent="0.5">
      <c r="A959" s="33"/>
      <c r="B959" s="33"/>
      <c r="C959" s="33"/>
      <c r="D959" s="46"/>
      <c r="E959" s="46"/>
      <c r="F959" s="46"/>
      <c r="G959" s="46"/>
      <c r="H959" s="46"/>
      <c r="I959" s="46"/>
      <c r="J959" s="46"/>
      <c r="K959" s="33"/>
      <c r="L959" s="33"/>
      <c r="M959" s="33"/>
      <c r="N959" s="46"/>
      <c r="O959" s="46"/>
      <c r="P959" s="46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spans="1:37" ht="33.75" customHeight="1" x14ac:dyDescent="0.5">
      <c r="A960" s="33"/>
      <c r="B960" s="33"/>
      <c r="C960" s="33"/>
      <c r="D960" s="46"/>
      <c r="E960" s="46"/>
      <c r="F960" s="46"/>
      <c r="G960" s="46"/>
      <c r="H960" s="46"/>
      <c r="I960" s="46"/>
      <c r="J960" s="46"/>
      <c r="K960" s="33"/>
      <c r="L960" s="33"/>
      <c r="M960" s="33"/>
      <c r="N960" s="46"/>
      <c r="O960" s="46"/>
      <c r="P960" s="46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spans="1:37" ht="33.75" customHeight="1" x14ac:dyDescent="0.5">
      <c r="A961" s="33"/>
      <c r="B961" s="33"/>
      <c r="C961" s="33"/>
      <c r="D961" s="46"/>
      <c r="E961" s="46"/>
      <c r="F961" s="46"/>
      <c r="G961" s="46"/>
      <c r="H961" s="46"/>
      <c r="I961" s="46"/>
      <c r="J961" s="46"/>
      <c r="K961" s="33"/>
      <c r="L961" s="33"/>
      <c r="M961" s="33"/>
      <c r="N961" s="46"/>
      <c r="O961" s="46"/>
      <c r="P961" s="46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spans="1:37" ht="33.75" customHeight="1" x14ac:dyDescent="0.5">
      <c r="A962" s="33"/>
      <c r="B962" s="33"/>
      <c r="C962" s="33"/>
      <c r="D962" s="46"/>
      <c r="E962" s="46"/>
      <c r="F962" s="46"/>
      <c r="G962" s="46"/>
      <c r="H962" s="46"/>
      <c r="I962" s="46"/>
      <c r="J962" s="46"/>
      <c r="K962" s="33"/>
      <c r="L962" s="33"/>
      <c r="M962" s="33"/>
      <c r="N962" s="46"/>
      <c r="O962" s="46"/>
      <c r="P962" s="46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spans="1:37" ht="33.75" customHeight="1" x14ac:dyDescent="0.5">
      <c r="A963" s="33"/>
      <c r="B963" s="33"/>
      <c r="C963" s="33"/>
      <c r="D963" s="46"/>
      <c r="E963" s="46"/>
      <c r="F963" s="46"/>
      <c r="G963" s="46"/>
      <c r="H963" s="46"/>
      <c r="I963" s="46"/>
      <c r="J963" s="46"/>
      <c r="K963" s="33"/>
      <c r="L963" s="33"/>
      <c r="M963" s="33"/>
      <c r="N963" s="46"/>
      <c r="O963" s="46"/>
      <c r="P963" s="46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spans="1:37" ht="33.75" customHeight="1" x14ac:dyDescent="0.5">
      <c r="A964" s="33"/>
      <c r="B964" s="33"/>
      <c r="C964" s="33"/>
      <c r="D964" s="46"/>
      <c r="E964" s="46"/>
      <c r="F964" s="46"/>
      <c r="G964" s="46"/>
      <c r="H964" s="46"/>
      <c r="I964" s="46"/>
      <c r="J964" s="46"/>
      <c r="K964" s="33"/>
      <c r="L964" s="33"/>
      <c r="M964" s="33"/>
      <c r="N964" s="46"/>
      <c r="O964" s="46"/>
      <c r="P964" s="46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spans="1:37" ht="33.75" customHeight="1" x14ac:dyDescent="0.5">
      <c r="A965" s="33"/>
      <c r="B965" s="33"/>
      <c r="C965" s="33"/>
      <c r="D965" s="46"/>
      <c r="E965" s="46"/>
      <c r="F965" s="46"/>
      <c r="G965" s="46"/>
      <c r="H965" s="46"/>
      <c r="I965" s="46"/>
      <c r="J965" s="46"/>
      <c r="K965" s="33"/>
      <c r="L965" s="33"/>
      <c r="M965" s="33"/>
      <c r="N965" s="46"/>
      <c r="O965" s="46"/>
      <c r="P965" s="46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spans="1:37" ht="33.75" customHeight="1" x14ac:dyDescent="0.5">
      <c r="A966" s="33"/>
      <c r="B966" s="33"/>
      <c r="C966" s="33"/>
      <c r="D966" s="46"/>
      <c r="E966" s="46"/>
      <c r="F966" s="46"/>
      <c r="G966" s="46"/>
      <c r="H966" s="46"/>
      <c r="I966" s="46"/>
      <c r="J966" s="46"/>
      <c r="K966" s="33"/>
      <c r="L966" s="33"/>
      <c r="M966" s="33"/>
      <c r="N966" s="46"/>
      <c r="O966" s="46"/>
      <c r="P966" s="46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spans="1:37" ht="33.75" customHeight="1" x14ac:dyDescent="0.5">
      <c r="A967" s="33"/>
      <c r="B967" s="33"/>
      <c r="C967" s="33"/>
      <c r="D967" s="46"/>
      <c r="E967" s="46"/>
      <c r="F967" s="46"/>
      <c r="G967" s="46"/>
      <c r="H967" s="46"/>
      <c r="I967" s="46"/>
      <c r="J967" s="46"/>
      <c r="K967" s="33"/>
      <c r="L967" s="33"/>
      <c r="M967" s="33"/>
      <c r="N967" s="46"/>
      <c r="O967" s="46"/>
      <c r="P967" s="46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spans="1:37" ht="33.75" customHeight="1" x14ac:dyDescent="0.5">
      <c r="A968" s="33"/>
      <c r="B968" s="33"/>
      <c r="C968" s="33"/>
      <c r="D968" s="46"/>
      <c r="E968" s="46"/>
      <c r="F968" s="46"/>
      <c r="G968" s="46"/>
      <c r="H968" s="46"/>
      <c r="I968" s="46"/>
      <c r="J968" s="46"/>
      <c r="K968" s="33"/>
      <c r="L968" s="33"/>
      <c r="M968" s="33"/>
      <c r="N968" s="46"/>
      <c r="O968" s="46"/>
      <c r="P968" s="46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spans="1:37" ht="33.75" customHeight="1" x14ac:dyDescent="0.5">
      <c r="A969" s="33"/>
      <c r="B969" s="33"/>
      <c r="C969" s="33"/>
      <c r="D969" s="46"/>
      <c r="E969" s="46"/>
      <c r="F969" s="46"/>
      <c r="G969" s="46"/>
      <c r="H969" s="46"/>
      <c r="I969" s="46"/>
      <c r="J969" s="46"/>
      <c r="K969" s="33"/>
      <c r="L969" s="33"/>
      <c r="M969" s="33"/>
      <c r="N969" s="46"/>
      <c r="O969" s="46"/>
      <c r="P969" s="46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spans="1:37" ht="33.75" customHeight="1" x14ac:dyDescent="0.5">
      <c r="A970" s="33"/>
      <c r="B970" s="33"/>
      <c r="C970" s="33"/>
      <c r="D970" s="46"/>
      <c r="E970" s="46"/>
      <c r="F970" s="46"/>
      <c r="G970" s="46"/>
      <c r="H970" s="46"/>
      <c r="I970" s="46"/>
      <c r="J970" s="46"/>
      <c r="K970" s="33"/>
      <c r="L970" s="33"/>
      <c r="M970" s="33"/>
      <c r="N970" s="46"/>
      <c r="O970" s="46"/>
      <c r="P970" s="46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spans="1:37" ht="33.75" customHeight="1" x14ac:dyDescent="0.5">
      <c r="A971" s="33"/>
      <c r="B971" s="33"/>
      <c r="C971" s="33"/>
      <c r="D971" s="46"/>
      <c r="E971" s="46"/>
      <c r="F971" s="46"/>
      <c r="G971" s="46"/>
      <c r="H971" s="46"/>
      <c r="I971" s="46"/>
      <c r="J971" s="46"/>
      <c r="K971" s="33"/>
      <c r="L971" s="33"/>
      <c r="M971" s="33"/>
      <c r="N971" s="46"/>
      <c r="O971" s="46"/>
      <c r="P971" s="46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spans="1:37" ht="33.75" customHeight="1" x14ac:dyDescent="0.5">
      <c r="A972" s="33"/>
      <c r="B972" s="33"/>
      <c r="C972" s="33"/>
      <c r="D972" s="46"/>
      <c r="E972" s="46"/>
      <c r="F972" s="46"/>
      <c r="G972" s="46"/>
      <c r="H972" s="46"/>
      <c r="I972" s="46"/>
      <c r="J972" s="46"/>
      <c r="K972" s="33"/>
      <c r="L972" s="33"/>
      <c r="M972" s="33"/>
      <c r="N972" s="46"/>
      <c r="O972" s="46"/>
      <c r="P972" s="46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spans="1:37" ht="33.75" customHeight="1" x14ac:dyDescent="0.5">
      <c r="A973" s="33"/>
      <c r="B973" s="33"/>
      <c r="C973" s="33"/>
      <c r="D973" s="46"/>
      <c r="E973" s="46"/>
      <c r="F973" s="46"/>
      <c r="G973" s="46"/>
      <c r="H973" s="46"/>
      <c r="I973" s="46"/>
      <c r="J973" s="46"/>
      <c r="K973" s="33"/>
      <c r="L973" s="33"/>
      <c r="M973" s="33"/>
      <c r="N973" s="46"/>
      <c r="O973" s="46"/>
      <c r="P973" s="46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spans="1:37" ht="33.75" customHeight="1" x14ac:dyDescent="0.5">
      <c r="A974" s="33"/>
      <c r="B974" s="33"/>
      <c r="C974" s="33"/>
      <c r="D974" s="46"/>
      <c r="E974" s="46"/>
      <c r="F974" s="46"/>
      <c r="G974" s="46"/>
      <c r="H974" s="46"/>
      <c r="I974" s="46"/>
      <c r="J974" s="46"/>
      <c r="K974" s="33"/>
      <c r="L974" s="33"/>
      <c r="M974" s="33"/>
      <c r="N974" s="46"/>
      <c r="O974" s="46"/>
      <c r="P974" s="46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spans="1:37" ht="33.75" customHeight="1" x14ac:dyDescent="0.5">
      <c r="A975" s="33"/>
      <c r="B975" s="33"/>
      <c r="C975" s="33"/>
      <c r="D975" s="46"/>
      <c r="E975" s="46"/>
      <c r="F975" s="46"/>
      <c r="G975" s="46"/>
      <c r="H975" s="46"/>
      <c r="I975" s="46"/>
      <c r="J975" s="46"/>
      <c r="K975" s="33"/>
      <c r="L975" s="33"/>
      <c r="M975" s="33"/>
      <c r="N975" s="46"/>
      <c r="O975" s="46"/>
      <c r="P975" s="46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spans="1:37" ht="33.75" customHeight="1" x14ac:dyDescent="0.5">
      <c r="A976" s="33"/>
      <c r="B976" s="33"/>
      <c r="C976" s="33"/>
      <c r="D976" s="46"/>
      <c r="E976" s="46"/>
      <c r="F976" s="46"/>
      <c r="G976" s="46"/>
      <c r="H976" s="46"/>
      <c r="I976" s="46"/>
      <c r="J976" s="46"/>
      <c r="K976" s="33"/>
      <c r="L976" s="33"/>
      <c r="M976" s="33"/>
      <c r="N976" s="46"/>
      <c r="O976" s="46"/>
      <c r="P976" s="46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spans="1:37" ht="33.75" customHeight="1" x14ac:dyDescent="0.5">
      <c r="A977" s="33"/>
      <c r="B977" s="33"/>
      <c r="C977" s="33"/>
      <c r="D977" s="46"/>
      <c r="E977" s="46"/>
      <c r="F977" s="46"/>
      <c r="G977" s="46"/>
      <c r="H977" s="46"/>
      <c r="I977" s="46"/>
      <c r="J977" s="46"/>
      <c r="K977" s="33"/>
      <c r="L977" s="33"/>
      <c r="M977" s="33"/>
      <c r="N977" s="46"/>
      <c r="O977" s="46"/>
      <c r="P977" s="46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spans="1:37" ht="33.75" customHeight="1" x14ac:dyDescent="0.5">
      <c r="A978" s="33"/>
      <c r="B978" s="33"/>
      <c r="C978" s="33"/>
      <c r="D978" s="46"/>
      <c r="E978" s="46"/>
      <c r="F978" s="46"/>
      <c r="G978" s="46"/>
      <c r="H978" s="46"/>
      <c r="I978" s="46"/>
      <c r="J978" s="46"/>
      <c r="K978" s="33"/>
      <c r="L978" s="33"/>
      <c r="M978" s="33"/>
      <c r="N978" s="46"/>
      <c r="O978" s="46"/>
      <c r="P978" s="46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spans="1:37" ht="33.75" customHeight="1" x14ac:dyDescent="0.5">
      <c r="A979" s="33"/>
      <c r="B979" s="33"/>
      <c r="C979" s="33"/>
      <c r="D979" s="46"/>
      <c r="E979" s="46"/>
      <c r="F979" s="46"/>
      <c r="G979" s="46"/>
      <c r="H979" s="46"/>
      <c r="I979" s="46"/>
      <c r="J979" s="46"/>
      <c r="K979" s="33"/>
      <c r="L979" s="33"/>
      <c r="M979" s="33"/>
      <c r="N979" s="46"/>
      <c r="O979" s="46"/>
      <c r="P979" s="46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spans="1:37" ht="33.75" customHeight="1" x14ac:dyDescent="0.5">
      <c r="A980" s="33"/>
      <c r="B980" s="33"/>
      <c r="C980" s="33"/>
      <c r="D980" s="46"/>
      <c r="E980" s="46"/>
      <c r="F980" s="46"/>
      <c r="G980" s="46"/>
      <c r="H980" s="46"/>
      <c r="I980" s="46"/>
      <c r="J980" s="46"/>
      <c r="K980" s="33"/>
      <c r="L980" s="33"/>
      <c r="M980" s="33"/>
      <c r="N980" s="46"/>
      <c r="O980" s="46"/>
      <c r="P980" s="46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spans="1:37" ht="33.75" customHeight="1" x14ac:dyDescent="0.5">
      <c r="A981" s="33"/>
      <c r="B981" s="33"/>
      <c r="C981" s="33"/>
      <c r="D981" s="46"/>
      <c r="E981" s="46"/>
      <c r="F981" s="46"/>
      <c r="G981" s="46"/>
      <c r="H981" s="46"/>
      <c r="I981" s="46"/>
      <c r="J981" s="46"/>
      <c r="K981" s="33"/>
      <c r="L981" s="33"/>
      <c r="M981" s="33"/>
      <c r="N981" s="46"/>
      <c r="O981" s="46"/>
      <c r="P981" s="46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spans="1:37" ht="33.75" customHeight="1" x14ac:dyDescent="0.5">
      <c r="A982" s="33"/>
      <c r="B982" s="33"/>
      <c r="C982" s="33"/>
      <c r="D982" s="46"/>
      <c r="E982" s="46"/>
      <c r="F982" s="46"/>
      <c r="G982" s="46"/>
      <c r="H982" s="46"/>
      <c r="I982" s="46"/>
      <c r="J982" s="46"/>
      <c r="K982" s="33"/>
      <c r="L982" s="33"/>
      <c r="M982" s="33"/>
      <c r="N982" s="46"/>
      <c r="O982" s="46"/>
      <c r="P982" s="46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spans="1:37" ht="33.75" customHeight="1" x14ac:dyDescent="0.5">
      <c r="A983" s="33"/>
      <c r="B983" s="33"/>
      <c r="C983" s="33"/>
      <c r="D983" s="46"/>
      <c r="E983" s="46"/>
      <c r="F983" s="46"/>
      <c r="G983" s="46"/>
      <c r="H983" s="46"/>
      <c r="I983" s="46"/>
      <c r="J983" s="46"/>
      <c r="K983" s="33"/>
      <c r="L983" s="33"/>
      <c r="M983" s="33"/>
      <c r="N983" s="46"/>
      <c r="O983" s="46"/>
      <c r="P983" s="46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spans="1:37" ht="33.75" customHeight="1" x14ac:dyDescent="0.5">
      <c r="A984" s="33"/>
      <c r="B984" s="33"/>
      <c r="C984" s="33"/>
      <c r="D984" s="46"/>
      <c r="E984" s="46"/>
      <c r="F984" s="46"/>
      <c r="G984" s="46"/>
      <c r="H984" s="46"/>
      <c r="I984" s="46"/>
      <c r="J984" s="46"/>
      <c r="K984" s="33"/>
      <c r="L984" s="33"/>
      <c r="M984" s="33"/>
      <c r="N984" s="46"/>
      <c r="O984" s="46"/>
      <c r="P984" s="46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spans="1:37" ht="33.75" customHeight="1" x14ac:dyDescent="0.5">
      <c r="A985" s="33"/>
      <c r="B985" s="33"/>
      <c r="C985" s="33"/>
      <c r="D985" s="46"/>
      <c r="E985" s="46"/>
      <c r="F985" s="46"/>
      <c r="G985" s="46"/>
      <c r="H985" s="46"/>
      <c r="I985" s="46"/>
      <c r="J985" s="46"/>
      <c r="K985" s="33"/>
      <c r="L985" s="33"/>
      <c r="M985" s="33"/>
      <c r="N985" s="46"/>
      <c r="O985" s="46"/>
      <c r="P985" s="46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spans="1:37" ht="33.75" customHeight="1" x14ac:dyDescent="0.5">
      <c r="A986" s="33"/>
      <c r="B986" s="33"/>
      <c r="C986" s="33"/>
      <c r="D986" s="46"/>
      <c r="E986" s="46"/>
      <c r="F986" s="46"/>
      <c r="G986" s="46"/>
      <c r="H986" s="46"/>
      <c r="I986" s="46"/>
      <c r="J986" s="46"/>
      <c r="K986" s="33"/>
      <c r="L986" s="33"/>
      <c r="M986" s="33"/>
      <c r="N986" s="46"/>
      <c r="O986" s="46"/>
      <c r="P986" s="46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spans="1:37" ht="33.75" customHeight="1" x14ac:dyDescent="0.5">
      <c r="A987" s="33"/>
      <c r="B987" s="33"/>
      <c r="C987" s="33"/>
      <c r="D987" s="46"/>
      <c r="E987" s="46"/>
      <c r="F987" s="46"/>
      <c r="G987" s="46"/>
      <c r="H987" s="46"/>
      <c r="I987" s="46"/>
      <c r="J987" s="46"/>
      <c r="K987" s="33"/>
      <c r="L987" s="33"/>
      <c r="M987" s="33"/>
      <c r="N987" s="46"/>
      <c r="O987" s="46"/>
      <c r="P987" s="46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spans="1:37" ht="33.75" customHeight="1" x14ac:dyDescent="0.5">
      <c r="A988" s="33"/>
      <c r="B988" s="33"/>
      <c r="C988" s="33"/>
      <c r="D988" s="46"/>
      <c r="E988" s="46"/>
      <c r="F988" s="46"/>
      <c r="G988" s="46"/>
      <c r="H988" s="46"/>
      <c r="I988" s="46"/>
      <c r="J988" s="46"/>
      <c r="K988" s="33"/>
      <c r="L988" s="33"/>
      <c r="M988" s="33"/>
      <c r="N988" s="46"/>
      <c r="O988" s="46"/>
      <c r="P988" s="46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spans="1:37" ht="33.75" customHeight="1" x14ac:dyDescent="0.5">
      <c r="A989" s="33"/>
      <c r="B989" s="33"/>
      <c r="C989" s="33"/>
      <c r="D989" s="46"/>
      <c r="E989" s="46"/>
      <c r="F989" s="46"/>
      <c r="G989" s="46"/>
      <c r="H989" s="46"/>
      <c r="I989" s="46"/>
      <c r="J989" s="46"/>
      <c r="K989" s="33"/>
      <c r="L989" s="33"/>
      <c r="M989" s="33"/>
      <c r="N989" s="46"/>
      <c r="O989" s="46"/>
      <c r="P989" s="46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spans="1:37" ht="33.75" customHeight="1" x14ac:dyDescent="0.5">
      <c r="A990" s="33"/>
      <c r="B990" s="33"/>
      <c r="C990" s="33"/>
      <c r="D990" s="46"/>
      <c r="E990" s="46"/>
      <c r="F990" s="46"/>
      <c r="G990" s="46"/>
      <c r="H990" s="46"/>
      <c r="I990" s="46"/>
      <c r="J990" s="46"/>
      <c r="K990" s="33"/>
      <c r="L990" s="33"/>
      <c r="M990" s="33"/>
      <c r="N990" s="46"/>
      <c r="O990" s="46"/>
      <c r="P990" s="46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spans="1:37" ht="33.75" customHeight="1" x14ac:dyDescent="0.5">
      <c r="A991" s="33"/>
      <c r="B991" s="33"/>
      <c r="C991" s="33"/>
      <c r="D991" s="46"/>
      <c r="E991" s="46"/>
      <c r="F991" s="46"/>
      <c r="G991" s="46"/>
      <c r="H991" s="46"/>
      <c r="I991" s="46"/>
      <c r="J991" s="46"/>
      <c r="K991" s="33"/>
      <c r="L991" s="33"/>
      <c r="M991" s="33"/>
      <c r="N991" s="46"/>
      <c r="O991" s="46"/>
      <c r="P991" s="46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spans="1:37" ht="33.75" customHeight="1" x14ac:dyDescent="0.5">
      <c r="A992" s="33"/>
      <c r="B992" s="33"/>
      <c r="C992" s="33"/>
      <c r="D992" s="46"/>
      <c r="E992" s="46"/>
      <c r="F992" s="46"/>
      <c r="G992" s="46"/>
      <c r="H992" s="46"/>
      <c r="I992" s="46"/>
      <c r="J992" s="46"/>
      <c r="K992" s="33"/>
      <c r="L992" s="33"/>
      <c r="M992" s="33"/>
      <c r="N992" s="46"/>
      <c r="O992" s="46"/>
      <c r="P992" s="46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spans="1:37" ht="33.75" customHeight="1" x14ac:dyDescent="0.5">
      <c r="A993" s="33"/>
      <c r="B993" s="33"/>
      <c r="C993" s="33"/>
      <c r="D993" s="46"/>
      <c r="E993" s="46"/>
      <c r="F993" s="46"/>
      <c r="G993" s="46"/>
      <c r="H993" s="46"/>
      <c r="I993" s="46"/>
      <c r="J993" s="46"/>
      <c r="K993" s="33"/>
      <c r="L993" s="33"/>
      <c r="M993" s="33"/>
      <c r="N993" s="46"/>
      <c r="O993" s="46"/>
      <c r="P993" s="46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spans="1:37" ht="33.75" customHeight="1" x14ac:dyDescent="0.5">
      <c r="A994" s="33"/>
      <c r="B994" s="33"/>
      <c r="C994" s="33"/>
      <c r="D994" s="46"/>
      <c r="E994" s="46"/>
      <c r="F994" s="46"/>
      <c r="G994" s="46"/>
      <c r="H994" s="46"/>
      <c r="I994" s="46"/>
      <c r="J994" s="46"/>
      <c r="K994" s="33"/>
      <c r="L994" s="33"/>
      <c r="M994" s="33"/>
      <c r="N994" s="46"/>
      <c r="O994" s="46"/>
      <c r="P994" s="46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spans="1:37" ht="33.75" customHeight="1" x14ac:dyDescent="0.5">
      <c r="A995" s="33"/>
      <c r="B995" s="33"/>
      <c r="C995" s="33"/>
      <c r="D995" s="46"/>
      <c r="E995" s="46"/>
      <c r="F995" s="46"/>
      <c r="G995" s="46"/>
      <c r="H995" s="46"/>
      <c r="I995" s="46"/>
      <c r="J995" s="46"/>
      <c r="K995" s="33"/>
      <c r="L995" s="33"/>
      <c r="M995" s="33"/>
      <c r="N995" s="46"/>
      <c r="O995" s="46"/>
      <c r="P995" s="46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spans="1:37" ht="33.75" customHeight="1" x14ac:dyDescent="0.5">
      <c r="A996" s="33"/>
      <c r="B996" s="33"/>
      <c r="C996" s="33"/>
      <c r="D996" s="46"/>
      <c r="E996" s="46"/>
      <c r="F996" s="46"/>
      <c r="G996" s="46"/>
      <c r="H996" s="46"/>
      <c r="I996" s="46"/>
      <c r="J996" s="46"/>
      <c r="K996" s="33"/>
      <c r="L996" s="33"/>
      <c r="M996" s="33"/>
      <c r="N996" s="46"/>
      <c r="O996" s="46"/>
      <c r="P996" s="46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spans="1:37" ht="33.75" customHeight="1" x14ac:dyDescent="0.5">
      <c r="A997" s="33"/>
      <c r="B997" s="33"/>
      <c r="C997" s="33"/>
      <c r="D997" s="46"/>
      <c r="E997" s="46"/>
      <c r="F997" s="46"/>
      <c r="G997" s="46"/>
      <c r="H997" s="46"/>
      <c r="I997" s="46"/>
      <c r="J997" s="46"/>
      <c r="K997" s="33"/>
      <c r="L997" s="33"/>
      <c r="M997" s="33"/>
      <c r="N997" s="46"/>
      <c r="O997" s="46"/>
      <c r="P997" s="46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spans="1:37" ht="33.75" customHeight="1" x14ac:dyDescent="0.5">
      <c r="A998" s="33"/>
      <c r="B998" s="33"/>
      <c r="C998" s="33"/>
      <c r="D998" s="46"/>
      <c r="E998" s="46"/>
      <c r="F998" s="46"/>
      <c r="G998" s="46"/>
      <c r="H998" s="46"/>
      <c r="I998" s="46"/>
      <c r="J998" s="46"/>
      <c r="K998" s="33"/>
      <c r="L998" s="33"/>
      <c r="M998" s="33"/>
      <c r="N998" s="46"/>
      <c r="O998" s="46"/>
      <c r="P998" s="46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spans="1:37" ht="33.75" customHeight="1" x14ac:dyDescent="0.5">
      <c r="A999" s="33"/>
      <c r="B999" s="33"/>
      <c r="C999" s="33"/>
      <c r="D999" s="46"/>
      <c r="E999" s="46"/>
      <c r="F999" s="46"/>
      <c r="G999" s="46"/>
      <c r="H999" s="46"/>
      <c r="I999" s="46"/>
      <c r="J999" s="46"/>
      <c r="K999" s="33"/>
      <c r="L999" s="33"/>
      <c r="M999" s="33"/>
      <c r="N999" s="46"/>
      <c r="O999" s="46"/>
      <c r="P999" s="46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spans="1:37" ht="33.75" customHeight="1" x14ac:dyDescent="0.5">
      <c r="A1000" s="33"/>
      <c r="B1000" s="33"/>
      <c r="C1000" s="33"/>
      <c r="D1000" s="46"/>
      <c r="E1000" s="46"/>
      <c r="F1000" s="46"/>
      <c r="G1000" s="46"/>
      <c r="H1000" s="46"/>
      <c r="I1000" s="46"/>
      <c r="J1000" s="46"/>
      <c r="K1000" s="33"/>
      <c r="L1000" s="33"/>
      <c r="M1000" s="33"/>
      <c r="N1000" s="46"/>
      <c r="O1000" s="46"/>
      <c r="P1000" s="46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</sheetData>
  <mergeCells count="501">
    <mergeCell ref="D6:H6"/>
    <mergeCell ref="K6:M6"/>
    <mergeCell ref="N6:N7"/>
    <mergeCell ref="O6:O7"/>
    <mergeCell ref="P6:P7"/>
    <mergeCell ref="Q6:Q7"/>
    <mergeCell ref="A1:P5"/>
    <mergeCell ref="Q1:Q5"/>
    <mergeCell ref="B6:B7"/>
    <mergeCell ref="C6:C7"/>
    <mergeCell ref="I6:I7"/>
    <mergeCell ref="J6:J7"/>
    <mergeCell ref="A6:A7"/>
    <mergeCell ref="A8:C8"/>
    <mergeCell ref="L11:L12"/>
    <mergeCell ref="M11:M12"/>
    <mergeCell ref="N11:N12"/>
    <mergeCell ref="O11:O12"/>
    <mergeCell ref="P11:P12"/>
    <mergeCell ref="Q11:Q12"/>
    <mergeCell ref="E11:E12"/>
    <mergeCell ref="F11:F12"/>
    <mergeCell ref="G11:G12"/>
    <mergeCell ref="H11:H12"/>
    <mergeCell ref="I11:I12"/>
    <mergeCell ref="J11:J12"/>
    <mergeCell ref="K11:K12"/>
    <mergeCell ref="A9:A10"/>
    <mergeCell ref="B9:B10"/>
    <mergeCell ref="A11:A12"/>
    <mergeCell ref="B11:B12"/>
    <mergeCell ref="C11:C12"/>
    <mergeCell ref="D11:D12"/>
    <mergeCell ref="P13:P14"/>
    <mergeCell ref="Q13:Q14"/>
    <mergeCell ref="H13:H14"/>
    <mergeCell ref="I13:I14"/>
    <mergeCell ref="J13:J14"/>
    <mergeCell ref="K13:K14"/>
    <mergeCell ref="L13:L14"/>
    <mergeCell ref="M13:M14"/>
    <mergeCell ref="N13:N14"/>
    <mergeCell ref="B13:B14"/>
    <mergeCell ref="C13:C14"/>
    <mergeCell ref="D13:D14"/>
    <mergeCell ref="E13:E14"/>
    <mergeCell ref="F13:F14"/>
    <mergeCell ref="G13:G14"/>
    <mergeCell ref="A15:C15"/>
    <mergeCell ref="N16:N17"/>
    <mergeCell ref="O16:O17"/>
    <mergeCell ref="A13:A14"/>
    <mergeCell ref="A16:A17"/>
    <mergeCell ref="B16:B17"/>
    <mergeCell ref="C16:C17"/>
    <mergeCell ref="D16:D17"/>
    <mergeCell ref="E16:E17"/>
    <mergeCell ref="F16:F17"/>
    <mergeCell ref="O13:O14"/>
    <mergeCell ref="P16:P17"/>
    <mergeCell ref="Q16:Q17"/>
    <mergeCell ref="Q18:Q19"/>
    <mergeCell ref="G16:G17"/>
    <mergeCell ref="H16:H17"/>
    <mergeCell ref="I16:I17"/>
    <mergeCell ref="J16:J17"/>
    <mergeCell ref="K16:K17"/>
    <mergeCell ref="L16:L17"/>
    <mergeCell ref="M16:M17"/>
    <mergeCell ref="O18:O19"/>
    <mergeCell ref="P18:P19"/>
    <mergeCell ref="H18:H19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G18:G19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O20:O21"/>
    <mergeCell ref="P20:P21"/>
    <mergeCell ref="O22:O23"/>
    <mergeCell ref="P22:P23"/>
    <mergeCell ref="A22:A23"/>
    <mergeCell ref="B22:B23"/>
    <mergeCell ref="C22:C23"/>
    <mergeCell ref="D22:D23"/>
    <mergeCell ref="Q20:Q21"/>
    <mergeCell ref="H20:H21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G20:G21"/>
    <mergeCell ref="Q22:Q23"/>
    <mergeCell ref="Q24:Q25"/>
    <mergeCell ref="H22:H23"/>
    <mergeCell ref="I22:I23"/>
    <mergeCell ref="J22:J23"/>
    <mergeCell ref="K22:K23"/>
    <mergeCell ref="L22:L23"/>
    <mergeCell ref="M22:M23"/>
    <mergeCell ref="N22:N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P28:P29"/>
    <mergeCell ref="Q28:Q29"/>
    <mergeCell ref="F28:F29"/>
    <mergeCell ref="G28:G29"/>
    <mergeCell ref="H28:H29"/>
    <mergeCell ref="I28:I29"/>
    <mergeCell ref="J28:J29"/>
    <mergeCell ref="K28:K29"/>
    <mergeCell ref="L28:L29"/>
    <mergeCell ref="A26:A27"/>
    <mergeCell ref="B26:B27"/>
    <mergeCell ref="B28:B29"/>
    <mergeCell ref="C28:C29"/>
    <mergeCell ref="D28:D29"/>
    <mergeCell ref="E28:E29"/>
    <mergeCell ref="A30:C30"/>
    <mergeCell ref="N31:N32"/>
    <mergeCell ref="O31:O32"/>
    <mergeCell ref="A28:A29"/>
    <mergeCell ref="A31:A32"/>
    <mergeCell ref="B31:B32"/>
    <mergeCell ref="C31:C32"/>
    <mergeCell ref="D31:D32"/>
    <mergeCell ref="E31:E32"/>
    <mergeCell ref="F31:F32"/>
    <mergeCell ref="M28:M29"/>
    <mergeCell ref="N28:N29"/>
    <mergeCell ref="O28:O29"/>
    <mergeCell ref="P31:P32"/>
    <mergeCell ref="Q31:Q32"/>
    <mergeCell ref="Q33:Q34"/>
    <mergeCell ref="G31:G32"/>
    <mergeCell ref="H31:H32"/>
    <mergeCell ref="I31:I32"/>
    <mergeCell ref="J31:J32"/>
    <mergeCell ref="K31:K32"/>
    <mergeCell ref="L31:L32"/>
    <mergeCell ref="M31:M32"/>
    <mergeCell ref="O33:O34"/>
    <mergeCell ref="P33:P34"/>
    <mergeCell ref="H33:H34"/>
    <mergeCell ref="I33:I34"/>
    <mergeCell ref="J33:J34"/>
    <mergeCell ref="K33:K34"/>
    <mergeCell ref="L33:L34"/>
    <mergeCell ref="M33:M34"/>
    <mergeCell ref="N33:N34"/>
    <mergeCell ref="A33:A34"/>
    <mergeCell ref="B33:B34"/>
    <mergeCell ref="C33:C34"/>
    <mergeCell ref="D33:D34"/>
    <mergeCell ref="E33:E34"/>
    <mergeCell ref="F33:F34"/>
    <mergeCell ref="G33:G34"/>
    <mergeCell ref="N61:N62"/>
    <mergeCell ref="O61:O62"/>
    <mergeCell ref="G61:G62"/>
    <mergeCell ref="H61:H62"/>
    <mergeCell ref="I61:I62"/>
    <mergeCell ref="J61:J62"/>
    <mergeCell ref="K61:K62"/>
    <mergeCell ref="L61:L62"/>
    <mergeCell ref="M61:M62"/>
    <mergeCell ref="M56:M57"/>
    <mergeCell ref="N56:N57"/>
    <mergeCell ref="O56:O57"/>
    <mergeCell ref="A54:A55"/>
    <mergeCell ref="B54:B55"/>
    <mergeCell ref="A56:A57"/>
    <mergeCell ref="B56:B57"/>
    <mergeCell ref="C56:C57"/>
    <mergeCell ref="D56:D57"/>
    <mergeCell ref="E56:E57"/>
    <mergeCell ref="O58:O59"/>
    <mergeCell ref="P58:P59"/>
    <mergeCell ref="Q58:Q59"/>
    <mergeCell ref="P61:P62"/>
    <mergeCell ref="Q61:Q62"/>
    <mergeCell ref="H58:H59"/>
    <mergeCell ref="I58:I59"/>
    <mergeCell ref="J58:J59"/>
    <mergeCell ref="K58:K59"/>
    <mergeCell ref="L58:L59"/>
    <mergeCell ref="M58:M59"/>
    <mergeCell ref="N58:N59"/>
    <mergeCell ref="P56:P57"/>
    <mergeCell ref="Q56:Q57"/>
    <mergeCell ref="F56:F57"/>
    <mergeCell ref="G56:G57"/>
    <mergeCell ref="H56:H57"/>
    <mergeCell ref="I56:I57"/>
    <mergeCell ref="J56:J57"/>
    <mergeCell ref="K56:K57"/>
    <mergeCell ref="L56:L57"/>
    <mergeCell ref="G58:G59"/>
    <mergeCell ref="A61:A62"/>
    <mergeCell ref="B61:B62"/>
    <mergeCell ref="C61:C62"/>
    <mergeCell ref="D61:D62"/>
    <mergeCell ref="E61:E62"/>
    <mergeCell ref="F61:F62"/>
    <mergeCell ref="O67:O68"/>
    <mergeCell ref="H65:H66"/>
    <mergeCell ref="I65:I66"/>
    <mergeCell ref="J65:J66"/>
    <mergeCell ref="K65:K66"/>
    <mergeCell ref="L65:L66"/>
    <mergeCell ref="M65:M66"/>
    <mergeCell ref="N65:N66"/>
    <mergeCell ref="A63:A64"/>
    <mergeCell ref="B63:B64"/>
    <mergeCell ref="C63:C64"/>
    <mergeCell ref="D63:D64"/>
    <mergeCell ref="E63:E64"/>
    <mergeCell ref="F63:F64"/>
    <mergeCell ref="G63:G64"/>
    <mergeCell ref="O65:O66"/>
    <mergeCell ref="A65:A66"/>
    <mergeCell ref="B65:B66"/>
    <mergeCell ref="P67:P68"/>
    <mergeCell ref="H67:H68"/>
    <mergeCell ref="I67:I68"/>
    <mergeCell ref="J67:J68"/>
    <mergeCell ref="K67:K68"/>
    <mergeCell ref="L67:L68"/>
    <mergeCell ref="M67:M68"/>
    <mergeCell ref="N67:N68"/>
    <mergeCell ref="Q67:Q68"/>
    <mergeCell ref="C65:C66"/>
    <mergeCell ref="D65:D66"/>
    <mergeCell ref="E65:E66"/>
    <mergeCell ref="F65:F66"/>
    <mergeCell ref="G65:G66"/>
    <mergeCell ref="A39:A40"/>
    <mergeCell ref="B39:B40"/>
    <mergeCell ref="C39:C40"/>
    <mergeCell ref="D39:D40"/>
    <mergeCell ref="E39:E40"/>
    <mergeCell ref="F39:F40"/>
    <mergeCell ref="G39:G40"/>
    <mergeCell ref="B58:B59"/>
    <mergeCell ref="C58:C59"/>
    <mergeCell ref="D58:D59"/>
    <mergeCell ref="E58:E59"/>
    <mergeCell ref="F58:F59"/>
    <mergeCell ref="A41:A42"/>
    <mergeCell ref="B41:B42"/>
    <mergeCell ref="C41:C42"/>
    <mergeCell ref="A60:C60"/>
    <mergeCell ref="A58:A59"/>
    <mergeCell ref="D41:D42"/>
    <mergeCell ref="E41:E42"/>
    <mergeCell ref="Q65:Q66"/>
    <mergeCell ref="O63:O64"/>
    <mergeCell ref="P63:P64"/>
    <mergeCell ref="Q63:Q64"/>
    <mergeCell ref="H63:H64"/>
    <mergeCell ref="I63:I64"/>
    <mergeCell ref="J63:J64"/>
    <mergeCell ref="K63:K64"/>
    <mergeCell ref="L63:L64"/>
    <mergeCell ref="M63:M64"/>
    <mergeCell ref="N63:N64"/>
    <mergeCell ref="P65:P66"/>
    <mergeCell ref="Q35:Q36"/>
    <mergeCell ref="H35:H36"/>
    <mergeCell ref="I35:I36"/>
    <mergeCell ref="J35:J36"/>
    <mergeCell ref="K35:K36"/>
    <mergeCell ref="L35:L36"/>
    <mergeCell ref="M35:M36"/>
    <mergeCell ref="N35:N36"/>
    <mergeCell ref="A67:A68"/>
    <mergeCell ref="B67:B68"/>
    <mergeCell ref="C67:C68"/>
    <mergeCell ref="D67:D68"/>
    <mergeCell ref="E67:E68"/>
    <mergeCell ref="F67:F68"/>
    <mergeCell ref="G67:G68"/>
    <mergeCell ref="O39:O40"/>
    <mergeCell ref="P39:P40"/>
    <mergeCell ref="H39:H40"/>
    <mergeCell ref="I39:I40"/>
    <mergeCell ref="J39:J40"/>
    <mergeCell ref="K39:K40"/>
    <mergeCell ref="L39:L40"/>
    <mergeCell ref="M39:M40"/>
    <mergeCell ref="N39:N40"/>
    <mergeCell ref="A35:A36"/>
    <mergeCell ref="B35:B36"/>
    <mergeCell ref="C35:C36"/>
    <mergeCell ref="D35:D36"/>
    <mergeCell ref="E35:E36"/>
    <mergeCell ref="F35:F36"/>
    <mergeCell ref="G35:G36"/>
    <mergeCell ref="O37:O38"/>
    <mergeCell ref="P37:P38"/>
    <mergeCell ref="A37:A38"/>
    <mergeCell ref="B37:B38"/>
    <mergeCell ref="C37:C38"/>
    <mergeCell ref="D37:D38"/>
    <mergeCell ref="E37:E38"/>
    <mergeCell ref="F37:F38"/>
    <mergeCell ref="G37:G38"/>
    <mergeCell ref="O35:O36"/>
    <mergeCell ref="P35:P36"/>
    <mergeCell ref="Q37:Q38"/>
    <mergeCell ref="Q39:Q40"/>
    <mergeCell ref="H37:H38"/>
    <mergeCell ref="I37:I38"/>
    <mergeCell ref="J37:J38"/>
    <mergeCell ref="K37:K38"/>
    <mergeCell ref="L37:L38"/>
    <mergeCell ref="M37:M38"/>
    <mergeCell ref="N37:N38"/>
    <mergeCell ref="Q41:Q42"/>
    <mergeCell ref="H41:H42"/>
    <mergeCell ref="I41:I42"/>
    <mergeCell ref="J41:J42"/>
    <mergeCell ref="K41:K42"/>
    <mergeCell ref="L41:L42"/>
    <mergeCell ref="M41:M42"/>
    <mergeCell ref="N41:N42"/>
    <mergeCell ref="O46:O47"/>
    <mergeCell ref="H46:H47"/>
    <mergeCell ref="I46:I47"/>
    <mergeCell ref="J46:J47"/>
    <mergeCell ref="K46:K47"/>
    <mergeCell ref="L46:L47"/>
    <mergeCell ref="M46:M47"/>
    <mergeCell ref="O41:O42"/>
    <mergeCell ref="Q43:Q44"/>
    <mergeCell ref="P46:P47"/>
    <mergeCell ref="Q46:Q47"/>
    <mergeCell ref="N46:N47"/>
    <mergeCell ref="F41:F42"/>
    <mergeCell ref="G41:G42"/>
    <mergeCell ref="O43:O44"/>
    <mergeCell ref="P43:P44"/>
    <mergeCell ref="B43:B44"/>
    <mergeCell ref="C43:C44"/>
    <mergeCell ref="D43:D44"/>
    <mergeCell ref="E43:E44"/>
    <mergeCell ref="F43:F44"/>
    <mergeCell ref="G43:G44"/>
    <mergeCell ref="P41:P42"/>
    <mergeCell ref="H43:H44"/>
    <mergeCell ref="I43:I44"/>
    <mergeCell ref="J43:J44"/>
    <mergeCell ref="K43:K44"/>
    <mergeCell ref="L43:L44"/>
    <mergeCell ref="M43:M44"/>
    <mergeCell ref="N43:N44"/>
    <mergeCell ref="A45:C45"/>
    <mergeCell ref="A43:A44"/>
    <mergeCell ref="A46:A47"/>
    <mergeCell ref="B46:B47"/>
    <mergeCell ref="C46:C47"/>
    <mergeCell ref="D46:D47"/>
    <mergeCell ref="E46:E47"/>
    <mergeCell ref="F46:F47"/>
    <mergeCell ref="O52:O53"/>
    <mergeCell ref="A50:A51"/>
    <mergeCell ref="B50:B51"/>
    <mergeCell ref="C50:C51"/>
    <mergeCell ref="D50:D51"/>
    <mergeCell ref="E50:E51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G46:G47"/>
    <mergeCell ref="Q48:Q49"/>
    <mergeCell ref="H48:H49"/>
    <mergeCell ref="I48:I49"/>
    <mergeCell ref="J48:J49"/>
    <mergeCell ref="K48:K49"/>
    <mergeCell ref="L48:L49"/>
    <mergeCell ref="M48:M49"/>
    <mergeCell ref="N48:N49"/>
    <mergeCell ref="A48:A49"/>
    <mergeCell ref="B48:B49"/>
    <mergeCell ref="C48:C49"/>
    <mergeCell ref="D48:D49"/>
    <mergeCell ref="E48:E49"/>
    <mergeCell ref="F48:F49"/>
    <mergeCell ref="G48:G49"/>
    <mergeCell ref="O48:O49"/>
    <mergeCell ref="P48:P49"/>
    <mergeCell ref="Q50:Q51"/>
    <mergeCell ref="Q52:Q53"/>
    <mergeCell ref="H50:H51"/>
    <mergeCell ref="I50:I51"/>
    <mergeCell ref="J50:J51"/>
    <mergeCell ref="K50:K51"/>
    <mergeCell ref="L50:L51"/>
    <mergeCell ref="M50:M51"/>
    <mergeCell ref="N50:N51"/>
    <mergeCell ref="P52:P53"/>
    <mergeCell ref="H52:H53"/>
    <mergeCell ref="I52:I53"/>
    <mergeCell ref="J52:J53"/>
    <mergeCell ref="K52:K53"/>
    <mergeCell ref="L52:L53"/>
    <mergeCell ref="M52:M53"/>
    <mergeCell ref="N52:N53"/>
    <mergeCell ref="O50:O51"/>
    <mergeCell ref="P50:P51"/>
    <mergeCell ref="Q69:Q70"/>
    <mergeCell ref="H69:H70"/>
    <mergeCell ref="I69:I70"/>
    <mergeCell ref="J69:J70"/>
    <mergeCell ref="K69:K70"/>
    <mergeCell ref="L69:L70"/>
    <mergeCell ref="M69:M70"/>
    <mergeCell ref="N69:N70"/>
    <mergeCell ref="O73:O74"/>
    <mergeCell ref="P73:P74"/>
    <mergeCell ref="H73:H74"/>
    <mergeCell ref="I73:I74"/>
    <mergeCell ref="J73:J74"/>
    <mergeCell ref="K73:K74"/>
    <mergeCell ref="L73:L74"/>
    <mergeCell ref="M73:M74"/>
    <mergeCell ref="N73:N74"/>
    <mergeCell ref="A69:A70"/>
    <mergeCell ref="B69:B70"/>
    <mergeCell ref="C69:C70"/>
    <mergeCell ref="D69:D70"/>
    <mergeCell ref="E69:E70"/>
    <mergeCell ref="F69:F70"/>
    <mergeCell ref="G69:G70"/>
    <mergeCell ref="O71:O72"/>
    <mergeCell ref="P71:P72"/>
    <mergeCell ref="A71:A72"/>
    <mergeCell ref="B71:B72"/>
    <mergeCell ref="C71:C72"/>
    <mergeCell ref="D71:D72"/>
    <mergeCell ref="E71:E72"/>
    <mergeCell ref="F71:F72"/>
    <mergeCell ref="G71:G72"/>
    <mergeCell ref="O69:O70"/>
    <mergeCell ref="P69:P70"/>
    <mergeCell ref="A73:A74"/>
    <mergeCell ref="B73:B74"/>
    <mergeCell ref="C73:C74"/>
    <mergeCell ref="D73:D74"/>
    <mergeCell ref="E73:E74"/>
    <mergeCell ref="F73:F74"/>
    <mergeCell ref="G73:G74"/>
    <mergeCell ref="A75:C75"/>
    <mergeCell ref="Q71:Q72"/>
    <mergeCell ref="Q73:Q74"/>
    <mergeCell ref="H71:H72"/>
    <mergeCell ref="I71:I72"/>
    <mergeCell ref="J71:J72"/>
    <mergeCell ref="K71:K72"/>
    <mergeCell ref="L71:L72"/>
    <mergeCell ref="M71:M72"/>
    <mergeCell ref="N71:N72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workbookViewId="0"/>
  </sheetViews>
  <sheetFormatPr defaultColWidth="14.42578125" defaultRowHeight="15" customHeight="1" x14ac:dyDescent="0.25"/>
  <cols>
    <col min="1" max="1" width="40.28515625" customWidth="1"/>
    <col min="2" max="2" width="35.5703125" customWidth="1"/>
    <col min="3" max="3" width="18.7109375" customWidth="1"/>
    <col min="4" max="4" width="44.85546875" hidden="1" customWidth="1"/>
    <col min="5" max="5" width="59.28515625" hidden="1" customWidth="1"/>
    <col min="6" max="6" width="49.28515625" hidden="1" customWidth="1"/>
    <col min="7" max="7" width="44.85546875" hidden="1" customWidth="1"/>
    <col min="8" max="8" width="57.42578125" hidden="1" customWidth="1"/>
    <col min="9" max="9" width="99.5703125" customWidth="1"/>
    <col min="10" max="10" width="75" customWidth="1"/>
    <col min="11" max="11" width="28.85546875" hidden="1" customWidth="1"/>
    <col min="12" max="12" width="51.85546875" hidden="1" customWidth="1"/>
    <col min="13" max="13" width="31.7109375" hidden="1" customWidth="1"/>
    <col min="14" max="14" width="31.140625" customWidth="1"/>
    <col min="15" max="15" width="57.5703125" customWidth="1"/>
    <col min="16" max="16" width="26.5703125" customWidth="1"/>
    <col min="17" max="17" width="97.7109375" customWidth="1"/>
    <col min="18" max="26" width="8.7109375" customWidth="1"/>
  </cols>
  <sheetData>
    <row r="1" spans="1:17" ht="46.5" customHeight="1" x14ac:dyDescent="0.25">
      <c r="A1" s="121" t="s">
        <v>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5"/>
      <c r="Q1" s="122"/>
    </row>
    <row r="2" spans="1:17" ht="46.5" customHeight="1" x14ac:dyDescent="0.25">
      <c r="A2" s="9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97"/>
      <c r="Q2" s="82"/>
    </row>
    <row r="3" spans="1:17" ht="46.5" customHeight="1" x14ac:dyDescent="0.25">
      <c r="A3" s="96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97"/>
      <c r="Q3" s="82"/>
    </row>
    <row r="4" spans="1:17" ht="46.5" customHeight="1" x14ac:dyDescent="0.25">
      <c r="A4" s="9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97"/>
      <c r="Q4" s="82"/>
    </row>
    <row r="5" spans="1:17" ht="184.5" customHeight="1" x14ac:dyDescent="0.25">
      <c r="A5" s="152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153"/>
      <c r="Q5" s="82"/>
    </row>
    <row r="6" spans="1:17" ht="75" customHeight="1" x14ac:dyDescent="0.25">
      <c r="A6" s="127" t="s">
        <v>1</v>
      </c>
      <c r="B6" s="127" t="s">
        <v>2</v>
      </c>
      <c r="C6" s="127" t="s">
        <v>3</v>
      </c>
      <c r="D6" s="154" t="s">
        <v>58</v>
      </c>
      <c r="E6" s="64"/>
      <c r="F6" s="64"/>
      <c r="G6" s="64"/>
      <c r="H6" s="65"/>
      <c r="I6" s="125" t="s">
        <v>5</v>
      </c>
      <c r="J6" s="125" t="s">
        <v>6</v>
      </c>
      <c r="K6" s="47"/>
      <c r="L6" s="47"/>
      <c r="M6" s="47"/>
      <c r="N6" s="118" t="s">
        <v>8</v>
      </c>
      <c r="O6" s="118" t="s">
        <v>9</v>
      </c>
      <c r="P6" s="151" t="s">
        <v>10</v>
      </c>
      <c r="Q6" s="155" t="s">
        <v>11</v>
      </c>
    </row>
    <row r="7" spans="1:17" ht="67.5" customHeight="1" x14ac:dyDescent="0.25">
      <c r="A7" s="62"/>
      <c r="B7" s="62"/>
      <c r="C7" s="62"/>
      <c r="D7" s="48" t="s">
        <v>12</v>
      </c>
      <c r="E7" s="48" t="s">
        <v>13</v>
      </c>
      <c r="F7" s="48" t="s">
        <v>14</v>
      </c>
      <c r="G7" s="48" t="s">
        <v>15</v>
      </c>
      <c r="H7" s="48" t="s">
        <v>16</v>
      </c>
      <c r="I7" s="62"/>
      <c r="J7" s="62"/>
      <c r="K7" s="150" t="s">
        <v>7</v>
      </c>
      <c r="L7" s="64"/>
      <c r="M7" s="65"/>
      <c r="N7" s="62"/>
      <c r="O7" s="62"/>
      <c r="P7" s="62"/>
      <c r="Q7" s="62"/>
    </row>
    <row r="8" spans="1:17" ht="46.5" hidden="1" customHeight="1" x14ac:dyDescent="0.25">
      <c r="A8" s="114" t="s">
        <v>20</v>
      </c>
      <c r="B8" s="64"/>
      <c r="C8" s="65"/>
      <c r="D8" s="24">
        <f>SUBTOTAL(9,D9:D32)</f>
        <v>12345648</v>
      </c>
      <c r="E8" s="24">
        <f>SUBTOTAL(9,E9:E32)</f>
        <v>34758302</v>
      </c>
      <c r="F8" s="24">
        <f>SUBTOTAL(9,F9:F32)</f>
        <v>134362684</v>
      </c>
      <c r="G8" s="24">
        <f>SUBTOTAL(9,G9:G32)</f>
        <v>39863898</v>
      </c>
      <c r="H8" s="24">
        <f>SUBTOTAL(9,H9:H32)</f>
        <v>19138397</v>
      </c>
      <c r="I8" s="24">
        <f t="shared" ref="I8:N8" si="0">SUBTOTAL(9,I9:I30)</f>
        <v>195315620</v>
      </c>
      <c r="J8" s="24">
        <f t="shared" si="0"/>
        <v>223285259</v>
      </c>
      <c r="K8" s="24">
        <f t="shared" si="0"/>
        <v>0</v>
      </c>
      <c r="L8" s="24">
        <f t="shared" si="0"/>
        <v>0</v>
      </c>
      <c r="M8" s="24">
        <f t="shared" si="0"/>
        <v>0</v>
      </c>
      <c r="N8" s="24">
        <f t="shared" si="0"/>
        <v>144</v>
      </c>
      <c r="O8" s="24">
        <f>J8/N8</f>
        <v>1550592.076388889</v>
      </c>
      <c r="P8" s="24">
        <f>SUBTOTAL(9,P9:P30)</f>
        <v>54</v>
      </c>
      <c r="Q8" s="24"/>
    </row>
    <row r="9" spans="1:17" ht="24" hidden="1" customHeight="1" x14ac:dyDescent="0.25">
      <c r="A9" s="111">
        <v>45658</v>
      </c>
      <c r="B9" s="113" t="s">
        <v>32</v>
      </c>
      <c r="C9" s="113" t="s">
        <v>22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</row>
    <row r="10" spans="1:17" ht="24" hidden="1" customHeight="1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1:17" ht="24" hidden="1" customHeight="1" x14ac:dyDescent="0.25">
      <c r="A11" s="111">
        <v>45659</v>
      </c>
      <c r="B11" s="113" t="s">
        <v>21</v>
      </c>
      <c r="C11" s="113" t="s">
        <v>22</v>
      </c>
      <c r="D11" s="109"/>
      <c r="E11" s="109"/>
      <c r="F11" s="109"/>
      <c r="G11" s="109">
        <v>458136</v>
      </c>
      <c r="H11" s="109"/>
      <c r="I11" s="109">
        <v>404000</v>
      </c>
      <c r="J11" s="109">
        <f>SUM(D11:H12)</f>
        <v>458136</v>
      </c>
      <c r="K11" s="109"/>
      <c r="L11" s="109"/>
      <c r="M11" s="109"/>
      <c r="N11" s="109">
        <v>1</v>
      </c>
      <c r="O11" s="109">
        <f>J11/N11</f>
        <v>458136</v>
      </c>
      <c r="P11" s="109">
        <v>1</v>
      </c>
      <c r="Q11" s="109" t="s">
        <v>59</v>
      </c>
    </row>
    <row r="12" spans="1:17" ht="51.75" hidden="1" customHeight="1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1:17" ht="24" hidden="1" customHeight="1" x14ac:dyDescent="0.25">
      <c r="A13" s="111">
        <v>45660</v>
      </c>
      <c r="B13" s="113" t="s">
        <v>23</v>
      </c>
      <c r="C13" s="113" t="s">
        <v>22</v>
      </c>
      <c r="D13" s="113"/>
      <c r="E13" s="109"/>
      <c r="F13" s="109">
        <v>5536656</v>
      </c>
      <c r="G13" s="109"/>
      <c r="H13" s="109"/>
      <c r="I13" s="109">
        <v>4864000</v>
      </c>
      <c r="J13" s="109">
        <f>SUM(D13:H14)</f>
        <v>5536656</v>
      </c>
      <c r="K13" s="109"/>
      <c r="L13" s="109"/>
      <c r="M13" s="109"/>
      <c r="N13" s="109">
        <v>4</v>
      </c>
      <c r="O13" s="109">
        <f>J13/N13</f>
        <v>1384164</v>
      </c>
      <c r="P13" s="109">
        <v>3</v>
      </c>
      <c r="Q13" s="149"/>
    </row>
    <row r="14" spans="1:17" ht="24" hidden="1" customHeight="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1:17" ht="24" hidden="1" customHeight="1" x14ac:dyDescent="0.25">
      <c r="A15" s="111">
        <v>45661</v>
      </c>
      <c r="B15" s="113" t="s">
        <v>25</v>
      </c>
      <c r="C15" s="113" t="s">
        <v>22</v>
      </c>
      <c r="D15" s="109">
        <v>4342212</v>
      </c>
      <c r="E15" s="109">
        <v>4956210</v>
      </c>
      <c r="F15" s="109"/>
      <c r="G15" s="109"/>
      <c r="H15" s="109">
        <v>8625544</v>
      </c>
      <c r="I15" s="109">
        <v>15779300</v>
      </c>
      <c r="J15" s="109">
        <f>SUM(D15:H16)</f>
        <v>17923966</v>
      </c>
      <c r="K15" s="109"/>
      <c r="L15" s="109"/>
      <c r="M15" s="109"/>
      <c r="N15" s="109">
        <v>14</v>
      </c>
      <c r="O15" s="109">
        <f>J15/N15</f>
        <v>1280283.2857142857</v>
      </c>
      <c r="P15" s="109">
        <v>7</v>
      </c>
      <c r="Q15" s="109"/>
    </row>
    <row r="16" spans="1:17" ht="24" hidden="1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 spans="1:17" ht="24" hidden="1" customHeight="1" x14ac:dyDescent="0.25">
      <c r="A17" s="111">
        <v>45662</v>
      </c>
      <c r="B17" s="113" t="s">
        <v>60</v>
      </c>
      <c r="C17" s="113" t="s">
        <v>22</v>
      </c>
      <c r="D17" s="109">
        <v>1905120</v>
      </c>
      <c r="E17" s="109"/>
      <c r="F17" s="109"/>
      <c r="G17" s="109"/>
      <c r="H17" s="109"/>
      <c r="I17" s="109">
        <v>1905120</v>
      </c>
      <c r="J17" s="109">
        <f>SUM(D17:H18)</f>
        <v>1905120</v>
      </c>
      <c r="K17" s="109"/>
      <c r="L17" s="109"/>
      <c r="M17" s="109"/>
      <c r="N17" s="109">
        <v>1</v>
      </c>
      <c r="O17" s="109">
        <f>J17/N17</f>
        <v>1905120</v>
      </c>
      <c r="P17" s="109">
        <v>1</v>
      </c>
      <c r="Q17" s="148"/>
    </row>
    <row r="18" spans="1:17" ht="24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1:17" ht="24" hidden="1" customHeight="1" x14ac:dyDescent="0.25">
      <c r="A19" s="111">
        <v>45663</v>
      </c>
      <c r="B19" s="113" t="s">
        <v>30</v>
      </c>
      <c r="C19" s="113" t="s">
        <v>22</v>
      </c>
      <c r="D19" s="113"/>
      <c r="E19" s="109"/>
      <c r="F19" s="109">
        <v>65770085</v>
      </c>
      <c r="G19" s="109">
        <v>16754907</v>
      </c>
      <c r="H19" s="109">
        <v>10512853</v>
      </c>
      <c r="I19" s="109">
        <v>81210250</v>
      </c>
      <c r="J19" s="109">
        <f>SUM(D19:H20)</f>
        <v>93037845</v>
      </c>
      <c r="K19" s="109"/>
      <c r="L19" s="109"/>
      <c r="M19" s="109"/>
      <c r="N19" s="109">
        <v>56</v>
      </c>
      <c r="O19" s="109">
        <f>J19/N19</f>
        <v>1661390.0892857143</v>
      </c>
      <c r="P19" s="109">
        <v>11</v>
      </c>
      <c r="Q19" s="148"/>
    </row>
    <row r="20" spans="1:17" ht="24" hidden="1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1:17" ht="24" hidden="1" customHeight="1" x14ac:dyDescent="0.25">
      <c r="A21" s="111">
        <v>45664</v>
      </c>
      <c r="B21" s="113" t="s">
        <v>31</v>
      </c>
      <c r="C21" s="113" t="s">
        <v>22</v>
      </c>
      <c r="D21" s="109"/>
      <c r="E21" s="109"/>
      <c r="F21" s="109">
        <v>2737476</v>
      </c>
      <c r="G21" s="109"/>
      <c r="H21" s="109"/>
      <c r="I21" s="109">
        <v>2114000</v>
      </c>
      <c r="J21" s="109">
        <f>SUM(D21:H22)</f>
        <v>2737476</v>
      </c>
      <c r="K21" s="109"/>
      <c r="L21" s="109"/>
      <c r="M21" s="109"/>
      <c r="N21" s="109">
        <v>4</v>
      </c>
      <c r="O21" s="109">
        <f>J21/N21</f>
        <v>684369</v>
      </c>
      <c r="P21" s="109">
        <v>1</v>
      </c>
      <c r="Q21" s="147"/>
    </row>
    <row r="22" spans="1:17" ht="24" hidden="1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1:17" ht="24" hidden="1" customHeight="1" x14ac:dyDescent="0.25">
      <c r="A23" s="111">
        <v>45665</v>
      </c>
      <c r="B23" s="113" t="s">
        <v>32</v>
      </c>
      <c r="C23" s="113" t="s">
        <v>22</v>
      </c>
      <c r="D23" s="109"/>
      <c r="E23" s="109">
        <v>5000000</v>
      </c>
      <c r="F23" s="109">
        <f>6515376+5381460+27201694</f>
        <v>39098530</v>
      </c>
      <c r="G23" s="109">
        <v>5294646</v>
      </c>
      <c r="H23" s="109"/>
      <c r="I23" s="109">
        <v>43329000</v>
      </c>
      <c r="J23" s="109">
        <f>SUM(D23:H24)</f>
        <v>49393176</v>
      </c>
      <c r="K23" s="109"/>
      <c r="L23" s="109"/>
      <c r="M23" s="109"/>
      <c r="N23" s="109">
        <v>25</v>
      </c>
      <c r="O23" s="109">
        <f>J23/N23</f>
        <v>1975727.04</v>
      </c>
      <c r="P23" s="109">
        <v>10</v>
      </c>
      <c r="Q23" s="109" t="s">
        <v>59</v>
      </c>
    </row>
    <row r="24" spans="1:17" ht="24" hidden="1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</row>
    <row r="25" spans="1:17" ht="24" hidden="1" customHeight="1" x14ac:dyDescent="0.25">
      <c r="A25" s="111">
        <v>45666</v>
      </c>
      <c r="B25" s="113" t="s">
        <v>21</v>
      </c>
      <c r="C25" s="113" t="s">
        <v>22</v>
      </c>
      <c r="D25" s="109"/>
      <c r="E25" s="109"/>
      <c r="F25" s="109">
        <v>21219937</v>
      </c>
      <c r="G25" s="109"/>
      <c r="H25" s="109"/>
      <c r="I25" s="109">
        <v>18455800</v>
      </c>
      <c r="J25" s="109">
        <f>SUM(D25:H26)</f>
        <v>21219937</v>
      </c>
      <c r="K25" s="109"/>
      <c r="L25" s="109"/>
      <c r="M25" s="109"/>
      <c r="N25" s="109">
        <v>17</v>
      </c>
      <c r="O25" s="109">
        <f>J25/N25</f>
        <v>1248231.5882352942</v>
      </c>
      <c r="P25" s="109">
        <v>7</v>
      </c>
      <c r="Q25" s="109"/>
    </row>
    <row r="26" spans="1:17" ht="24" hidden="1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</row>
    <row r="27" spans="1:17" ht="24" hidden="1" customHeight="1" x14ac:dyDescent="0.25">
      <c r="A27" s="111">
        <v>45667</v>
      </c>
      <c r="B27" s="113" t="s">
        <v>23</v>
      </c>
      <c r="C27" s="113" t="s">
        <v>22</v>
      </c>
      <c r="D27" s="109">
        <v>6098316</v>
      </c>
      <c r="E27" s="109">
        <v>24802092</v>
      </c>
      <c r="F27" s="109"/>
      <c r="G27" s="109"/>
      <c r="H27" s="109"/>
      <c r="I27" s="109">
        <v>27102000</v>
      </c>
      <c r="J27" s="109">
        <f>SUM(D27:H28)</f>
        <v>30900408</v>
      </c>
      <c r="K27" s="109"/>
      <c r="L27" s="109"/>
      <c r="M27" s="109"/>
      <c r="N27" s="109">
        <v>21</v>
      </c>
      <c r="O27" s="109">
        <f>J27/N27</f>
        <v>1471448</v>
      </c>
      <c r="P27" s="109">
        <v>12</v>
      </c>
      <c r="Q27" s="109"/>
    </row>
    <row r="28" spans="1:17" ht="24" hidden="1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1:17" ht="24" hidden="1" customHeight="1" x14ac:dyDescent="0.25">
      <c r="A29" s="111">
        <v>45668</v>
      </c>
      <c r="B29" s="113" t="s">
        <v>25</v>
      </c>
      <c r="C29" s="113" t="s">
        <v>22</v>
      </c>
      <c r="D29" s="109"/>
      <c r="E29" s="109"/>
      <c r="F29" s="109"/>
      <c r="G29" s="109">
        <v>172539</v>
      </c>
      <c r="H29" s="109"/>
      <c r="I29" s="109">
        <v>152150</v>
      </c>
      <c r="J29" s="109">
        <f>SUM(D29:H30)</f>
        <v>172539</v>
      </c>
      <c r="K29" s="109"/>
      <c r="L29" s="109"/>
      <c r="M29" s="109"/>
      <c r="N29" s="109">
        <v>1</v>
      </c>
      <c r="O29" s="109">
        <f>J29/N29</f>
        <v>172539</v>
      </c>
      <c r="P29" s="109">
        <v>1</v>
      </c>
      <c r="Q29" s="109" t="s">
        <v>61</v>
      </c>
    </row>
    <row r="30" spans="1:17" ht="24" hidden="1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</row>
    <row r="31" spans="1:17" ht="24" hidden="1" customHeight="1" x14ac:dyDescent="0.25">
      <c r="A31" s="111">
        <v>45669</v>
      </c>
      <c r="B31" s="113" t="s">
        <v>62</v>
      </c>
      <c r="C31" s="113" t="s">
        <v>22</v>
      </c>
      <c r="D31" s="109"/>
      <c r="E31" s="109"/>
      <c r="F31" s="109"/>
      <c r="G31" s="109">
        <v>17183670</v>
      </c>
      <c r="H31" s="109"/>
      <c r="I31" s="109">
        <v>15025000</v>
      </c>
      <c r="J31" s="109">
        <f>SUM(D31:H32)</f>
        <v>17183670</v>
      </c>
      <c r="K31" s="109"/>
      <c r="L31" s="109"/>
      <c r="M31" s="109"/>
      <c r="N31" s="109">
        <v>8</v>
      </c>
      <c r="O31" s="109">
        <f>J31/N31</f>
        <v>2147958.75</v>
      </c>
      <c r="P31" s="109">
        <v>4</v>
      </c>
      <c r="Q31" s="109" t="s">
        <v>59</v>
      </c>
    </row>
    <row r="32" spans="1:17" ht="24" hidden="1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spans="1:17" ht="46.5" hidden="1" customHeight="1" x14ac:dyDescent="0.25">
      <c r="A33" s="114" t="s">
        <v>29</v>
      </c>
      <c r="B33" s="64"/>
      <c r="C33" s="65"/>
      <c r="D33" s="24">
        <f t="shared" ref="D33:P33" si="1">SUM(D44:D57)</f>
        <v>13648260</v>
      </c>
      <c r="E33" s="24">
        <f t="shared" si="1"/>
        <v>15012438</v>
      </c>
      <c r="F33" s="24">
        <f t="shared" si="1"/>
        <v>126468938</v>
      </c>
      <c r="G33" s="24">
        <f t="shared" si="1"/>
        <v>30918056</v>
      </c>
      <c r="H33" s="24">
        <f t="shared" si="1"/>
        <v>0</v>
      </c>
      <c r="I33" s="24">
        <f t="shared" si="1"/>
        <v>163390350</v>
      </c>
      <c r="J33" s="24">
        <f t="shared" si="1"/>
        <v>186047692</v>
      </c>
      <c r="K33" s="24">
        <f t="shared" si="1"/>
        <v>0</v>
      </c>
      <c r="L33" s="24">
        <f t="shared" si="1"/>
        <v>0</v>
      </c>
      <c r="M33" s="24">
        <f t="shared" si="1"/>
        <v>0</v>
      </c>
      <c r="N33" s="24">
        <f t="shared" si="1"/>
        <v>106</v>
      </c>
      <c r="O33" s="24">
        <f t="shared" si="1"/>
        <v>13433622.438987529</v>
      </c>
      <c r="P33" s="24">
        <f t="shared" si="1"/>
        <v>63</v>
      </c>
      <c r="Q33" s="24"/>
    </row>
    <row r="34" spans="1:17" ht="24" hidden="1" customHeight="1" x14ac:dyDescent="0.25">
      <c r="A34" s="111">
        <v>45658</v>
      </c>
      <c r="B34" s="113" t="s">
        <v>32</v>
      </c>
      <c r="C34" s="113" t="s">
        <v>22</v>
      </c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</row>
    <row r="35" spans="1:17" ht="24" hidden="1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</row>
    <row r="36" spans="1:17" ht="24" hidden="1" customHeight="1" x14ac:dyDescent="0.25">
      <c r="A36" s="111">
        <v>45659</v>
      </c>
      <c r="B36" s="113" t="s">
        <v>21</v>
      </c>
      <c r="C36" s="113" t="s">
        <v>22</v>
      </c>
      <c r="D36" s="109"/>
      <c r="E36" s="109"/>
      <c r="F36" s="109"/>
      <c r="G36" s="109">
        <v>458136</v>
      </c>
      <c r="H36" s="109"/>
      <c r="I36" s="109">
        <v>404000</v>
      </c>
      <c r="J36" s="109">
        <f>SUM(D36:H37)</f>
        <v>458136</v>
      </c>
      <c r="K36" s="109"/>
      <c r="L36" s="109"/>
      <c r="M36" s="109"/>
      <c r="N36" s="109">
        <v>1</v>
      </c>
      <c r="O36" s="109">
        <f>J36/N36</f>
        <v>458136</v>
      </c>
      <c r="P36" s="109">
        <v>1</v>
      </c>
      <c r="Q36" s="109" t="s">
        <v>59</v>
      </c>
    </row>
    <row r="37" spans="1:17" ht="51.75" hidden="1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spans="1:17" ht="24" hidden="1" customHeight="1" x14ac:dyDescent="0.25">
      <c r="A38" s="111">
        <v>45660</v>
      </c>
      <c r="B38" s="113" t="s">
        <v>23</v>
      </c>
      <c r="C38" s="113" t="s">
        <v>22</v>
      </c>
      <c r="D38" s="113"/>
      <c r="E38" s="109"/>
      <c r="F38" s="109">
        <v>5536656</v>
      </c>
      <c r="G38" s="109"/>
      <c r="H38" s="109"/>
      <c r="I38" s="109">
        <v>4864000</v>
      </c>
      <c r="J38" s="109">
        <f>SUM(D38:H39)</f>
        <v>5536656</v>
      </c>
      <c r="K38" s="109"/>
      <c r="L38" s="109"/>
      <c r="M38" s="109"/>
      <c r="N38" s="109">
        <v>4</v>
      </c>
      <c r="O38" s="109">
        <f>J38/N38</f>
        <v>1384164</v>
      </c>
      <c r="P38" s="109">
        <v>3</v>
      </c>
      <c r="Q38" s="149"/>
    </row>
    <row r="39" spans="1:17" ht="24" hidden="1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</row>
    <row r="40" spans="1:17" ht="24" hidden="1" customHeight="1" x14ac:dyDescent="0.25">
      <c r="A40" s="111">
        <v>45661</v>
      </c>
      <c r="B40" s="113" t="s">
        <v>25</v>
      </c>
      <c r="C40" s="113" t="s">
        <v>22</v>
      </c>
      <c r="D40" s="109">
        <v>4342212</v>
      </c>
      <c r="E40" s="109">
        <v>4956210</v>
      </c>
      <c r="F40" s="109"/>
      <c r="G40" s="109"/>
      <c r="H40" s="109">
        <v>8625544</v>
      </c>
      <c r="I40" s="109">
        <v>15779300</v>
      </c>
      <c r="J40" s="109">
        <f>SUM(D40:H41)</f>
        <v>17923966</v>
      </c>
      <c r="K40" s="109"/>
      <c r="L40" s="109"/>
      <c r="M40" s="109"/>
      <c r="N40" s="109">
        <v>14</v>
      </c>
      <c r="O40" s="109">
        <f>J40/N40</f>
        <v>1280283.2857142857</v>
      </c>
      <c r="P40" s="109">
        <v>7</v>
      </c>
      <c r="Q40" s="109"/>
    </row>
    <row r="41" spans="1:17" ht="24" hidden="1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</row>
    <row r="42" spans="1:17" ht="24" hidden="1" customHeight="1" x14ac:dyDescent="0.25">
      <c r="A42" s="111">
        <v>45662</v>
      </c>
      <c r="B42" s="113" t="s">
        <v>60</v>
      </c>
      <c r="C42" s="113" t="s">
        <v>22</v>
      </c>
      <c r="D42" s="109">
        <v>1905120</v>
      </c>
      <c r="E42" s="109"/>
      <c r="F42" s="109"/>
      <c r="G42" s="109"/>
      <c r="H42" s="109"/>
      <c r="I42" s="109">
        <v>1905120</v>
      </c>
      <c r="J42" s="109">
        <f>SUM(D42:H43)</f>
        <v>1905120</v>
      </c>
      <c r="K42" s="109"/>
      <c r="L42" s="109"/>
      <c r="M42" s="109"/>
      <c r="N42" s="109">
        <v>1</v>
      </c>
      <c r="O42" s="109">
        <f>J42/N42</f>
        <v>1905120</v>
      </c>
      <c r="P42" s="109">
        <v>1</v>
      </c>
      <c r="Q42" s="148"/>
    </row>
    <row r="43" spans="1:17" ht="24" hidden="1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</row>
    <row r="44" spans="1:17" ht="24" hidden="1" customHeight="1" x14ac:dyDescent="0.25">
      <c r="A44" s="111">
        <v>45670</v>
      </c>
      <c r="B44" s="113" t="s">
        <v>30</v>
      </c>
      <c r="C44" s="113" t="s">
        <v>22</v>
      </c>
      <c r="D44" s="109">
        <v>3711036</v>
      </c>
      <c r="E44" s="109">
        <v>2265690</v>
      </c>
      <c r="F44" s="109">
        <v>31712436</v>
      </c>
      <c r="G44" s="109">
        <v>1416933</v>
      </c>
      <c r="H44" s="109"/>
      <c r="I44" s="109">
        <v>34422500</v>
      </c>
      <c r="J44" s="109">
        <f>SUM(D44:H45)</f>
        <v>39106095</v>
      </c>
      <c r="K44" s="109"/>
      <c r="L44" s="109"/>
      <c r="M44" s="109"/>
      <c r="N44" s="109">
        <v>21</v>
      </c>
      <c r="O44" s="109">
        <f>J44/N44</f>
        <v>1862195</v>
      </c>
      <c r="P44" s="109">
        <v>18</v>
      </c>
      <c r="Q44" s="109" t="s">
        <v>59</v>
      </c>
    </row>
    <row r="45" spans="1:17" ht="24" hidden="1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spans="1:17" ht="24" hidden="1" customHeight="1" x14ac:dyDescent="0.25">
      <c r="A46" s="111">
        <v>45671</v>
      </c>
      <c r="B46" s="113" t="s">
        <v>31</v>
      </c>
      <c r="C46" s="113" t="s">
        <v>22</v>
      </c>
      <c r="D46" s="109">
        <v>577500</v>
      </c>
      <c r="E46" s="109">
        <v>4624410</v>
      </c>
      <c r="F46" s="109">
        <v>8714402</v>
      </c>
      <c r="G46" s="109"/>
      <c r="H46" s="109"/>
      <c r="I46" s="109">
        <v>12219750</v>
      </c>
      <c r="J46" s="109">
        <f>SUM(D46:H47)</f>
        <v>13916312</v>
      </c>
      <c r="K46" s="109"/>
      <c r="L46" s="109"/>
      <c r="M46" s="109"/>
      <c r="N46" s="109">
        <v>14</v>
      </c>
      <c r="O46" s="109">
        <f>J46/N46</f>
        <v>994022.28571428568</v>
      </c>
      <c r="P46" s="109">
        <v>8</v>
      </c>
      <c r="Q46" s="147"/>
    </row>
    <row r="47" spans="1:17" ht="24" hidden="1" customHeight="1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</row>
    <row r="48" spans="1:17" ht="24" hidden="1" customHeight="1" x14ac:dyDescent="0.25">
      <c r="A48" s="111">
        <v>45672</v>
      </c>
      <c r="B48" s="113" t="s">
        <v>32</v>
      </c>
      <c r="C48" s="113" t="s">
        <v>22</v>
      </c>
      <c r="D48" s="109"/>
      <c r="E48" s="109">
        <v>2173878</v>
      </c>
      <c r="F48" s="109">
        <v>796950</v>
      </c>
      <c r="G48" s="109">
        <v>5126020</v>
      </c>
      <c r="H48" s="109"/>
      <c r="I48" s="109">
        <v>7127300</v>
      </c>
      <c r="J48" s="109">
        <f>SUM(D48:H49)</f>
        <v>8096848</v>
      </c>
      <c r="K48" s="109"/>
      <c r="L48" s="109"/>
      <c r="M48" s="109"/>
      <c r="N48" s="109">
        <v>10</v>
      </c>
      <c r="O48" s="109">
        <f>J48/N48</f>
        <v>809684.8</v>
      </c>
      <c r="P48" s="109">
        <v>3</v>
      </c>
      <c r="Q48" s="109"/>
    </row>
    <row r="49" spans="1:17" ht="24" hidden="1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</row>
    <row r="50" spans="1:17" ht="24" hidden="1" customHeight="1" x14ac:dyDescent="0.25">
      <c r="A50" s="111">
        <v>45673</v>
      </c>
      <c r="B50" s="113" t="s">
        <v>21</v>
      </c>
      <c r="C50" s="113" t="s">
        <v>22</v>
      </c>
      <c r="D50" s="109"/>
      <c r="E50" s="109"/>
      <c r="F50" s="109">
        <v>23062284</v>
      </c>
      <c r="G50" s="109"/>
      <c r="H50" s="109"/>
      <c r="I50" s="109">
        <v>20246000</v>
      </c>
      <c r="J50" s="109">
        <f>SUM(D50:H51)</f>
        <v>23062284</v>
      </c>
      <c r="K50" s="109"/>
      <c r="L50" s="109"/>
      <c r="M50" s="109"/>
      <c r="N50" s="109">
        <v>17</v>
      </c>
      <c r="O50" s="109">
        <f>J50/N50</f>
        <v>1356604.9411764706</v>
      </c>
      <c r="P50" s="109">
        <v>11</v>
      </c>
      <c r="Q50" s="109"/>
    </row>
    <row r="51" spans="1:17" ht="24" hidden="1" customHeight="1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</row>
    <row r="52" spans="1:17" ht="24" hidden="1" customHeight="1" x14ac:dyDescent="0.25">
      <c r="A52" s="111">
        <v>45674</v>
      </c>
      <c r="B52" s="113" t="s">
        <v>23</v>
      </c>
      <c r="C52" s="113" t="s">
        <v>22</v>
      </c>
      <c r="D52" s="109">
        <v>6359724</v>
      </c>
      <c r="E52" s="109"/>
      <c r="F52" s="109">
        <v>27769497</v>
      </c>
      <c r="G52" s="109"/>
      <c r="H52" s="109"/>
      <c r="I52" s="109">
        <f>29816500</f>
        <v>29816500</v>
      </c>
      <c r="J52" s="109">
        <f>SUM(D52:H53)</f>
        <v>34129221</v>
      </c>
      <c r="K52" s="109"/>
      <c r="L52" s="109"/>
      <c r="M52" s="109"/>
      <c r="N52" s="109">
        <v>8</v>
      </c>
      <c r="O52" s="109">
        <f>J52/N52</f>
        <v>4266152.625</v>
      </c>
      <c r="P52" s="109">
        <v>5</v>
      </c>
      <c r="Q52" s="109"/>
    </row>
    <row r="53" spans="1:17" ht="24" hidden="1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</row>
    <row r="54" spans="1:17" ht="24" hidden="1" customHeight="1" x14ac:dyDescent="0.25">
      <c r="A54" s="111">
        <v>45675</v>
      </c>
      <c r="B54" s="113" t="s">
        <v>25</v>
      </c>
      <c r="C54" s="113" t="s">
        <v>22</v>
      </c>
      <c r="D54" s="109"/>
      <c r="E54" s="109"/>
      <c r="F54" s="109">
        <v>11684022</v>
      </c>
      <c r="G54" s="109"/>
      <c r="H54" s="109"/>
      <c r="I54" s="109">
        <v>10218000</v>
      </c>
      <c r="J54" s="109">
        <f>SUM(D54:H55)</f>
        <v>11684022</v>
      </c>
      <c r="K54" s="109"/>
      <c r="L54" s="109"/>
      <c r="M54" s="109"/>
      <c r="N54" s="109">
        <v>5</v>
      </c>
      <c r="O54" s="109">
        <f>J54/N54</f>
        <v>2336804.4</v>
      </c>
      <c r="P54" s="109">
        <v>5</v>
      </c>
      <c r="Q54" s="109"/>
    </row>
    <row r="55" spans="1:17" ht="24" hidden="1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</row>
    <row r="56" spans="1:17" ht="24" hidden="1" customHeight="1" x14ac:dyDescent="0.25">
      <c r="A56" s="111">
        <v>45676</v>
      </c>
      <c r="B56" s="113" t="s">
        <v>60</v>
      </c>
      <c r="C56" s="113" t="s">
        <v>22</v>
      </c>
      <c r="D56" s="109">
        <v>3000000</v>
      </c>
      <c r="E56" s="109">
        <v>5948460</v>
      </c>
      <c r="F56" s="109">
        <v>22729347</v>
      </c>
      <c r="G56" s="109">
        <v>24375103</v>
      </c>
      <c r="H56" s="109"/>
      <c r="I56" s="109">
        <v>49340300</v>
      </c>
      <c r="J56" s="109">
        <f>SUM(D56:H57)</f>
        <v>56052910</v>
      </c>
      <c r="K56" s="109"/>
      <c r="L56" s="109"/>
      <c r="M56" s="109"/>
      <c r="N56" s="109">
        <v>31</v>
      </c>
      <c r="O56" s="109">
        <f>J56/N56</f>
        <v>1808158.3870967743</v>
      </c>
      <c r="P56" s="109">
        <v>13</v>
      </c>
      <c r="Q56" s="109" t="s">
        <v>63</v>
      </c>
    </row>
    <row r="57" spans="1:17" ht="24" hidden="1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</row>
    <row r="58" spans="1:17" ht="46.5" customHeight="1" x14ac:dyDescent="0.25">
      <c r="A58" s="114" t="s">
        <v>34</v>
      </c>
      <c r="B58" s="64"/>
      <c r="C58" s="65"/>
      <c r="D58" s="24">
        <f t="shared" ref="D58:P58" si="2">SUM(D69:D82)</f>
        <v>3981894</v>
      </c>
      <c r="E58" s="24">
        <f t="shared" si="2"/>
        <v>2770740</v>
      </c>
      <c r="F58" s="24">
        <f t="shared" si="2"/>
        <v>91529318</v>
      </c>
      <c r="G58" s="24">
        <f t="shared" si="2"/>
        <v>12371657</v>
      </c>
      <c r="H58" s="24">
        <f t="shared" si="2"/>
        <v>15404087</v>
      </c>
      <c r="I58" s="24">
        <f t="shared" si="2"/>
        <v>110497450</v>
      </c>
      <c r="J58" s="24">
        <f t="shared" si="2"/>
        <v>126057696</v>
      </c>
      <c r="K58" s="24">
        <f t="shared" si="2"/>
        <v>0</v>
      </c>
      <c r="L58" s="24">
        <f t="shared" si="2"/>
        <v>0</v>
      </c>
      <c r="M58" s="24">
        <f t="shared" si="2"/>
        <v>0</v>
      </c>
      <c r="N58" s="24">
        <f t="shared" si="2"/>
        <v>88</v>
      </c>
      <c r="O58" s="24">
        <f t="shared" si="2"/>
        <v>11877881.807602338</v>
      </c>
      <c r="P58" s="24">
        <f t="shared" si="2"/>
        <v>44</v>
      </c>
      <c r="Q58" s="24"/>
    </row>
    <row r="59" spans="1:17" ht="24" hidden="1" customHeight="1" x14ac:dyDescent="0.25">
      <c r="A59" s="111">
        <v>45658</v>
      </c>
      <c r="B59" s="113" t="s">
        <v>32</v>
      </c>
      <c r="C59" s="113" t="s">
        <v>22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</row>
    <row r="60" spans="1:17" ht="24" hidden="1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</row>
    <row r="61" spans="1:17" ht="24" hidden="1" customHeight="1" x14ac:dyDescent="0.25">
      <c r="A61" s="111">
        <v>45659</v>
      </c>
      <c r="B61" s="113" t="s">
        <v>21</v>
      </c>
      <c r="C61" s="113" t="s">
        <v>22</v>
      </c>
      <c r="D61" s="109"/>
      <c r="E61" s="109"/>
      <c r="F61" s="109"/>
      <c r="G61" s="109">
        <v>458136</v>
      </c>
      <c r="H61" s="109"/>
      <c r="I61" s="109">
        <v>404000</v>
      </c>
      <c r="J61" s="109">
        <f>SUM(D61:H62)</f>
        <v>458136</v>
      </c>
      <c r="K61" s="109"/>
      <c r="L61" s="109"/>
      <c r="M61" s="109"/>
      <c r="N61" s="109">
        <v>1</v>
      </c>
      <c r="O61" s="109">
        <f>J61/N61</f>
        <v>458136</v>
      </c>
      <c r="P61" s="109">
        <v>1</v>
      </c>
      <c r="Q61" s="109" t="s">
        <v>59</v>
      </c>
    </row>
    <row r="62" spans="1:17" ht="51.75" hidden="1" customHeight="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</row>
    <row r="63" spans="1:17" ht="24" hidden="1" customHeight="1" x14ac:dyDescent="0.25">
      <c r="A63" s="111">
        <v>45660</v>
      </c>
      <c r="B63" s="113" t="s">
        <v>23</v>
      </c>
      <c r="C63" s="113" t="s">
        <v>22</v>
      </c>
      <c r="D63" s="113"/>
      <c r="E63" s="109"/>
      <c r="F63" s="109">
        <v>5536656</v>
      </c>
      <c r="G63" s="109"/>
      <c r="H63" s="109"/>
      <c r="I63" s="109">
        <v>4864000</v>
      </c>
      <c r="J63" s="109">
        <f>SUM(D63:H64)</f>
        <v>5536656</v>
      </c>
      <c r="K63" s="109"/>
      <c r="L63" s="109"/>
      <c r="M63" s="109"/>
      <c r="N63" s="109">
        <v>4</v>
      </c>
      <c r="O63" s="109">
        <f>J63/N63</f>
        <v>1384164</v>
      </c>
      <c r="P63" s="109">
        <v>3</v>
      </c>
      <c r="Q63" s="149"/>
    </row>
    <row r="64" spans="1:17" ht="24" hidden="1" customHeight="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</row>
    <row r="65" spans="1:17" ht="24" hidden="1" customHeight="1" x14ac:dyDescent="0.25">
      <c r="A65" s="111">
        <v>45661</v>
      </c>
      <c r="B65" s="113" t="s">
        <v>25</v>
      </c>
      <c r="C65" s="113" t="s">
        <v>22</v>
      </c>
      <c r="D65" s="109">
        <v>4342212</v>
      </c>
      <c r="E65" s="109">
        <v>4956210</v>
      </c>
      <c r="F65" s="109"/>
      <c r="G65" s="109"/>
      <c r="H65" s="109">
        <v>8625544</v>
      </c>
      <c r="I65" s="109">
        <v>15779300</v>
      </c>
      <c r="J65" s="109">
        <f>SUM(D65:H66)</f>
        <v>17923966</v>
      </c>
      <c r="K65" s="109"/>
      <c r="L65" s="109"/>
      <c r="M65" s="109"/>
      <c r="N65" s="109">
        <v>14</v>
      </c>
      <c r="O65" s="109">
        <f>J65/N65</f>
        <v>1280283.2857142857</v>
      </c>
      <c r="P65" s="109">
        <v>7</v>
      </c>
      <c r="Q65" s="109"/>
    </row>
    <row r="66" spans="1:17" ht="24" hidden="1" customHeight="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</row>
    <row r="67" spans="1:17" ht="24" hidden="1" customHeight="1" x14ac:dyDescent="0.25">
      <c r="A67" s="111">
        <v>45662</v>
      </c>
      <c r="B67" s="113" t="s">
        <v>60</v>
      </c>
      <c r="C67" s="113" t="s">
        <v>22</v>
      </c>
      <c r="D67" s="109">
        <v>1905120</v>
      </c>
      <c r="E67" s="109"/>
      <c r="F67" s="109"/>
      <c r="G67" s="109"/>
      <c r="H67" s="109"/>
      <c r="I67" s="109">
        <v>1905120</v>
      </c>
      <c r="J67" s="109">
        <f>SUM(D67:H68)</f>
        <v>1905120</v>
      </c>
      <c r="K67" s="109"/>
      <c r="L67" s="109"/>
      <c r="M67" s="109"/>
      <c r="N67" s="109">
        <v>1</v>
      </c>
      <c r="O67" s="109">
        <f>J67/N67</f>
        <v>1905120</v>
      </c>
      <c r="P67" s="109">
        <v>1</v>
      </c>
      <c r="Q67" s="148"/>
    </row>
    <row r="68" spans="1:17" ht="24" hidden="1" customHeight="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spans="1:17" ht="24" customHeight="1" x14ac:dyDescent="0.25">
      <c r="A69" s="111">
        <v>45677</v>
      </c>
      <c r="B69" s="113" t="s">
        <v>30</v>
      </c>
      <c r="C69" s="113" t="s">
        <v>22</v>
      </c>
      <c r="D69" s="109">
        <v>334950</v>
      </c>
      <c r="E69" s="109"/>
      <c r="F69" s="109">
        <v>8176042</v>
      </c>
      <c r="G69" s="109">
        <v>2416498</v>
      </c>
      <c r="H69" s="109">
        <v>4240197</v>
      </c>
      <c r="I69" s="109">
        <v>13367050</v>
      </c>
      <c r="J69" s="109">
        <f>SUM(D69:H70)</f>
        <v>15167687</v>
      </c>
      <c r="K69" s="109"/>
      <c r="L69" s="109"/>
      <c r="M69" s="109"/>
      <c r="N69" s="109">
        <v>20</v>
      </c>
      <c r="O69" s="109">
        <f>J69/N69</f>
        <v>758384.35</v>
      </c>
      <c r="P69" s="109">
        <v>6</v>
      </c>
      <c r="Q69" s="109" t="s">
        <v>61</v>
      </c>
    </row>
    <row r="70" spans="1:17" ht="24" customHeight="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</row>
    <row r="71" spans="1:17" ht="24" customHeight="1" x14ac:dyDescent="0.25">
      <c r="A71" s="111">
        <v>45678</v>
      </c>
      <c r="B71" s="113" t="s">
        <v>31</v>
      </c>
      <c r="C71" s="113" t="s">
        <v>22</v>
      </c>
      <c r="D71" s="109">
        <v>3510864</v>
      </c>
      <c r="E71" s="109"/>
      <c r="F71" s="109">
        <v>4193952</v>
      </c>
      <c r="G71" s="109"/>
      <c r="H71" s="109"/>
      <c r="I71" s="109">
        <v>6744000</v>
      </c>
      <c r="J71" s="109">
        <f>SUM(D71:H72)</f>
        <v>7704816</v>
      </c>
      <c r="K71" s="109"/>
      <c r="L71" s="109"/>
      <c r="M71" s="109"/>
      <c r="N71" s="109">
        <v>7</v>
      </c>
      <c r="O71" s="109">
        <f>J71/N71</f>
        <v>1100688</v>
      </c>
      <c r="P71" s="109">
        <v>4</v>
      </c>
      <c r="Q71" s="147"/>
    </row>
    <row r="72" spans="1:17" ht="24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</row>
    <row r="73" spans="1:17" ht="24" customHeight="1" x14ac:dyDescent="0.25">
      <c r="A73" s="111">
        <v>45679</v>
      </c>
      <c r="B73" s="113" t="s">
        <v>32</v>
      </c>
      <c r="C73" s="113" t="s">
        <v>22</v>
      </c>
      <c r="D73" s="109">
        <v>136080</v>
      </c>
      <c r="E73" s="109"/>
      <c r="F73" s="109">
        <v>16970079</v>
      </c>
      <c r="G73" s="109">
        <v>6851401</v>
      </c>
      <c r="H73" s="109">
        <v>11163890</v>
      </c>
      <c r="I73" s="109">
        <v>30867500</v>
      </c>
      <c r="J73" s="109">
        <f>SUM(D73:H74)</f>
        <v>35121450</v>
      </c>
      <c r="K73" s="109"/>
      <c r="L73" s="109"/>
      <c r="M73" s="109"/>
      <c r="N73" s="109">
        <v>27</v>
      </c>
      <c r="O73" s="109">
        <f>J73/N73</f>
        <v>1300794.4444444445</v>
      </c>
      <c r="P73" s="109">
        <v>9</v>
      </c>
      <c r="Q73" s="109" t="s">
        <v>64</v>
      </c>
    </row>
    <row r="74" spans="1:17" ht="24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spans="1:17" ht="24" customHeight="1" x14ac:dyDescent="0.25">
      <c r="A75" s="111">
        <v>45680</v>
      </c>
      <c r="B75" s="113" t="s">
        <v>21</v>
      </c>
      <c r="C75" s="113" t="s">
        <v>22</v>
      </c>
      <c r="D75" s="109"/>
      <c r="E75" s="109"/>
      <c r="F75" s="109"/>
      <c r="G75" s="109">
        <v>2833866</v>
      </c>
      <c r="H75" s="109"/>
      <c r="I75" s="109">
        <v>2499000</v>
      </c>
      <c r="J75" s="109">
        <f>SUM(D75:H76)</f>
        <v>2833866</v>
      </c>
      <c r="K75" s="109"/>
      <c r="L75" s="109"/>
      <c r="M75" s="109"/>
      <c r="N75" s="109">
        <v>1</v>
      </c>
      <c r="O75" s="109">
        <f>J75/N75</f>
        <v>2833866</v>
      </c>
      <c r="P75" s="109">
        <v>1</v>
      </c>
      <c r="Q75" s="109" t="s">
        <v>61</v>
      </c>
    </row>
    <row r="76" spans="1:17" ht="24" customHeight="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spans="1:17" ht="24" customHeight="1" x14ac:dyDescent="0.25">
      <c r="A77" s="111">
        <v>45681</v>
      </c>
      <c r="B77" s="113" t="s">
        <v>23</v>
      </c>
      <c r="C77" s="113" t="s">
        <v>22</v>
      </c>
      <c r="D77" s="109"/>
      <c r="E77" s="109">
        <v>2770740</v>
      </c>
      <c r="F77" s="109">
        <v>37516219</v>
      </c>
      <c r="G77" s="109"/>
      <c r="H77" s="109"/>
      <c r="I77" s="109">
        <v>35162900</v>
      </c>
      <c r="J77" s="109">
        <f>SUM(D77:H78)</f>
        <v>40286959</v>
      </c>
      <c r="K77" s="109"/>
      <c r="L77" s="109"/>
      <c r="M77" s="109"/>
      <c r="N77" s="109">
        <v>19</v>
      </c>
      <c r="O77" s="109">
        <f>J77/N77</f>
        <v>2120366.2631578948</v>
      </c>
      <c r="P77" s="109">
        <v>12</v>
      </c>
      <c r="Q77" s="109"/>
    </row>
    <row r="78" spans="1:17" ht="24" customHeight="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spans="1:17" ht="24" customHeight="1" x14ac:dyDescent="0.25">
      <c r="A79" s="111">
        <v>45682</v>
      </c>
      <c r="B79" s="113" t="s">
        <v>25</v>
      </c>
      <c r="C79" s="113" t="s">
        <v>22</v>
      </c>
      <c r="D79" s="109"/>
      <c r="E79" s="109"/>
      <c r="F79" s="109">
        <v>15232140</v>
      </c>
      <c r="G79" s="109">
        <v>269892</v>
      </c>
      <c r="H79" s="109"/>
      <c r="I79" s="109">
        <v>13598000</v>
      </c>
      <c r="J79" s="109">
        <f>SUM(D79:H80)</f>
        <v>15502032</v>
      </c>
      <c r="K79" s="109"/>
      <c r="L79" s="109"/>
      <c r="M79" s="109"/>
      <c r="N79" s="109">
        <v>6</v>
      </c>
      <c r="O79" s="109">
        <f>J79/N79</f>
        <v>2583672</v>
      </c>
      <c r="P79" s="109">
        <v>5</v>
      </c>
      <c r="Q79" s="109" t="s">
        <v>64</v>
      </c>
    </row>
    <row r="80" spans="1:17" ht="24" customHeight="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spans="1:17" ht="24" customHeight="1" x14ac:dyDescent="0.25">
      <c r="A81" s="111">
        <v>45683</v>
      </c>
      <c r="B81" s="113" t="s">
        <v>60</v>
      </c>
      <c r="C81" s="113" t="s">
        <v>22</v>
      </c>
      <c r="D81" s="109"/>
      <c r="E81" s="109"/>
      <c r="F81" s="109">
        <v>9440886</v>
      </c>
      <c r="G81" s="109"/>
      <c r="H81" s="109"/>
      <c r="I81" s="109">
        <f>8259000-0</f>
        <v>8259000</v>
      </c>
      <c r="J81" s="109">
        <f>SUM(D81:H82)</f>
        <v>9440886</v>
      </c>
      <c r="K81" s="109"/>
      <c r="L81" s="109"/>
      <c r="M81" s="109"/>
      <c r="N81" s="109">
        <v>8</v>
      </c>
      <c r="O81" s="109">
        <f>J81/N81</f>
        <v>1180110.75</v>
      </c>
      <c r="P81" s="109">
        <v>7</v>
      </c>
      <c r="Q81" s="109"/>
    </row>
    <row r="82" spans="1:17" ht="24" customHeight="1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</row>
    <row r="83" spans="1:17" ht="46.5" hidden="1" customHeight="1" x14ac:dyDescent="0.25">
      <c r="A83" s="114" t="s">
        <v>36</v>
      </c>
      <c r="B83" s="64"/>
      <c r="C83" s="65"/>
      <c r="D83" s="24">
        <f t="shared" ref="D83:P83" si="3">SUM(D94:D107)</f>
        <v>0</v>
      </c>
      <c r="E83" s="24">
        <f t="shared" si="3"/>
        <v>0</v>
      </c>
      <c r="F83" s="24">
        <f t="shared" si="3"/>
        <v>0</v>
      </c>
      <c r="G83" s="24">
        <f t="shared" si="3"/>
        <v>0</v>
      </c>
      <c r="H83" s="24">
        <f t="shared" si="3"/>
        <v>0</v>
      </c>
      <c r="I83" s="24">
        <f t="shared" si="3"/>
        <v>0</v>
      </c>
      <c r="J83" s="24">
        <f t="shared" si="3"/>
        <v>0</v>
      </c>
      <c r="K83" s="24">
        <f t="shared" si="3"/>
        <v>0</v>
      </c>
      <c r="L83" s="24">
        <f t="shared" si="3"/>
        <v>0</v>
      </c>
      <c r="M83" s="24">
        <f t="shared" si="3"/>
        <v>0</v>
      </c>
      <c r="N83" s="24">
        <f t="shared" si="3"/>
        <v>0</v>
      </c>
      <c r="O83" s="24">
        <f t="shared" si="3"/>
        <v>0</v>
      </c>
      <c r="P83" s="24">
        <f t="shared" si="3"/>
        <v>0</v>
      </c>
      <c r="Q83" s="24"/>
    </row>
    <row r="84" spans="1:17" ht="24" hidden="1" customHeight="1" x14ac:dyDescent="0.25">
      <c r="A84" s="111">
        <v>45658</v>
      </c>
      <c r="B84" s="113" t="s">
        <v>32</v>
      </c>
      <c r="C84" s="113" t="s">
        <v>22</v>
      </c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</row>
    <row r="85" spans="1:17" ht="24" hidden="1" customHeight="1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</row>
    <row r="86" spans="1:17" ht="24" hidden="1" customHeight="1" x14ac:dyDescent="0.25">
      <c r="A86" s="111">
        <v>45659</v>
      </c>
      <c r="B86" s="113" t="s">
        <v>21</v>
      </c>
      <c r="C86" s="113" t="s">
        <v>22</v>
      </c>
      <c r="D86" s="109"/>
      <c r="E86" s="109"/>
      <c r="F86" s="109"/>
      <c r="G86" s="109">
        <v>458136</v>
      </c>
      <c r="H86" s="109"/>
      <c r="I86" s="109">
        <v>404000</v>
      </c>
      <c r="J86" s="109">
        <f>SUM(D86:H87)</f>
        <v>458136</v>
      </c>
      <c r="K86" s="109"/>
      <c r="L86" s="109"/>
      <c r="M86" s="109"/>
      <c r="N86" s="109">
        <v>1</v>
      </c>
      <c r="O86" s="109">
        <f>J86/N86</f>
        <v>458136</v>
      </c>
      <c r="P86" s="109">
        <v>1</v>
      </c>
      <c r="Q86" s="109" t="s">
        <v>59</v>
      </c>
    </row>
    <row r="87" spans="1:17" ht="51.75" hidden="1" customHeight="1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</row>
    <row r="88" spans="1:17" ht="24" hidden="1" customHeight="1" x14ac:dyDescent="0.25">
      <c r="A88" s="111">
        <v>45660</v>
      </c>
      <c r="B88" s="113" t="s">
        <v>23</v>
      </c>
      <c r="C88" s="113" t="s">
        <v>22</v>
      </c>
      <c r="D88" s="113"/>
      <c r="E88" s="109"/>
      <c r="F88" s="109">
        <v>5536656</v>
      </c>
      <c r="G88" s="109"/>
      <c r="H88" s="109"/>
      <c r="I88" s="109">
        <v>4864000</v>
      </c>
      <c r="J88" s="109">
        <f>SUM(D88:H89)</f>
        <v>5536656</v>
      </c>
      <c r="K88" s="109"/>
      <c r="L88" s="109"/>
      <c r="M88" s="109"/>
      <c r="N88" s="109">
        <v>4</v>
      </c>
      <c r="O88" s="109">
        <f>J88/N88</f>
        <v>1384164</v>
      </c>
      <c r="P88" s="109">
        <v>3</v>
      </c>
      <c r="Q88" s="149"/>
    </row>
    <row r="89" spans="1:17" ht="24" hidden="1" customHeight="1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spans="1:17" ht="24" hidden="1" customHeight="1" x14ac:dyDescent="0.25">
      <c r="A90" s="111">
        <v>45661</v>
      </c>
      <c r="B90" s="113" t="s">
        <v>25</v>
      </c>
      <c r="C90" s="113" t="s">
        <v>22</v>
      </c>
      <c r="D90" s="109">
        <v>4342212</v>
      </c>
      <c r="E90" s="109">
        <v>4956210</v>
      </c>
      <c r="F90" s="109"/>
      <c r="G90" s="109"/>
      <c r="H90" s="109">
        <v>8625544</v>
      </c>
      <c r="I90" s="109">
        <v>15779300</v>
      </c>
      <c r="J90" s="109">
        <f>SUM(D90:H91)</f>
        <v>17923966</v>
      </c>
      <c r="K90" s="109"/>
      <c r="L90" s="109"/>
      <c r="M90" s="109"/>
      <c r="N90" s="109">
        <v>14</v>
      </c>
      <c r="O90" s="109">
        <f>J90/N90</f>
        <v>1280283.2857142857</v>
      </c>
      <c r="P90" s="109">
        <v>7</v>
      </c>
      <c r="Q90" s="109"/>
    </row>
    <row r="91" spans="1:17" ht="24" hidden="1" customHeight="1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</row>
    <row r="92" spans="1:17" ht="24" hidden="1" customHeight="1" x14ac:dyDescent="0.25">
      <c r="A92" s="111">
        <v>45662</v>
      </c>
      <c r="B92" s="113" t="s">
        <v>60</v>
      </c>
      <c r="C92" s="113" t="s">
        <v>22</v>
      </c>
      <c r="D92" s="109">
        <v>1905120</v>
      </c>
      <c r="E92" s="109"/>
      <c r="F92" s="109"/>
      <c r="G92" s="109"/>
      <c r="H92" s="109"/>
      <c r="I92" s="109">
        <v>1905120</v>
      </c>
      <c r="J92" s="109">
        <f>SUM(D92:H93)</f>
        <v>1905120</v>
      </c>
      <c r="K92" s="109"/>
      <c r="L92" s="109"/>
      <c r="M92" s="109"/>
      <c r="N92" s="109">
        <v>1</v>
      </c>
      <c r="O92" s="109">
        <f>J92/N92</f>
        <v>1905120</v>
      </c>
      <c r="P92" s="109">
        <v>1</v>
      </c>
      <c r="Q92" s="148"/>
    </row>
    <row r="93" spans="1:17" ht="24" hidden="1" customHeight="1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</row>
    <row r="94" spans="1:17" ht="24" hidden="1" customHeight="1" x14ac:dyDescent="0.25">
      <c r="A94" s="111">
        <v>45670</v>
      </c>
      <c r="B94" s="113" t="s">
        <v>30</v>
      </c>
      <c r="C94" s="113" t="s">
        <v>22</v>
      </c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</row>
    <row r="95" spans="1:17" ht="24" hidden="1" customHeight="1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</row>
    <row r="96" spans="1:17" ht="24" hidden="1" customHeight="1" x14ac:dyDescent="0.25">
      <c r="A96" s="111">
        <v>45671</v>
      </c>
      <c r="B96" s="113" t="s">
        <v>31</v>
      </c>
      <c r="C96" s="113" t="s">
        <v>22</v>
      </c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47"/>
    </row>
    <row r="97" spans="1:17" ht="24" hidden="1" customHeight="1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</row>
    <row r="98" spans="1:17" ht="24" hidden="1" customHeight="1" x14ac:dyDescent="0.25">
      <c r="A98" s="111">
        <v>45672</v>
      </c>
      <c r="B98" s="113" t="s">
        <v>32</v>
      </c>
      <c r="C98" s="113" t="s">
        <v>22</v>
      </c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</row>
    <row r="99" spans="1:17" ht="24" hidden="1" customHeight="1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</row>
    <row r="100" spans="1:17" ht="24" hidden="1" customHeight="1" x14ac:dyDescent="0.25">
      <c r="A100" s="111">
        <v>45673</v>
      </c>
      <c r="B100" s="113" t="s">
        <v>21</v>
      </c>
      <c r="C100" s="113" t="s">
        <v>22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</row>
    <row r="101" spans="1:17" ht="24" hidden="1" customHeight="1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</row>
    <row r="102" spans="1:17" ht="24" hidden="1" customHeight="1" x14ac:dyDescent="0.25">
      <c r="A102" s="111">
        <v>45674</v>
      </c>
      <c r="B102" s="113" t="s">
        <v>23</v>
      </c>
      <c r="C102" s="113" t="s">
        <v>22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</row>
    <row r="103" spans="1:17" ht="24" hidden="1" customHeight="1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</row>
    <row r="104" spans="1:17" ht="24" hidden="1" customHeight="1" x14ac:dyDescent="0.25">
      <c r="A104" s="111">
        <v>45675</v>
      </c>
      <c r="B104" s="113" t="s">
        <v>25</v>
      </c>
      <c r="C104" s="113" t="s">
        <v>22</v>
      </c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</row>
    <row r="105" spans="1:17" ht="24" hidden="1" customHeight="1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</row>
    <row r="106" spans="1:17" ht="24" hidden="1" customHeight="1" x14ac:dyDescent="0.25">
      <c r="A106" s="111">
        <v>45676</v>
      </c>
      <c r="B106" s="113" t="s">
        <v>60</v>
      </c>
      <c r="C106" s="113" t="s">
        <v>22</v>
      </c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</row>
    <row r="107" spans="1:17" ht="24" hidden="1" customHeight="1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</row>
    <row r="108" spans="1:17" ht="46.5" customHeight="1" x14ac:dyDescent="0.25">
      <c r="A108" s="108" t="s">
        <v>40</v>
      </c>
      <c r="B108" s="64"/>
      <c r="C108" s="65"/>
      <c r="D108" s="30">
        <f t="shared" ref="D108:N108" si="4">D8+D33+D58+D83</f>
        <v>29975802</v>
      </c>
      <c r="E108" s="30">
        <f t="shared" si="4"/>
        <v>52541480</v>
      </c>
      <c r="F108" s="30">
        <f t="shared" si="4"/>
        <v>352360940</v>
      </c>
      <c r="G108" s="30">
        <f t="shared" si="4"/>
        <v>83153611</v>
      </c>
      <c r="H108" s="30">
        <f t="shared" si="4"/>
        <v>34542484</v>
      </c>
      <c r="I108" s="30">
        <f t="shared" si="4"/>
        <v>469203420</v>
      </c>
      <c r="J108" s="30">
        <f t="shared" si="4"/>
        <v>535390647</v>
      </c>
      <c r="K108" s="30">
        <f t="shared" si="4"/>
        <v>0</v>
      </c>
      <c r="L108" s="30">
        <f t="shared" si="4"/>
        <v>0</v>
      </c>
      <c r="M108" s="30">
        <f t="shared" si="4"/>
        <v>0</v>
      </c>
      <c r="N108" s="30">
        <f t="shared" si="4"/>
        <v>338</v>
      </c>
      <c r="O108" s="30">
        <f>J108/N108</f>
        <v>1583995.9970414201</v>
      </c>
      <c r="P108" s="30">
        <f>P8+P33+P58+P83</f>
        <v>161</v>
      </c>
      <c r="Q108" s="30"/>
    </row>
    <row r="109" spans="1:17" ht="46.5" customHeight="1" x14ac:dyDescent="0.7">
      <c r="A109" s="19"/>
      <c r="B109" s="19"/>
      <c r="C109" s="19"/>
      <c r="D109" s="31"/>
      <c r="E109" s="31"/>
      <c r="F109" s="31"/>
      <c r="G109" s="31"/>
      <c r="H109" s="31"/>
      <c r="I109" s="31"/>
      <c r="J109" s="31"/>
      <c r="K109" s="19"/>
      <c r="L109" s="19"/>
      <c r="M109" s="19"/>
      <c r="N109" s="31"/>
      <c r="O109" s="31"/>
      <c r="P109" s="19"/>
      <c r="Q109" s="19"/>
    </row>
    <row r="110" spans="1:17" ht="46.5" customHeight="1" x14ac:dyDescent="0.7">
      <c r="A110" s="19"/>
      <c r="B110" s="19"/>
      <c r="C110" s="19"/>
      <c r="D110" s="31"/>
      <c r="E110" s="31"/>
      <c r="F110" s="31"/>
      <c r="G110" s="31"/>
      <c r="H110" s="31"/>
      <c r="I110" s="31"/>
      <c r="J110" s="31"/>
      <c r="K110" s="19"/>
      <c r="L110" s="19"/>
      <c r="M110" s="19"/>
      <c r="N110" s="31"/>
      <c r="O110" s="31"/>
      <c r="P110" s="19"/>
      <c r="Q110" s="19"/>
    </row>
    <row r="111" spans="1:17" ht="46.5" customHeight="1" x14ac:dyDescent="0.7">
      <c r="A111" s="19"/>
      <c r="B111" s="19"/>
      <c r="C111" s="19"/>
      <c r="D111" s="31"/>
      <c r="E111" s="31"/>
      <c r="F111" s="31"/>
      <c r="G111" s="31"/>
      <c r="H111" s="31"/>
      <c r="I111" s="31"/>
      <c r="J111" s="31"/>
      <c r="K111" s="19"/>
      <c r="L111" s="19"/>
      <c r="M111" s="19"/>
      <c r="N111" s="31"/>
      <c r="O111" s="31"/>
      <c r="P111" s="19"/>
      <c r="Q111" s="19"/>
    </row>
    <row r="112" spans="1:17" ht="46.5" customHeight="1" x14ac:dyDescent="0.7">
      <c r="A112" s="19"/>
      <c r="B112" s="19"/>
      <c r="C112" s="19"/>
      <c r="D112" s="31"/>
      <c r="E112" s="31"/>
      <c r="F112" s="31"/>
      <c r="G112" s="31"/>
      <c r="H112" s="31"/>
      <c r="I112" s="31"/>
      <c r="J112" s="31"/>
      <c r="K112" s="19"/>
      <c r="L112" s="19"/>
      <c r="M112" s="19"/>
      <c r="N112" s="31"/>
      <c r="O112" s="31"/>
      <c r="P112" s="19"/>
      <c r="Q112" s="19"/>
    </row>
    <row r="113" spans="1:17" ht="46.5" customHeight="1" x14ac:dyDescent="0.7">
      <c r="A113" s="19"/>
      <c r="B113" s="19"/>
      <c r="C113" s="19"/>
      <c r="D113" s="31"/>
      <c r="E113" s="31"/>
      <c r="F113" s="31"/>
      <c r="G113" s="31"/>
      <c r="H113" s="31"/>
      <c r="I113" s="31"/>
      <c r="J113" s="31"/>
      <c r="K113" s="19"/>
      <c r="L113" s="19"/>
      <c r="M113" s="19"/>
      <c r="N113" s="31"/>
      <c r="O113" s="31"/>
      <c r="P113" s="19"/>
      <c r="Q113" s="19"/>
    </row>
    <row r="114" spans="1:17" ht="46.5" customHeight="1" x14ac:dyDescent="0.7">
      <c r="A114" s="19"/>
      <c r="B114" s="19"/>
      <c r="C114" s="19"/>
      <c r="D114" s="31"/>
      <c r="E114" s="31"/>
      <c r="F114" s="31"/>
      <c r="G114" s="31"/>
      <c r="H114" s="31"/>
      <c r="I114" s="31"/>
      <c r="J114" s="31"/>
      <c r="K114" s="19"/>
      <c r="L114" s="19"/>
      <c r="M114" s="19"/>
      <c r="N114" s="31"/>
      <c r="O114" s="31"/>
      <c r="P114" s="19"/>
      <c r="Q114" s="19"/>
    </row>
    <row r="115" spans="1:17" ht="46.5" customHeight="1" x14ac:dyDescent="0.7">
      <c r="A115" s="19"/>
      <c r="B115" s="19"/>
      <c r="C115" s="19"/>
      <c r="D115" s="31"/>
      <c r="E115" s="31"/>
      <c r="F115" s="31"/>
      <c r="G115" s="31"/>
      <c r="H115" s="31"/>
      <c r="I115" s="31"/>
      <c r="J115" s="31"/>
      <c r="K115" s="19"/>
      <c r="L115" s="19"/>
      <c r="M115" s="19"/>
      <c r="N115" s="31"/>
      <c r="O115" s="31"/>
      <c r="P115" s="19"/>
      <c r="Q115" s="19"/>
    </row>
    <row r="116" spans="1:17" ht="46.5" customHeight="1" x14ac:dyDescent="0.7">
      <c r="A116" s="19"/>
      <c r="B116" s="19"/>
      <c r="C116" s="19"/>
      <c r="D116" s="31"/>
      <c r="E116" s="31"/>
      <c r="F116" s="31"/>
      <c r="G116" s="31"/>
      <c r="H116" s="31"/>
      <c r="I116" s="31"/>
      <c r="J116" s="31"/>
      <c r="K116" s="19"/>
      <c r="L116" s="19"/>
      <c r="M116" s="19"/>
      <c r="N116" s="31"/>
      <c r="O116" s="31"/>
      <c r="P116" s="19"/>
      <c r="Q116" s="19"/>
    </row>
    <row r="117" spans="1:17" ht="46.5" customHeight="1" x14ac:dyDescent="0.7">
      <c r="A117" s="19"/>
      <c r="B117" s="19"/>
      <c r="C117" s="19"/>
      <c r="D117" s="31"/>
      <c r="E117" s="31"/>
      <c r="F117" s="31"/>
      <c r="G117" s="31"/>
      <c r="H117" s="31"/>
      <c r="I117" s="31"/>
      <c r="J117" s="31"/>
      <c r="K117" s="19"/>
      <c r="L117" s="19"/>
      <c r="M117" s="19"/>
      <c r="N117" s="31"/>
      <c r="O117" s="31"/>
      <c r="P117" s="19"/>
      <c r="Q117" s="19"/>
    </row>
    <row r="118" spans="1:17" ht="46.5" customHeight="1" x14ac:dyDescent="0.7">
      <c r="A118" s="19"/>
      <c r="B118" s="19"/>
      <c r="C118" s="19"/>
      <c r="D118" s="31"/>
      <c r="E118" s="31"/>
      <c r="F118" s="31"/>
      <c r="G118" s="31"/>
      <c r="H118" s="31"/>
      <c r="I118" s="31"/>
      <c r="J118" s="31"/>
      <c r="K118" s="19"/>
      <c r="L118" s="19"/>
      <c r="M118" s="19"/>
      <c r="N118" s="31"/>
      <c r="O118" s="31"/>
      <c r="P118" s="19"/>
      <c r="Q118" s="19"/>
    </row>
    <row r="119" spans="1:17" ht="46.5" customHeight="1" x14ac:dyDescent="0.7">
      <c r="A119" s="19"/>
      <c r="B119" s="19"/>
      <c r="C119" s="19"/>
      <c r="D119" s="31"/>
      <c r="E119" s="31"/>
      <c r="F119" s="31"/>
      <c r="G119" s="31"/>
      <c r="H119" s="31"/>
      <c r="I119" s="31"/>
      <c r="J119" s="31"/>
      <c r="K119" s="19"/>
      <c r="L119" s="19"/>
      <c r="M119" s="19"/>
      <c r="N119" s="31"/>
      <c r="O119" s="31"/>
      <c r="P119" s="19"/>
      <c r="Q119" s="19"/>
    </row>
    <row r="120" spans="1:17" ht="46.5" customHeight="1" x14ac:dyDescent="0.7">
      <c r="A120" s="19"/>
      <c r="B120" s="19"/>
      <c r="C120" s="19"/>
      <c r="D120" s="31"/>
      <c r="E120" s="31"/>
      <c r="F120" s="31"/>
      <c r="G120" s="31"/>
      <c r="H120" s="31"/>
      <c r="I120" s="31"/>
      <c r="J120" s="31"/>
      <c r="K120" s="19"/>
      <c r="L120" s="19"/>
      <c r="M120" s="19"/>
      <c r="N120" s="31"/>
      <c r="O120" s="31"/>
      <c r="P120" s="19"/>
      <c r="Q120" s="19"/>
    </row>
    <row r="121" spans="1:17" ht="46.5" customHeight="1" x14ac:dyDescent="0.7">
      <c r="A121" s="19"/>
      <c r="B121" s="19"/>
      <c r="C121" s="19"/>
      <c r="D121" s="31"/>
      <c r="E121" s="31"/>
      <c r="F121" s="31"/>
      <c r="G121" s="31"/>
      <c r="H121" s="31"/>
      <c r="I121" s="31"/>
      <c r="J121" s="31"/>
      <c r="K121" s="19"/>
      <c r="L121" s="19"/>
      <c r="M121" s="19"/>
      <c r="N121" s="31"/>
      <c r="O121" s="31"/>
      <c r="P121" s="19"/>
      <c r="Q121" s="19"/>
    </row>
    <row r="122" spans="1:17" ht="46.5" customHeight="1" x14ac:dyDescent="0.7">
      <c r="A122" s="19"/>
      <c r="B122" s="19"/>
      <c r="C122" s="19"/>
      <c r="D122" s="31"/>
      <c r="E122" s="31"/>
      <c r="F122" s="31"/>
      <c r="G122" s="31"/>
      <c r="H122" s="31"/>
      <c r="I122" s="31"/>
      <c r="J122" s="31"/>
      <c r="K122" s="19"/>
      <c r="L122" s="19"/>
      <c r="M122" s="19"/>
      <c r="N122" s="31"/>
      <c r="O122" s="31"/>
      <c r="P122" s="19"/>
      <c r="Q122" s="19"/>
    </row>
    <row r="123" spans="1:17" ht="46.5" customHeight="1" x14ac:dyDescent="0.7">
      <c r="A123" s="19"/>
      <c r="B123" s="19"/>
      <c r="C123" s="19"/>
      <c r="D123" s="31"/>
      <c r="E123" s="31"/>
      <c r="F123" s="31"/>
      <c r="G123" s="31"/>
      <c r="H123" s="31"/>
      <c r="I123" s="31"/>
      <c r="J123" s="31"/>
      <c r="K123" s="19"/>
      <c r="L123" s="19"/>
      <c r="M123" s="19"/>
      <c r="N123" s="31"/>
      <c r="O123" s="31"/>
      <c r="P123" s="19"/>
      <c r="Q123" s="19"/>
    </row>
    <row r="124" spans="1:17" ht="46.5" customHeight="1" x14ac:dyDescent="0.7">
      <c r="A124" s="19"/>
      <c r="B124" s="19"/>
      <c r="C124" s="19"/>
      <c r="D124" s="31"/>
      <c r="E124" s="31"/>
      <c r="F124" s="31"/>
      <c r="G124" s="31"/>
      <c r="H124" s="31"/>
      <c r="I124" s="31"/>
      <c r="J124" s="31"/>
      <c r="K124" s="19"/>
      <c r="L124" s="19"/>
      <c r="M124" s="19"/>
      <c r="N124" s="31"/>
      <c r="O124" s="31"/>
      <c r="P124" s="19"/>
      <c r="Q124" s="19"/>
    </row>
    <row r="125" spans="1:17" ht="46.5" customHeight="1" x14ac:dyDescent="0.7">
      <c r="A125" s="19"/>
      <c r="B125" s="19"/>
      <c r="C125" s="19"/>
      <c r="D125" s="31"/>
      <c r="E125" s="31"/>
      <c r="F125" s="31"/>
      <c r="G125" s="31"/>
      <c r="H125" s="31"/>
      <c r="I125" s="31"/>
      <c r="J125" s="31"/>
      <c r="K125" s="19"/>
      <c r="L125" s="19"/>
      <c r="M125" s="19"/>
      <c r="N125" s="31"/>
      <c r="O125" s="31"/>
      <c r="P125" s="19"/>
      <c r="Q125" s="19"/>
    </row>
    <row r="126" spans="1:17" ht="46.5" customHeight="1" x14ac:dyDescent="0.7">
      <c r="A126" s="19"/>
      <c r="B126" s="19"/>
      <c r="C126" s="19"/>
      <c r="D126" s="31"/>
      <c r="E126" s="31"/>
      <c r="F126" s="31"/>
      <c r="G126" s="31"/>
      <c r="H126" s="31"/>
      <c r="I126" s="31"/>
      <c r="J126" s="31"/>
      <c r="K126" s="19"/>
      <c r="L126" s="19"/>
      <c r="M126" s="19"/>
      <c r="N126" s="31"/>
      <c r="O126" s="31"/>
      <c r="P126" s="19"/>
      <c r="Q126" s="19"/>
    </row>
    <row r="127" spans="1:17" ht="46.5" customHeight="1" x14ac:dyDescent="0.7">
      <c r="A127" s="19"/>
      <c r="B127" s="19"/>
      <c r="C127" s="19"/>
      <c r="D127" s="31"/>
      <c r="E127" s="31"/>
      <c r="F127" s="31"/>
      <c r="G127" s="31"/>
      <c r="H127" s="31"/>
      <c r="I127" s="31"/>
      <c r="J127" s="31"/>
      <c r="K127" s="19"/>
      <c r="L127" s="19"/>
      <c r="M127" s="19"/>
      <c r="N127" s="31"/>
      <c r="O127" s="31"/>
      <c r="P127" s="19"/>
      <c r="Q127" s="19"/>
    </row>
    <row r="128" spans="1:17" ht="46.5" customHeight="1" x14ac:dyDescent="0.7">
      <c r="A128" s="19"/>
      <c r="B128" s="19"/>
      <c r="C128" s="19"/>
      <c r="D128" s="31"/>
      <c r="E128" s="31"/>
      <c r="F128" s="31"/>
      <c r="G128" s="31"/>
      <c r="H128" s="31"/>
      <c r="I128" s="31"/>
      <c r="J128" s="31"/>
      <c r="K128" s="19"/>
      <c r="L128" s="19"/>
      <c r="M128" s="19"/>
      <c r="N128" s="31"/>
      <c r="O128" s="31"/>
      <c r="P128" s="19"/>
      <c r="Q128" s="19"/>
    </row>
    <row r="129" spans="1:17" ht="46.5" customHeight="1" x14ac:dyDescent="0.7">
      <c r="A129" s="19"/>
      <c r="B129" s="19"/>
      <c r="C129" s="19"/>
      <c r="D129" s="31"/>
      <c r="E129" s="31"/>
      <c r="F129" s="31"/>
      <c r="G129" s="31"/>
      <c r="H129" s="31"/>
      <c r="I129" s="31"/>
      <c r="J129" s="31"/>
      <c r="K129" s="19"/>
      <c r="L129" s="19"/>
      <c r="M129" s="19"/>
      <c r="N129" s="31"/>
      <c r="O129" s="31"/>
      <c r="P129" s="19"/>
      <c r="Q129" s="19"/>
    </row>
    <row r="130" spans="1:17" ht="46.5" customHeight="1" x14ac:dyDescent="0.7">
      <c r="A130" s="19"/>
      <c r="B130" s="19"/>
      <c r="C130" s="19"/>
      <c r="D130" s="31"/>
      <c r="E130" s="31"/>
      <c r="F130" s="31"/>
      <c r="G130" s="31"/>
      <c r="H130" s="31"/>
      <c r="I130" s="31"/>
      <c r="J130" s="31"/>
      <c r="K130" s="19"/>
      <c r="L130" s="19"/>
      <c r="M130" s="19"/>
      <c r="N130" s="31"/>
      <c r="O130" s="31"/>
      <c r="P130" s="19"/>
      <c r="Q130" s="19"/>
    </row>
    <row r="131" spans="1:17" ht="46.5" customHeight="1" x14ac:dyDescent="0.7">
      <c r="A131" s="19"/>
      <c r="B131" s="19"/>
      <c r="C131" s="19"/>
      <c r="D131" s="31"/>
      <c r="E131" s="31"/>
      <c r="F131" s="31"/>
      <c r="G131" s="31"/>
      <c r="H131" s="31"/>
      <c r="I131" s="31"/>
      <c r="J131" s="31"/>
      <c r="K131" s="19"/>
      <c r="L131" s="19"/>
      <c r="M131" s="19"/>
      <c r="N131" s="31"/>
      <c r="O131" s="31"/>
      <c r="P131" s="19"/>
      <c r="Q131" s="19"/>
    </row>
    <row r="132" spans="1:17" ht="46.5" customHeight="1" x14ac:dyDescent="0.7">
      <c r="A132" s="19"/>
      <c r="B132" s="19"/>
      <c r="C132" s="19"/>
      <c r="D132" s="31"/>
      <c r="E132" s="31"/>
      <c r="F132" s="31"/>
      <c r="G132" s="31"/>
      <c r="H132" s="31"/>
      <c r="I132" s="31"/>
      <c r="J132" s="31"/>
      <c r="K132" s="19"/>
      <c r="L132" s="19"/>
      <c r="M132" s="19"/>
      <c r="N132" s="31"/>
      <c r="O132" s="31"/>
      <c r="P132" s="19"/>
      <c r="Q132" s="19"/>
    </row>
    <row r="133" spans="1:17" ht="46.5" customHeight="1" x14ac:dyDescent="0.7">
      <c r="A133" s="19"/>
      <c r="B133" s="19"/>
      <c r="C133" s="19"/>
      <c r="D133" s="31"/>
      <c r="E133" s="31"/>
      <c r="F133" s="31"/>
      <c r="G133" s="31"/>
      <c r="H133" s="31"/>
      <c r="I133" s="31"/>
      <c r="J133" s="31"/>
      <c r="K133" s="19"/>
      <c r="L133" s="19"/>
      <c r="M133" s="19"/>
      <c r="N133" s="31"/>
      <c r="O133" s="31"/>
      <c r="P133" s="19"/>
      <c r="Q133" s="19"/>
    </row>
    <row r="134" spans="1:17" ht="46.5" customHeight="1" x14ac:dyDescent="0.7">
      <c r="A134" s="19"/>
      <c r="B134" s="19"/>
      <c r="C134" s="19"/>
      <c r="D134" s="31"/>
      <c r="E134" s="31"/>
      <c r="F134" s="31"/>
      <c r="G134" s="31"/>
      <c r="H134" s="31"/>
      <c r="I134" s="31"/>
      <c r="J134" s="31"/>
      <c r="K134" s="19"/>
      <c r="L134" s="19"/>
      <c r="M134" s="19"/>
      <c r="N134" s="31"/>
      <c r="O134" s="31"/>
      <c r="P134" s="19"/>
      <c r="Q134" s="19"/>
    </row>
    <row r="135" spans="1:17" ht="46.5" customHeight="1" x14ac:dyDescent="0.7">
      <c r="A135" s="19"/>
      <c r="B135" s="19"/>
      <c r="C135" s="19"/>
      <c r="D135" s="31"/>
      <c r="E135" s="31"/>
      <c r="F135" s="31"/>
      <c r="G135" s="31"/>
      <c r="H135" s="31"/>
      <c r="I135" s="31"/>
      <c r="J135" s="31"/>
      <c r="K135" s="19"/>
      <c r="L135" s="19"/>
      <c r="M135" s="19"/>
      <c r="N135" s="31"/>
      <c r="O135" s="31"/>
      <c r="P135" s="19"/>
      <c r="Q135" s="19"/>
    </row>
    <row r="136" spans="1:17" ht="46.5" customHeight="1" x14ac:dyDescent="0.7">
      <c r="A136" s="19"/>
      <c r="B136" s="19"/>
      <c r="C136" s="19"/>
      <c r="D136" s="31"/>
      <c r="E136" s="31"/>
      <c r="F136" s="31"/>
      <c r="G136" s="31"/>
      <c r="H136" s="31"/>
      <c r="I136" s="31"/>
      <c r="J136" s="31"/>
      <c r="K136" s="19"/>
      <c r="L136" s="19"/>
      <c r="M136" s="19"/>
      <c r="N136" s="31"/>
      <c r="O136" s="31"/>
      <c r="P136" s="19"/>
      <c r="Q136" s="19"/>
    </row>
    <row r="137" spans="1:17" ht="46.5" customHeight="1" x14ac:dyDescent="0.7">
      <c r="A137" s="19"/>
      <c r="B137" s="19"/>
      <c r="C137" s="19"/>
      <c r="D137" s="31"/>
      <c r="E137" s="31"/>
      <c r="F137" s="31"/>
      <c r="G137" s="31"/>
      <c r="H137" s="31"/>
      <c r="I137" s="31"/>
      <c r="J137" s="31"/>
      <c r="K137" s="19"/>
      <c r="L137" s="19"/>
      <c r="M137" s="19"/>
      <c r="N137" s="31"/>
      <c r="O137" s="31"/>
      <c r="P137" s="19"/>
      <c r="Q137" s="19"/>
    </row>
    <row r="138" spans="1:17" ht="46.5" customHeight="1" x14ac:dyDescent="0.7">
      <c r="A138" s="19"/>
      <c r="B138" s="19"/>
      <c r="C138" s="19"/>
      <c r="D138" s="31"/>
      <c r="E138" s="31"/>
      <c r="F138" s="31"/>
      <c r="G138" s="31"/>
      <c r="H138" s="31"/>
      <c r="I138" s="31"/>
      <c r="J138" s="31"/>
      <c r="K138" s="19"/>
      <c r="L138" s="19"/>
      <c r="M138" s="19"/>
      <c r="N138" s="31"/>
      <c r="O138" s="31"/>
      <c r="P138" s="19"/>
      <c r="Q138" s="19"/>
    </row>
    <row r="139" spans="1:17" ht="46.5" customHeight="1" x14ac:dyDescent="0.7">
      <c r="A139" s="19"/>
      <c r="B139" s="19"/>
      <c r="C139" s="19"/>
      <c r="D139" s="31"/>
      <c r="E139" s="31"/>
      <c r="F139" s="31"/>
      <c r="G139" s="31"/>
      <c r="H139" s="31"/>
      <c r="I139" s="31"/>
      <c r="J139" s="31"/>
      <c r="K139" s="19"/>
      <c r="L139" s="19"/>
      <c r="M139" s="19"/>
      <c r="N139" s="31"/>
      <c r="O139" s="31"/>
      <c r="P139" s="19"/>
      <c r="Q139" s="19"/>
    </row>
    <row r="140" spans="1:17" ht="46.5" customHeight="1" x14ac:dyDescent="0.7">
      <c r="A140" s="19"/>
      <c r="B140" s="19"/>
      <c r="C140" s="19"/>
      <c r="D140" s="31"/>
      <c r="E140" s="31"/>
      <c r="F140" s="31"/>
      <c r="G140" s="31"/>
      <c r="H140" s="31"/>
      <c r="I140" s="31"/>
      <c r="J140" s="31"/>
      <c r="K140" s="19"/>
      <c r="L140" s="19"/>
      <c r="M140" s="19"/>
      <c r="N140" s="31"/>
      <c r="O140" s="31"/>
      <c r="P140" s="19"/>
      <c r="Q140" s="19"/>
    </row>
    <row r="141" spans="1:17" ht="46.5" customHeight="1" x14ac:dyDescent="0.7">
      <c r="A141" s="19"/>
      <c r="B141" s="19"/>
      <c r="C141" s="19"/>
      <c r="D141" s="31"/>
      <c r="E141" s="31"/>
      <c r="F141" s="31"/>
      <c r="G141" s="31"/>
      <c r="H141" s="31"/>
      <c r="I141" s="31"/>
      <c r="J141" s="31"/>
      <c r="K141" s="19"/>
      <c r="L141" s="19"/>
      <c r="M141" s="19"/>
      <c r="N141" s="31"/>
      <c r="O141" s="31"/>
      <c r="P141" s="19"/>
      <c r="Q141" s="19"/>
    </row>
    <row r="142" spans="1:17" ht="46.5" customHeight="1" x14ac:dyDescent="0.7">
      <c r="A142" s="19"/>
      <c r="B142" s="19"/>
      <c r="C142" s="19"/>
      <c r="D142" s="31"/>
      <c r="E142" s="31"/>
      <c r="F142" s="31"/>
      <c r="G142" s="31"/>
      <c r="H142" s="31"/>
      <c r="I142" s="31"/>
      <c r="J142" s="31"/>
      <c r="K142" s="19"/>
      <c r="L142" s="19"/>
      <c r="M142" s="19"/>
      <c r="N142" s="31"/>
      <c r="O142" s="31"/>
      <c r="P142" s="19"/>
      <c r="Q142" s="19"/>
    </row>
    <row r="143" spans="1:17" ht="46.5" customHeight="1" x14ac:dyDescent="0.7">
      <c r="A143" s="19"/>
      <c r="B143" s="19"/>
      <c r="C143" s="19"/>
      <c r="D143" s="31"/>
      <c r="E143" s="31"/>
      <c r="F143" s="31"/>
      <c r="G143" s="31"/>
      <c r="H143" s="31"/>
      <c r="I143" s="31"/>
      <c r="J143" s="31"/>
      <c r="K143" s="19"/>
      <c r="L143" s="19"/>
      <c r="M143" s="19"/>
      <c r="N143" s="31"/>
      <c r="O143" s="31"/>
      <c r="P143" s="19"/>
      <c r="Q143" s="19"/>
    </row>
    <row r="144" spans="1:17" ht="46.5" customHeight="1" x14ac:dyDescent="0.7">
      <c r="A144" s="19"/>
      <c r="B144" s="19"/>
      <c r="C144" s="19"/>
      <c r="D144" s="31"/>
      <c r="E144" s="31"/>
      <c r="F144" s="31"/>
      <c r="G144" s="31"/>
      <c r="H144" s="31"/>
      <c r="I144" s="31"/>
      <c r="J144" s="31"/>
      <c r="K144" s="19"/>
      <c r="L144" s="19"/>
      <c r="M144" s="19"/>
      <c r="N144" s="31"/>
      <c r="O144" s="31"/>
      <c r="P144" s="19"/>
      <c r="Q144" s="19"/>
    </row>
    <row r="145" spans="1:17" ht="46.5" customHeight="1" x14ac:dyDescent="0.7">
      <c r="A145" s="19"/>
      <c r="B145" s="19"/>
      <c r="C145" s="19"/>
      <c r="D145" s="31"/>
      <c r="E145" s="31"/>
      <c r="F145" s="31"/>
      <c r="G145" s="31"/>
      <c r="H145" s="31"/>
      <c r="I145" s="31"/>
      <c r="J145" s="31"/>
      <c r="K145" s="19"/>
      <c r="L145" s="19"/>
      <c r="M145" s="19"/>
      <c r="N145" s="31"/>
      <c r="O145" s="31"/>
      <c r="P145" s="19"/>
      <c r="Q145" s="19"/>
    </row>
    <row r="146" spans="1:17" ht="46.5" customHeight="1" x14ac:dyDescent="0.7">
      <c r="A146" s="19"/>
      <c r="B146" s="19"/>
      <c r="C146" s="19"/>
      <c r="D146" s="31"/>
      <c r="E146" s="31"/>
      <c r="F146" s="31"/>
      <c r="G146" s="31"/>
      <c r="H146" s="31"/>
      <c r="I146" s="31"/>
      <c r="J146" s="31"/>
      <c r="K146" s="19"/>
      <c r="L146" s="19"/>
      <c r="M146" s="19"/>
      <c r="N146" s="31"/>
      <c r="O146" s="31"/>
      <c r="P146" s="19"/>
      <c r="Q146" s="19"/>
    </row>
    <row r="147" spans="1:17" ht="46.5" customHeight="1" x14ac:dyDescent="0.7">
      <c r="A147" s="19"/>
      <c r="B147" s="19"/>
      <c r="C147" s="19"/>
      <c r="D147" s="31"/>
      <c r="E147" s="31"/>
      <c r="F147" s="31"/>
      <c r="G147" s="31"/>
      <c r="H147" s="31"/>
      <c r="I147" s="31"/>
      <c r="J147" s="31"/>
      <c r="K147" s="19"/>
      <c r="L147" s="19"/>
      <c r="M147" s="19"/>
      <c r="N147" s="31"/>
      <c r="O147" s="31"/>
      <c r="P147" s="19"/>
      <c r="Q147" s="19"/>
    </row>
    <row r="148" spans="1:17" ht="46.5" customHeight="1" x14ac:dyDescent="0.7">
      <c r="A148" s="19"/>
      <c r="B148" s="19"/>
      <c r="C148" s="19"/>
      <c r="D148" s="31"/>
      <c r="E148" s="31"/>
      <c r="F148" s="31"/>
      <c r="G148" s="31"/>
      <c r="H148" s="31"/>
      <c r="I148" s="31"/>
      <c r="J148" s="31"/>
      <c r="K148" s="19"/>
      <c r="L148" s="19"/>
      <c r="M148" s="19"/>
      <c r="N148" s="31"/>
      <c r="O148" s="31"/>
      <c r="P148" s="19"/>
      <c r="Q148" s="19"/>
    </row>
    <row r="149" spans="1:17" ht="46.5" customHeight="1" x14ac:dyDescent="0.7">
      <c r="A149" s="19"/>
      <c r="B149" s="19"/>
      <c r="C149" s="19"/>
      <c r="D149" s="31"/>
      <c r="E149" s="31"/>
      <c r="F149" s="31"/>
      <c r="G149" s="31"/>
      <c r="H149" s="31"/>
      <c r="I149" s="31"/>
      <c r="J149" s="31"/>
      <c r="K149" s="19"/>
      <c r="L149" s="19"/>
      <c r="M149" s="19"/>
      <c r="N149" s="31"/>
      <c r="O149" s="31"/>
      <c r="P149" s="19"/>
      <c r="Q149" s="19"/>
    </row>
    <row r="150" spans="1:17" ht="46.5" customHeight="1" x14ac:dyDescent="0.7">
      <c r="A150" s="19"/>
      <c r="B150" s="19"/>
      <c r="C150" s="19"/>
      <c r="D150" s="31"/>
      <c r="E150" s="31"/>
      <c r="F150" s="31"/>
      <c r="G150" s="31"/>
      <c r="H150" s="31"/>
      <c r="I150" s="31"/>
      <c r="J150" s="31"/>
      <c r="K150" s="19"/>
      <c r="L150" s="19"/>
      <c r="M150" s="19"/>
      <c r="N150" s="31"/>
      <c r="O150" s="31"/>
      <c r="P150" s="19"/>
      <c r="Q150" s="19"/>
    </row>
    <row r="151" spans="1:17" ht="46.5" customHeight="1" x14ac:dyDescent="0.7">
      <c r="A151" s="19"/>
      <c r="B151" s="19"/>
      <c r="C151" s="19"/>
      <c r="D151" s="31"/>
      <c r="E151" s="31"/>
      <c r="F151" s="31"/>
      <c r="G151" s="31"/>
      <c r="H151" s="31"/>
      <c r="I151" s="31"/>
      <c r="J151" s="31"/>
      <c r="K151" s="19"/>
      <c r="L151" s="19"/>
      <c r="M151" s="19"/>
      <c r="N151" s="31"/>
      <c r="O151" s="31"/>
      <c r="P151" s="19"/>
      <c r="Q151" s="19"/>
    </row>
    <row r="152" spans="1:17" ht="46.5" customHeight="1" x14ac:dyDescent="0.7">
      <c r="A152" s="19"/>
      <c r="B152" s="19"/>
      <c r="C152" s="19"/>
      <c r="D152" s="31"/>
      <c r="E152" s="31"/>
      <c r="F152" s="31"/>
      <c r="G152" s="31"/>
      <c r="H152" s="31"/>
      <c r="I152" s="31"/>
      <c r="J152" s="31"/>
      <c r="K152" s="19"/>
      <c r="L152" s="19"/>
      <c r="M152" s="19"/>
      <c r="N152" s="31"/>
      <c r="O152" s="31"/>
      <c r="P152" s="19"/>
      <c r="Q152" s="19"/>
    </row>
    <row r="153" spans="1:17" ht="46.5" customHeight="1" x14ac:dyDescent="0.7">
      <c r="A153" s="19"/>
      <c r="B153" s="19"/>
      <c r="C153" s="19"/>
      <c r="D153" s="31"/>
      <c r="E153" s="31"/>
      <c r="F153" s="31"/>
      <c r="G153" s="31"/>
      <c r="H153" s="31"/>
      <c r="I153" s="31"/>
      <c r="J153" s="31"/>
      <c r="K153" s="19"/>
      <c r="L153" s="19"/>
      <c r="M153" s="19"/>
      <c r="N153" s="31"/>
      <c r="O153" s="31"/>
      <c r="P153" s="19"/>
      <c r="Q153" s="19"/>
    </row>
    <row r="154" spans="1:17" ht="46.5" customHeight="1" x14ac:dyDescent="0.7">
      <c r="A154" s="19"/>
      <c r="B154" s="19"/>
      <c r="C154" s="19"/>
      <c r="D154" s="31"/>
      <c r="E154" s="31"/>
      <c r="F154" s="31"/>
      <c r="G154" s="31"/>
      <c r="H154" s="31"/>
      <c r="I154" s="31"/>
      <c r="J154" s="31"/>
      <c r="K154" s="19"/>
      <c r="L154" s="19"/>
      <c r="M154" s="19"/>
      <c r="N154" s="31"/>
      <c r="O154" s="31"/>
      <c r="P154" s="19"/>
      <c r="Q154" s="19"/>
    </row>
    <row r="155" spans="1:17" ht="46.5" customHeight="1" x14ac:dyDescent="0.7">
      <c r="A155" s="19"/>
      <c r="B155" s="19"/>
      <c r="C155" s="19"/>
      <c r="D155" s="31"/>
      <c r="E155" s="31"/>
      <c r="F155" s="31"/>
      <c r="G155" s="31"/>
      <c r="H155" s="31"/>
      <c r="I155" s="31"/>
      <c r="J155" s="31"/>
      <c r="K155" s="19"/>
      <c r="L155" s="19"/>
      <c r="M155" s="19"/>
      <c r="N155" s="31"/>
      <c r="O155" s="31"/>
      <c r="P155" s="19"/>
      <c r="Q155" s="19"/>
    </row>
    <row r="156" spans="1:17" ht="46.5" customHeight="1" x14ac:dyDescent="0.7">
      <c r="A156" s="19"/>
      <c r="B156" s="19"/>
      <c r="C156" s="19"/>
      <c r="D156" s="31"/>
      <c r="E156" s="31"/>
      <c r="F156" s="31"/>
      <c r="G156" s="31"/>
      <c r="H156" s="31"/>
      <c r="I156" s="31"/>
      <c r="J156" s="31"/>
      <c r="K156" s="19"/>
      <c r="L156" s="19"/>
      <c r="M156" s="19"/>
      <c r="N156" s="31"/>
      <c r="O156" s="31"/>
      <c r="P156" s="19"/>
      <c r="Q156" s="19"/>
    </row>
    <row r="157" spans="1:17" ht="46.5" customHeight="1" x14ac:dyDescent="0.7">
      <c r="A157" s="19"/>
      <c r="B157" s="19"/>
      <c r="C157" s="19"/>
      <c r="D157" s="31"/>
      <c r="E157" s="31"/>
      <c r="F157" s="31"/>
      <c r="G157" s="31"/>
      <c r="H157" s="31"/>
      <c r="I157" s="31"/>
      <c r="J157" s="31"/>
      <c r="K157" s="19"/>
      <c r="L157" s="19"/>
      <c r="M157" s="19"/>
      <c r="N157" s="31"/>
      <c r="O157" s="31"/>
      <c r="P157" s="19"/>
      <c r="Q157" s="19"/>
    </row>
    <row r="158" spans="1:17" ht="46.5" customHeight="1" x14ac:dyDescent="0.7">
      <c r="A158" s="19"/>
      <c r="B158" s="19"/>
      <c r="C158" s="19"/>
      <c r="D158" s="31"/>
      <c r="E158" s="31"/>
      <c r="F158" s="31"/>
      <c r="G158" s="31"/>
      <c r="H158" s="31"/>
      <c r="I158" s="31"/>
      <c r="J158" s="31"/>
      <c r="K158" s="19"/>
      <c r="L158" s="19"/>
      <c r="M158" s="19"/>
      <c r="N158" s="31"/>
      <c r="O158" s="31"/>
      <c r="P158" s="19"/>
      <c r="Q158" s="19"/>
    </row>
    <row r="159" spans="1:17" ht="46.5" customHeight="1" x14ac:dyDescent="0.7">
      <c r="A159" s="19"/>
      <c r="B159" s="19"/>
      <c r="C159" s="19"/>
      <c r="D159" s="31"/>
      <c r="E159" s="31"/>
      <c r="F159" s="31"/>
      <c r="G159" s="31"/>
      <c r="H159" s="31"/>
      <c r="I159" s="31"/>
      <c r="J159" s="31"/>
      <c r="K159" s="19"/>
      <c r="L159" s="19"/>
      <c r="M159" s="19"/>
      <c r="N159" s="31"/>
      <c r="O159" s="31"/>
      <c r="P159" s="19"/>
      <c r="Q159" s="19"/>
    </row>
    <row r="160" spans="1:17" ht="46.5" customHeight="1" x14ac:dyDescent="0.7">
      <c r="A160" s="19"/>
      <c r="B160" s="19"/>
      <c r="C160" s="19"/>
      <c r="D160" s="31"/>
      <c r="E160" s="31"/>
      <c r="F160" s="31"/>
      <c r="G160" s="31"/>
      <c r="H160" s="31"/>
      <c r="I160" s="31"/>
      <c r="J160" s="31"/>
      <c r="K160" s="19"/>
      <c r="L160" s="19"/>
      <c r="M160" s="19"/>
      <c r="N160" s="31"/>
      <c r="O160" s="31"/>
      <c r="P160" s="19"/>
      <c r="Q160" s="19"/>
    </row>
    <row r="161" spans="1:17" ht="46.5" customHeight="1" x14ac:dyDescent="0.7">
      <c r="A161" s="19"/>
      <c r="B161" s="19"/>
      <c r="C161" s="19"/>
      <c r="D161" s="31"/>
      <c r="E161" s="31"/>
      <c r="F161" s="31"/>
      <c r="G161" s="31"/>
      <c r="H161" s="31"/>
      <c r="I161" s="31"/>
      <c r="J161" s="31"/>
      <c r="K161" s="19"/>
      <c r="L161" s="19"/>
      <c r="M161" s="19"/>
      <c r="N161" s="31"/>
      <c r="O161" s="31"/>
      <c r="P161" s="19"/>
      <c r="Q161" s="19"/>
    </row>
    <row r="162" spans="1:17" ht="46.5" customHeight="1" x14ac:dyDescent="0.7">
      <c r="A162" s="19"/>
      <c r="B162" s="19"/>
      <c r="C162" s="19"/>
      <c r="D162" s="31"/>
      <c r="E162" s="31"/>
      <c r="F162" s="31"/>
      <c r="G162" s="31"/>
      <c r="H162" s="31"/>
      <c r="I162" s="31"/>
      <c r="J162" s="31"/>
      <c r="K162" s="19"/>
      <c r="L162" s="19"/>
      <c r="M162" s="19"/>
      <c r="N162" s="31"/>
      <c r="O162" s="31"/>
      <c r="P162" s="19"/>
      <c r="Q162" s="19"/>
    </row>
    <row r="163" spans="1:17" ht="46.5" customHeight="1" x14ac:dyDescent="0.7">
      <c r="A163" s="19"/>
      <c r="B163" s="19"/>
      <c r="C163" s="19"/>
      <c r="D163" s="31"/>
      <c r="E163" s="31"/>
      <c r="F163" s="31"/>
      <c r="G163" s="31"/>
      <c r="H163" s="31"/>
      <c r="I163" s="31"/>
      <c r="J163" s="31"/>
      <c r="K163" s="19"/>
      <c r="L163" s="19"/>
      <c r="M163" s="19"/>
      <c r="N163" s="31"/>
      <c r="O163" s="31"/>
      <c r="P163" s="19"/>
      <c r="Q163" s="19"/>
    </row>
    <row r="164" spans="1:17" ht="46.5" customHeight="1" x14ac:dyDescent="0.7">
      <c r="A164" s="19"/>
      <c r="B164" s="19"/>
      <c r="C164" s="19"/>
      <c r="D164" s="31"/>
      <c r="E164" s="31"/>
      <c r="F164" s="31"/>
      <c r="G164" s="31"/>
      <c r="H164" s="31"/>
      <c r="I164" s="31"/>
      <c r="J164" s="31"/>
      <c r="K164" s="19"/>
      <c r="L164" s="19"/>
      <c r="M164" s="19"/>
      <c r="N164" s="31"/>
      <c r="O164" s="31"/>
      <c r="P164" s="19"/>
      <c r="Q164" s="19"/>
    </row>
    <row r="165" spans="1:17" ht="46.5" customHeight="1" x14ac:dyDescent="0.7">
      <c r="A165" s="19"/>
      <c r="B165" s="19"/>
      <c r="C165" s="19"/>
      <c r="D165" s="31"/>
      <c r="E165" s="31"/>
      <c r="F165" s="31"/>
      <c r="G165" s="31"/>
      <c r="H165" s="31"/>
      <c r="I165" s="31"/>
      <c r="J165" s="31"/>
      <c r="K165" s="19"/>
      <c r="L165" s="19"/>
      <c r="M165" s="19"/>
      <c r="N165" s="31"/>
      <c r="O165" s="31"/>
      <c r="P165" s="19"/>
      <c r="Q165" s="19"/>
    </row>
    <row r="166" spans="1:17" ht="46.5" customHeight="1" x14ac:dyDescent="0.7">
      <c r="A166" s="19"/>
      <c r="B166" s="19"/>
      <c r="C166" s="19"/>
      <c r="D166" s="31"/>
      <c r="E166" s="31"/>
      <c r="F166" s="31"/>
      <c r="G166" s="31"/>
      <c r="H166" s="31"/>
      <c r="I166" s="31"/>
      <c r="J166" s="31"/>
      <c r="K166" s="19"/>
      <c r="L166" s="19"/>
      <c r="M166" s="19"/>
      <c r="N166" s="31"/>
      <c r="O166" s="31"/>
      <c r="P166" s="19"/>
      <c r="Q166" s="19"/>
    </row>
    <row r="167" spans="1:17" ht="46.5" customHeight="1" x14ac:dyDescent="0.7">
      <c r="A167" s="19"/>
      <c r="B167" s="19"/>
      <c r="C167" s="19"/>
      <c r="D167" s="31"/>
      <c r="E167" s="31"/>
      <c r="F167" s="31"/>
      <c r="G167" s="31"/>
      <c r="H167" s="31"/>
      <c r="I167" s="31"/>
      <c r="J167" s="31"/>
      <c r="K167" s="19"/>
      <c r="L167" s="19"/>
      <c r="M167" s="19"/>
      <c r="N167" s="31"/>
      <c r="O167" s="31"/>
      <c r="P167" s="19"/>
      <c r="Q167" s="19"/>
    </row>
    <row r="168" spans="1:17" ht="46.5" customHeight="1" x14ac:dyDescent="0.7">
      <c r="A168" s="19"/>
      <c r="B168" s="19"/>
      <c r="C168" s="19"/>
      <c r="D168" s="31"/>
      <c r="E168" s="31"/>
      <c r="F168" s="31"/>
      <c r="G168" s="31"/>
      <c r="H168" s="31"/>
      <c r="I168" s="31"/>
      <c r="J168" s="31"/>
      <c r="K168" s="19"/>
      <c r="L168" s="19"/>
      <c r="M168" s="19"/>
      <c r="N168" s="31"/>
      <c r="O168" s="31"/>
      <c r="P168" s="19"/>
      <c r="Q168" s="19"/>
    </row>
    <row r="169" spans="1:17" ht="46.5" customHeight="1" x14ac:dyDescent="0.7">
      <c r="A169" s="19"/>
      <c r="B169" s="19"/>
      <c r="C169" s="19"/>
      <c r="D169" s="31"/>
      <c r="E169" s="31"/>
      <c r="F169" s="31"/>
      <c r="G169" s="31"/>
      <c r="H169" s="31"/>
      <c r="I169" s="31"/>
      <c r="J169" s="31"/>
      <c r="K169" s="19"/>
      <c r="L169" s="19"/>
      <c r="M169" s="19"/>
      <c r="N169" s="31"/>
      <c r="O169" s="31"/>
      <c r="P169" s="19"/>
      <c r="Q169" s="19"/>
    </row>
    <row r="170" spans="1:17" ht="46.5" customHeight="1" x14ac:dyDescent="0.7">
      <c r="A170" s="19"/>
      <c r="B170" s="19"/>
      <c r="C170" s="19"/>
      <c r="D170" s="31"/>
      <c r="E170" s="31"/>
      <c r="F170" s="31"/>
      <c r="G170" s="31"/>
      <c r="H170" s="31"/>
      <c r="I170" s="31"/>
      <c r="J170" s="31"/>
      <c r="K170" s="19"/>
      <c r="L170" s="19"/>
      <c r="M170" s="19"/>
      <c r="N170" s="31"/>
      <c r="O170" s="31"/>
      <c r="P170" s="19"/>
      <c r="Q170" s="19"/>
    </row>
    <row r="171" spans="1:17" ht="46.5" customHeight="1" x14ac:dyDescent="0.7">
      <c r="A171" s="19"/>
      <c r="B171" s="19"/>
      <c r="C171" s="19"/>
      <c r="D171" s="31"/>
      <c r="E171" s="31"/>
      <c r="F171" s="31"/>
      <c r="G171" s="31"/>
      <c r="H171" s="31"/>
      <c r="I171" s="31"/>
      <c r="J171" s="31"/>
      <c r="K171" s="19"/>
      <c r="L171" s="19"/>
      <c r="M171" s="19"/>
      <c r="N171" s="31"/>
      <c r="O171" s="31"/>
      <c r="P171" s="19"/>
      <c r="Q171" s="19"/>
    </row>
    <row r="172" spans="1:17" ht="46.5" customHeight="1" x14ac:dyDescent="0.7">
      <c r="A172" s="19"/>
      <c r="B172" s="19"/>
      <c r="C172" s="19"/>
      <c r="D172" s="31"/>
      <c r="E172" s="31"/>
      <c r="F172" s="31"/>
      <c r="G172" s="31"/>
      <c r="H172" s="31"/>
      <c r="I172" s="31"/>
      <c r="J172" s="31"/>
      <c r="K172" s="19"/>
      <c r="L172" s="19"/>
      <c r="M172" s="19"/>
      <c r="N172" s="31"/>
      <c r="O172" s="31"/>
      <c r="P172" s="19"/>
      <c r="Q172" s="19"/>
    </row>
    <row r="173" spans="1:17" ht="46.5" customHeight="1" x14ac:dyDescent="0.7">
      <c r="A173" s="19"/>
      <c r="B173" s="19"/>
      <c r="C173" s="19"/>
      <c r="D173" s="31"/>
      <c r="E173" s="31"/>
      <c r="F173" s="31"/>
      <c r="G173" s="31"/>
      <c r="H173" s="31"/>
      <c r="I173" s="31"/>
      <c r="J173" s="31"/>
      <c r="K173" s="19"/>
      <c r="L173" s="19"/>
      <c r="M173" s="19"/>
      <c r="N173" s="31"/>
      <c r="O173" s="31"/>
      <c r="P173" s="19"/>
      <c r="Q173" s="19"/>
    </row>
    <row r="174" spans="1:17" ht="46.5" customHeight="1" x14ac:dyDescent="0.7">
      <c r="A174" s="19"/>
      <c r="B174" s="19"/>
      <c r="C174" s="19"/>
      <c r="D174" s="31"/>
      <c r="E174" s="31"/>
      <c r="F174" s="31"/>
      <c r="G174" s="31"/>
      <c r="H174" s="31"/>
      <c r="I174" s="31"/>
      <c r="J174" s="31"/>
      <c r="K174" s="19"/>
      <c r="L174" s="19"/>
      <c r="M174" s="19"/>
      <c r="N174" s="31"/>
      <c r="O174" s="31"/>
      <c r="P174" s="19"/>
      <c r="Q174" s="19"/>
    </row>
    <row r="175" spans="1:17" ht="46.5" customHeight="1" x14ac:dyDescent="0.7">
      <c r="A175" s="19"/>
      <c r="B175" s="19"/>
      <c r="C175" s="19"/>
      <c r="D175" s="31"/>
      <c r="E175" s="31"/>
      <c r="F175" s="31"/>
      <c r="G175" s="31"/>
      <c r="H175" s="31"/>
      <c r="I175" s="31"/>
      <c r="J175" s="31"/>
      <c r="K175" s="19"/>
      <c r="L175" s="19"/>
      <c r="M175" s="19"/>
      <c r="N175" s="31"/>
      <c r="O175" s="31"/>
      <c r="P175" s="19"/>
      <c r="Q175" s="19"/>
    </row>
    <row r="176" spans="1:17" ht="46.5" customHeight="1" x14ac:dyDescent="0.7">
      <c r="A176" s="19"/>
      <c r="B176" s="19"/>
      <c r="C176" s="19"/>
      <c r="D176" s="31"/>
      <c r="E176" s="31"/>
      <c r="F176" s="31"/>
      <c r="G176" s="31"/>
      <c r="H176" s="31"/>
      <c r="I176" s="31"/>
      <c r="J176" s="31"/>
      <c r="K176" s="19"/>
      <c r="L176" s="19"/>
      <c r="M176" s="19"/>
      <c r="N176" s="31"/>
      <c r="O176" s="31"/>
      <c r="P176" s="19"/>
      <c r="Q176" s="19"/>
    </row>
    <row r="177" spans="1:17" ht="46.5" customHeight="1" x14ac:dyDescent="0.7">
      <c r="A177" s="19"/>
      <c r="B177" s="19"/>
      <c r="C177" s="19"/>
      <c r="D177" s="31"/>
      <c r="E177" s="31"/>
      <c r="F177" s="31"/>
      <c r="G177" s="31"/>
      <c r="H177" s="31"/>
      <c r="I177" s="31"/>
      <c r="J177" s="31"/>
      <c r="K177" s="19"/>
      <c r="L177" s="19"/>
      <c r="M177" s="19"/>
      <c r="N177" s="31"/>
      <c r="O177" s="31"/>
      <c r="P177" s="19"/>
      <c r="Q177" s="19"/>
    </row>
    <row r="178" spans="1:17" ht="46.5" customHeight="1" x14ac:dyDescent="0.7">
      <c r="A178" s="19"/>
      <c r="B178" s="19"/>
      <c r="C178" s="19"/>
      <c r="D178" s="31"/>
      <c r="E178" s="31"/>
      <c r="F178" s="31"/>
      <c r="G178" s="31"/>
      <c r="H178" s="31"/>
      <c r="I178" s="31"/>
      <c r="J178" s="31"/>
      <c r="K178" s="19"/>
      <c r="L178" s="19"/>
      <c r="M178" s="19"/>
      <c r="N178" s="31"/>
      <c r="O178" s="31"/>
      <c r="P178" s="19"/>
      <c r="Q178" s="19"/>
    </row>
    <row r="179" spans="1:17" ht="46.5" customHeight="1" x14ac:dyDescent="0.7">
      <c r="A179" s="19"/>
      <c r="B179" s="19"/>
      <c r="C179" s="19"/>
      <c r="D179" s="31"/>
      <c r="E179" s="31"/>
      <c r="F179" s="31"/>
      <c r="G179" s="31"/>
      <c r="H179" s="31"/>
      <c r="I179" s="31"/>
      <c r="J179" s="31"/>
      <c r="K179" s="19"/>
      <c r="L179" s="19"/>
      <c r="M179" s="19"/>
      <c r="N179" s="31"/>
      <c r="O179" s="31"/>
      <c r="P179" s="19"/>
      <c r="Q179" s="19"/>
    </row>
    <row r="180" spans="1:17" ht="46.5" customHeight="1" x14ac:dyDescent="0.7">
      <c r="A180" s="19"/>
      <c r="B180" s="19"/>
      <c r="C180" s="19"/>
      <c r="D180" s="31"/>
      <c r="E180" s="31"/>
      <c r="F180" s="31"/>
      <c r="G180" s="31"/>
      <c r="H180" s="31"/>
      <c r="I180" s="31"/>
      <c r="J180" s="31"/>
      <c r="K180" s="19"/>
      <c r="L180" s="19"/>
      <c r="M180" s="19"/>
      <c r="N180" s="31"/>
      <c r="O180" s="31"/>
      <c r="P180" s="19"/>
      <c r="Q180" s="19"/>
    </row>
    <row r="181" spans="1:17" ht="46.5" customHeight="1" x14ac:dyDescent="0.7">
      <c r="A181" s="19"/>
      <c r="B181" s="19"/>
      <c r="C181" s="19"/>
      <c r="D181" s="31"/>
      <c r="E181" s="31"/>
      <c r="F181" s="31"/>
      <c r="G181" s="31"/>
      <c r="H181" s="31"/>
      <c r="I181" s="31"/>
      <c r="J181" s="31"/>
      <c r="K181" s="19"/>
      <c r="L181" s="19"/>
      <c r="M181" s="19"/>
      <c r="N181" s="31"/>
      <c r="O181" s="31"/>
      <c r="P181" s="19"/>
      <c r="Q181" s="19"/>
    </row>
    <row r="182" spans="1:17" ht="46.5" customHeight="1" x14ac:dyDescent="0.7">
      <c r="A182" s="19"/>
      <c r="B182" s="19"/>
      <c r="C182" s="19"/>
      <c r="D182" s="31"/>
      <c r="E182" s="31"/>
      <c r="F182" s="31"/>
      <c r="G182" s="31"/>
      <c r="H182" s="31"/>
      <c r="I182" s="31"/>
      <c r="J182" s="31"/>
      <c r="K182" s="19"/>
      <c r="L182" s="19"/>
      <c r="M182" s="19"/>
      <c r="N182" s="31"/>
      <c r="O182" s="31"/>
      <c r="P182" s="19"/>
      <c r="Q182" s="19"/>
    </row>
    <row r="183" spans="1:17" ht="46.5" customHeight="1" x14ac:dyDescent="0.7">
      <c r="A183" s="19"/>
      <c r="B183" s="19"/>
      <c r="C183" s="19"/>
      <c r="D183" s="31"/>
      <c r="E183" s="31"/>
      <c r="F183" s="31"/>
      <c r="G183" s="31"/>
      <c r="H183" s="31"/>
      <c r="I183" s="31"/>
      <c r="J183" s="31"/>
      <c r="K183" s="19"/>
      <c r="L183" s="19"/>
      <c r="M183" s="19"/>
      <c r="N183" s="31"/>
      <c r="O183" s="31"/>
      <c r="P183" s="19"/>
      <c r="Q183" s="19"/>
    </row>
    <row r="184" spans="1:17" ht="46.5" customHeight="1" x14ac:dyDescent="0.7">
      <c r="A184" s="19"/>
      <c r="B184" s="19"/>
      <c r="C184" s="19"/>
      <c r="D184" s="31"/>
      <c r="E184" s="31"/>
      <c r="F184" s="31"/>
      <c r="G184" s="31"/>
      <c r="H184" s="31"/>
      <c r="I184" s="31"/>
      <c r="J184" s="31"/>
      <c r="K184" s="19"/>
      <c r="L184" s="19"/>
      <c r="M184" s="19"/>
      <c r="N184" s="31"/>
      <c r="O184" s="31"/>
      <c r="P184" s="19"/>
      <c r="Q184" s="19"/>
    </row>
    <row r="185" spans="1:17" ht="46.5" customHeight="1" x14ac:dyDescent="0.7">
      <c r="A185" s="19"/>
      <c r="B185" s="19"/>
      <c r="C185" s="19"/>
      <c r="D185" s="31"/>
      <c r="E185" s="31"/>
      <c r="F185" s="31"/>
      <c r="G185" s="31"/>
      <c r="H185" s="31"/>
      <c r="I185" s="31"/>
      <c r="J185" s="31"/>
      <c r="K185" s="19"/>
      <c r="L185" s="19"/>
      <c r="M185" s="19"/>
      <c r="N185" s="31"/>
      <c r="O185" s="31"/>
      <c r="P185" s="19"/>
      <c r="Q185" s="19"/>
    </row>
    <row r="186" spans="1:17" ht="46.5" customHeight="1" x14ac:dyDescent="0.7">
      <c r="A186" s="19"/>
      <c r="B186" s="19"/>
      <c r="C186" s="19"/>
      <c r="D186" s="31"/>
      <c r="E186" s="31"/>
      <c r="F186" s="31"/>
      <c r="G186" s="31"/>
      <c r="H186" s="31"/>
      <c r="I186" s="31"/>
      <c r="J186" s="31"/>
      <c r="K186" s="19"/>
      <c r="L186" s="19"/>
      <c r="M186" s="19"/>
      <c r="N186" s="31"/>
      <c r="O186" s="31"/>
      <c r="P186" s="19"/>
      <c r="Q186" s="19"/>
    </row>
    <row r="187" spans="1:17" ht="46.5" customHeight="1" x14ac:dyDescent="0.7">
      <c r="A187" s="19"/>
      <c r="B187" s="19"/>
      <c r="C187" s="19"/>
      <c r="D187" s="31"/>
      <c r="E187" s="31"/>
      <c r="F187" s="31"/>
      <c r="G187" s="31"/>
      <c r="H187" s="31"/>
      <c r="I187" s="31"/>
      <c r="J187" s="31"/>
      <c r="K187" s="19"/>
      <c r="L187" s="19"/>
      <c r="M187" s="19"/>
      <c r="N187" s="31"/>
      <c r="O187" s="31"/>
      <c r="P187" s="19"/>
      <c r="Q187" s="19"/>
    </row>
    <row r="188" spans="1:17" ht="46.5" customHeight="1" x14ac:dyDescent="0.7">
      <c r="A188" s="19"/>
      <c r="B188" s="19"/>
      <c r="C188" s="19"/>
      <c r="D188" s="31"/>
      <c r="E188" s="31"/>
      <c r="F188" s="31"/>
      <c r="G188" s="31"/>
      <c r="H188" s="31"/>
      <c r="I188" s="31"/>
      <c r="J188" s="31"/>
      <c r="K188" s="19"/>
      <c r="L188" s="19"/>
      <c r="M188" s="19"/>
      <c r="N188" s="31"/>
      <c r="O188" s="31"/>
      <c r="P188" s="19"/>
      <c r="Q188" s="19"/>
    </row>
    <row r="189" spans="1:17" ht="46.5" customHeight="1" x14ac:dyDescent="0.7">
      <c r="A189" s="19"/>
      <c r="B189" s="19"/>
      <c r="C189" s="19"/>
      <c r="D189" s="31"/>
      <c r="E189" s="31"/>
      <c r="F189" s="31"/>
      <c r="G189" s="31"/>
      <c r="H189" s="31"/>
      <c r="I189" s="31"/>
      <c r="J189" s="31"/>
      <c r="K189" s="19"/>
      <c r="L189" s="19"/>
      <c r="M189" s="19"/>
      <c r="N189" s="31"/>
      <c r="O189" s="31"/>
      <c r="P189" s="19"/>
      <c r="Q189" s="19"/>
    </row>
    <row r="190" spans="1:17" ht="46.5" customHeight="1" x14ac:dyDescent="0.7">
      <c r="A190" s="19"/>
      <c r="B190" s="19"/>
      <c r="C190" s="19"/>
      <c r="D190" s="31"/>
      <c r="E190" s="31"/>
      <c r="F190" s="31"/>
      <c r="G190" s="31"/>
      <c r="H190" s="31"/>
      <c r="I190" s="31"/>
      <c r="J190" s="31"/>
      <c r="K190" s="19"/>
      <c r="L190" s="19"/>
      <c r="M190" s="19"/>
      <c r="N190" s="31"/>
      <c r="O190" s="31"/>
      <c r="P190" s="19"/>
      <c r="Q190" s="19"/>
    </row>
    <row r="191" spans="1:17" ht="46.5" customHeight="1" x14ac:dyDescent="0.7">
      <c r="A191" s="19"/>
      <c r="B191" s="19"/>
      <c r="C191" s="19"/>
      <c r="D191" s="31"/>
      <c r="E191" s="31"/>
      <c r="F191" s="31"/>
      <c r="G191" s="31"/>
      <c r="H191" s="31"/>
      <c r="I191" s="31"/>
      <c r="J191" s="31"/>
      <c r="K191" s="19"/>
      <c r="L191" s="19"/>
      <c r="M191" s="19"/>
      <c r="N191" s="31"/>
      <c r="O191" s="31"/>
      <c r="P191" s="19"/>
      <c r="Q191" s="19"/>
    </row>
    <row r="192" spans="1:17" ht="46.5" customHeight="1" x14ac:dyDescent="0.7">
      <c r="A192" s="19"/>
      <c r="B192" s="19"/>
      <c r="C192" s="19"/>
      <c r="D192" s="31"/>
      <c r="E192" s="31"/>
      <c r="F192" s="31"/>
      <c r="G192" s="31"/>
      <c r="H192" s="31"/>
      <c r="I192" s="31"/>
      <c r="J192" s="31"/>
      <c r="K192" s="19"/>
      <c r="L192" s="19"/>
      <c r="M192" s="19"/>
      <c r="N192" s="31"/>
      <c r="O192" s="31"/>
      <c r="P192" s="19"/>
      <c r="Q192" s="19"/>
    </row>
    <row r="193" spans="1:17" ht="46.5" customHeight="1" x14ac:dyDescent="0.7">
      <c r="A193" s="19"/>
      <c r="B193" s="19"/>
      <c r="C193" s="19"/>
      <c r="D193" s="31"/>
      <c r="E193" s="31"/>
      <c r="F193" s="31"/>
      <c r="G193" s="31"/>
      <c r="H193" s="31"/>
      <c r="I193" s="31"/>
      <c r="J193" s="31"/>
      <c r="K193" s="19"/>
      <c r="L193" s="19"/>
      <c r="M193" s="19"/>
      <c r="N193" s="31"/>
      <c r="O193" s="31"/>
      <c r="P193" s="19"/>
      <c r="Q193" s="19"/>
    </row>
    <row r="194" spans="1:17" ht="46.5" customHeight="1" x14ac:dyDescent="0.7">
      <c r="A194" s="19"/>
      <c r="B194" s="19"/>
      <c r="C194" s="19"/>
      <c r="D194" s="31"/>
      <c r="E194" s="31"/>
      <c r="F194" s="31"/>
      <c r="G194" s="31"/>
      <c r="H194" s="31"/>
      <c r="I194" s="31"/>
      <c r="J194" s="31"/>
      <c r="K194" s="19"/>
      <c r="L194" s="19"/>
      <c r="M194" s="19"/>
      <c r="N194" s="31"/>
      <c r="O194" s="31"/>
      <c r="P194" s="19"/>
      <c r="Q194" s="19"/>
    </row>
    <row r="195" spans="1:17" ht="46.5" customHeight="1" x14ac:dyDescent="0.7">
      <c r="A195" s="19"/>
      <c r="B195" s="19"/>
      <c r="C195" s="19"/>
      <c r="D195" s="31"/>
      <c r="E195" s="31"/>
      <c r="F195" s="31"/>
      <c r="G195" s="31"/>
      <c r="H195" s="31"/>
      <c r="I195" s="31"/>
      <c r="J195" s="31"/>
      <c r="K195" s="19"/>
      <c r="L195" s="19"/>
      <c r="M195" s="19"/>
      <c r="N195" s="31"/>
      <c r="O195" s="31"/>
      <c r="P195" s="19"/>
      <c r="Q195" s="19"/>
    </row>
    <row r="196" spans="1:17" ht="46.5" customHeight="1" x14ac:dyDescent="0.7">
      <c r="A196" s="19"/>
      <c r="B196" s="19"/>
      <c r="C196" s="19"/>
      <c r="D196" s="31"/>
      <c r="E196" s="31"/>
      <c r="F196" s="31"/>
      <c r="G196" s="31"/>
      <c r="H196" s="31"/>
      <c r="I196" s="31"/>
      <c r="J196" s="31"/>
      <c r="K196" s="19"/>
      <c r="L196" s="19"/>
      <c r="M196" s="19"/>
      <c r="N196" s="31"/>
      <c r="O196" s="31"/>
      <c r="P196" s="19"/>
      <c r="Q196" s="19"/>
    </row>
    <row r="197" spans="1:17" ht="46.5" customHeight="1" x14ac:dyDescent="0.7">
      <c r="A197" s="19"/>
      <c r="B197" s="19"/>
      <c r="C197" s="19"/>
      <c r="D197" s="31"/>
      <c r="E197" s="31"/>
      <c r="F197" s="31"/>
      <c r="G197" s="31"/>
      <c r="H197" s="31"/>
      <c r="I197" s="31"/>
      <c r="J197" s="31"/>
      <c r="K197" s="19"/>
      <c r="L197" s="19"/>
      <c r="M197" s="19"/>
      <c r="N197" s="31"/>
      <c r="O197" s="31"/>
      <c r="P197" s="19"/>
      <c r="Q197" s="19"/>
    </row>
    <row r="198" spans="1:17" ht="46.5" customHeight="1" x14ac:dyDescent="0.7">
      <c r="A198" s="19"/>
      <c r="B198" s="19"/>
      <c r="C198" s="19"/>
      <c r="D198" s="31"/>
      <c r="E198" s="31"/>
      <c r="F198" s="31"/>
      <c r="G198" s="31"/>
      <c r="H198" s="31"/>
      <c r="I198" s="31"/>
      <c r="J198" s="31"/>
      <c r="K198" s="19"/>
      <c r="L198" s="19"/>
      <c r="M198" s="19"/>
      <c r="N198" s="31"/>
      <c r="O198" s="31"/>
      <c r="P198" s="19"/>
      <c r="Q198" s="19"/>
    </row>
    <row r="199" spans="1:17" ht="46.5" customHeight="1" x14ac:dyDescent="0.7">
      <c r="A199" s="19"/>
      <c r="B199" s="19"/>
      <c r="C199" s="19"/>
      <c r="D199" s="31"/>
      <c r="E199" s="31"/>
      <c r="F199" s="31"/>
      <c r="G199" s="31"/>
      <c r="H199" s="31"/>
      <c r="I199" s="31"/>
      <c r="J199" s="31"/>
      <c r="K199" s="19"/>
      <c r="L199" s="19"/>
      <c r="M199" s="19"/>
      <c r="N199" s="31"/>
      <c r="O199" s="31"/>
      <c r="P199" s="19"/>
      <c r="Q199" s="19"/>
    </row>
    <row r="200" spans="1:17" ht="46.5" customHeight="1" x14ac:dyDescent="0.7">
      <c r="A200" s="19"/>
      <c r="B200" s="19"/>
      <c r="C200" s="19"/>
      <c r="D200" s="31"/>
      <c r="E200" s="31"/>
      <c r="F200" s="31"/>
      <c r="G200" s="31"/>
      <c r="H200" s="31"/>
      <c r="I200" s="31"/>
      <c r="J200" s="31"/>
      <c r="K200" s="19"/>
      <c r="L200" s="19"/>
      <c r="M200" s="19"/>
      <c r="N200" s="31"/>
      <c r="O200" s="31"/>
      <c r="P200" s="19"/>
      <c r="Q200" s="19"/>
    </row>
    <row r="201" spans="1:17" ht="46.5" customHeight="1" x14ac:dyDescent="0.7">
      <c r="A201" s="19"/>
      <c r="B201" s="19"/>
      <c r="C201" s="19"/>
      <c r="D201" s="31"/>
      <c r="E201" s="31"/>
      <c r="F201" s="31"/>
      <c r="G201" s="31"/>
      <c r="H201" s="31"/>
      <c r="I201" s="31"/>
      <c r="J201" s="31"/>
      <c r="K201" s="19"/>
      <c r="L201" s="19"/>
      <c r="M201" s="19"/>
      <c r="N201" s="31"/>
      <c r="O201" s="31"/>
      <c r="P201" s="19"/>
      <c r="Q201" s="19"/>
    </row>
    <row r="202" spans="1:17" ht="46.5" customHeight="1" x14ac:dyDescent="0.7">
      <c r="A202" s="19"/>
      <c r="B202" s="19"/>
      <c r="C202" s="19"/>
      <c r="D202" s="31"/>
      <c r="E202" s="31"/>
      <c r="F202" s="31"/>
      <c r="G202" s="31"/>
      <c r="H202" s="31"/>
      <c r="I202" s="31"/>
      <c r="J202" s="31"/>
      <c r="K202" s="19"/>
      <c r="L202" s="19"/>
      <c r="M202" s="19"/>
      <c r="N202" s="31"/>
      <c r="O202" s="31"/>
      <c r="P202" s="19"/>
      <c r="Q202" s="19"/>
    </row>
    <row r="203" spans="1:17" ht="46.5" customHeight="1" x14ac:dyDescent="0.7">
      <c r="A203" s="19"/>
      <c r="B203" s="19"/>
      <c r="C203" s="19"/>
      <c r="D203" s="31"/>
      <c r="E203" s="31"/>
      <c r="F203" s="31"/>
      <c r="G203" s="31"/>
      <c r="H203" s="31"/>
      <c r="I203" s="31"/>
      <c r="J203" s="31"/>
      <c r="K203" s="19"/>
      <c r="L203" s="19"/>
      <c r="M203" s="19"/>
      <c r="N203" s="31"/>
      <c r="O203" s="31"/>
      <c r="P203" s="19"/>
      <c r="Q203" s="19"/>
    </row>
    <row r="204" spans="1:17" ht="46.5" customHeight="1" x14ac:dyDescent="0.7">
      <c r="A204" s="19"/>
      <c r="B204" s="19"/>
      <c r="C204" s="19"/>
      <c r="D204" s="31"/>
      <c r="E204" s="31"/>
      <c r="F204" s="31"/>
      <c r="G204" s="31"/>
      <c r="H204" s="31"/>
      <c r="I204" s="31"/>
      <c r="J204" s="31"/>
      <c r="K204" s="19"/>
      <c r="L204" s="19"/>
      <c r="M204" s="19"/>
      <c r="N204" s="31"/>
      <c r="O204" s="31"/>
      <c r="P204" s="19"/>
      <c r="Q204" s="19"/>
    </row>
    <row r="205" spans="1:17" ht="46.5" customHeight="1" x14ac:dyDescent="0.7">
      <c r="A205" s="19"/>
      <c r="B205" s="19"/>
      <c r="C205" s="19"/>
      <c r="D205" s="31"/>
      <c r="E205" s="31"/>
      <c r="F205" s="31"/>
      <c r="G205" s="31"/>
      <c r="H205" s="31"/>
      <c r="I205" s="31"/>
      <c r="J205" s="31"/>
      <c r="K205" s="19"/>
      <c r="L205" s="19"/>
      <c r="M205" s="19"/>
      <c r="N205" s="31"/>
      <c r="O205" s="31"/>
      <c r="P205" s="19"/>
      <c r="Q205" s="19"/>
    </row>
    <row r="206" spans="1:17" ht="46.5" customHeight="1" x14ac:dyDescent="0.7">
      <c r="A206" s="19"/>
      <c r="B206" s="19"/>
      <c r="C206" s="19"/>
      <c r="D206" s="31"/>
      <c r="E206" s="31"/>
      <c r="F206" s="31"/>
      <c r="G206" s="31"/>
      <c r="H206" s="31"/>
      <c r="I206" s="31"/>
      <c r="J206" s="31"/>
      <c r="K206" s="19"/>
      <c r="L206" s="19"/>
      <c r="M206" s="19"/>
      <c r="N206" s="31"/>
      <c r="O206" s="31"/>
      <c r="P206" s="19"/>
      <c r="Q206" s="19"/>
    </row>
    <row r="207" spans="1:17" ht="46.5" customHeight="1" x14ac:dyDescent="0.7">
      <c r="A207" s="19"/>
      <c r="B207" s="19"/>
      <c r="C207" s="19"/>
      <c r="D207" s="31"/>
      <c r="E207" s="31"/>
      <c r="F207" s="31"/>
      <c r="G207" s="31"/>
      <c r="H207" s="31"/>
      <c r="I207" s="31"/>
      <c r="J207" s="31"/>
      <c r="K207" s="19"/>
      <c r="L207" s="19"/>
      <c r="M207" s="19"/>
      <c r="N207" s="31"/>
      <c r="O207" s="31"/>
      <c r="P207" s="19"/>
      <c r="Q207" s="19"/>
    </row>
    <row r="208" spans="1:17" ht="46.5" customHeight="1" x14ac:dyDescent="0.7">
      <c r="A208" s="19"/>
      <c r="B208" s="19"/>
      <c r="C208" s="19"/>
      <c r="D208" s="31"/>
      <c r="E208" s="31"/>
      <c r="F208" s="31"/>
      <c r="G208" s="31"/>
      <c r="H208" s="31"/>
      <c r="I208" s="31"/>
      <c r="J208" s="31"/>
      <c r="K208" s="19"/>
      <c r="L208" s="19"/>
      <c r="M208" s="19"/>
      <c r="N208" s="31"/>
      <c r="O208" s="31"/>
      <c r="P208" s="19"/>
      <c r="Q208" s="19"/>
    </row>
    <row r="209" spans="1:17" ht="46.5" customHeight="1" x14ac:dyDescent="0.7">
      <c r="A209" s="19"/>
      <c r="B209" s="19"/>
      <c r="C209" s="19"/>
      <c r="D209" s="31"/>
      <c r="E209" s="31"/>
      <c r="F209" s="31"/>
      <c r="G209" s="31"/>
      <c r="H209" s="31"/>
      <c r="I209" s="31"/>
      <c r="J209" s="31"/>
      <c r="K209" s="19"/>
      <c r="L209" s="19"/>
      <c r="M209" s="19"/>
      <c r="N209" s="31"/>
      <c r="O209" s="31"/>
      <c r="P209" s="19"/>
      <c r="Q209" s="19"/>
    </row>
    <row r="210" spans="1:17" ht="46.5" customHeight="1" x14ac:dyDescent="0.7">
      <c r="A210" s="19"/>
      <c r="B210" s="19"/>
      <c r="C210" s="19"/>
      <c r="D210" s="31"/>
      <c r="E210" s="31"/>
      <c r="F210" s="31"/>
      <c r="G210" s="31"/>
      <c r="H210" s="31"/>
      <c r="I210" s="31"/>
      <c r="J210" s="31"/>
      <c r="K210" s="19"/>
      <c r="L210" s="19"/>
      <c r="M210" s="19"/>
      <c r="N210" s="31"/>
      <c r="O210" s="31"/>
      <c r="P210" s="19"/>
      <c r="Q210" s="19"/>
    </row>
    <row r="211" spans="1:17" ht="46.5" customHeight="1" x14ac:dyDescent="0.7">
      <c r="A211" s="19"/>
      <c r="B211" s="19"/>
      <c r="C211" s="19"/>
      <c r="D211" s="31"/>
      <c r="E211" s="31"/>
      <c r="F211" s="31"/>
      <c r="G211" s="31"/>
      <c r="H211" s="31"/>
      <c r="I211" s="31"/>
      <c r="J211" s="31"/>
      <c r="K211" s="19"/>
      <c r="L211" s="19"/>
      <c r="M211" s="19"/>
      <c r="N211" s="31"/>
      <c r="O211" s="31"/>
      <c r="P211" s="19"/>
      <c r="Q211" s="19"/>
    </row>
    <row r="212" spans="1:17" ht="46.5" customHeight="1" x14ac:dyDescent="0.7">
      <c r="A212" s="19"/>
      <c r="B212" s="19"/>
      <c r="C212" s="19"/>
      <c r="D212" s="31"/>
      <c r="E212" s="31"/>
      <c r="F212" s="31"/>
      <c r="G212" s="31"/>
      <c r="H212" s="31"/>
      <c r="I212" s="31"/>
      <c r="J212" s="31"/>
      <c r="K212" s="19"/>
      <c r="L212" s="19"/>
      <c r="M212" s="19"/>
      <c r="N212" s="31"/>
      <c r="O212" s="31"/>
      <c r="P212" s="19"/>
      <c r="Q212" s="19"/>
    </row>
    <row r="213" spans="1:17" ht="46.5" customHeight="1" x14ac:dyDescent="0.7">
      <c r="A213" s="19"/>
      <c r="B213" s="19"/>
      <c r="C213" s="19"/>
      <c r="D213" s="31"/>
      <c r="E213" s="31"/>
      <c r="F213" s="31"/>
      <c r="G213" s="31"/>
      <c r="H213" s="31"/>
      <c r="I213" s="31"/>
      <c r="J213" s="31"/>
      <c r="K213" s="19"/>
      <c r="L213" s="19"/>
      <c r="M213" s="19"/>
      <c r="N213" s="31"/>
      <c r="O213" s="31"/>
      <c r="P213" s="19"/>
      <c r="Q213" s="19"/>
    </row>
    <row r="214" spans="1:17" ht="46.5" customHeight="1" x14ac:dyDescent="0.7">
      <c r="A214" s="19"/>
      <c r="B214" s="19"/>
      <c r="C214" s="19"/>
      <c r="D214" s="31"/>
      <c r="E214" s="31"/>
      <c r="F214" s="31"/>
      <c r="G214" s="31"/>
      <c r="H214" s="31"/>
      <c r="I214" s="31"/>
      <c r="J214" s="31"/>
      <c r="K214" s="19"/>
      <c r="L214" s="19"/>
      <c r="M214" s="19"/>
      <c r="N214" s="31"/>
      <c r="O214" s="31"/>
      <c r="P214" s="19"/>
      <c r="Q214" s="19"/>
    </row>
    <row r="215" spans="1:17" ht="46.5" customHeight="1" x14ac:dyDescent="0.7">
      <c r="A215" s="19"/>
      <c r="B215" s="19"/>
      <c r="C215" s="19"/>
      <c r="D215" s="31"/>
      <c r="E215" s="31"/>
      <c r="F215" s="31"/>
      <c r="G215" s="31"/>
      <c r="H215" s="31"/>
      <c r="I215" s="31"/>
      <c r="J215" s="31"/>
      <c r="K215" s="19"/>
      <c r="L215" s="19"/>
      <c r="M215" s="19"/>
      <c r="N215" s="31"/>
      <c r="O215" s="31"/>
      <c r="P215" s="19"/>
      <c r="Q215" s="19"/>
    </row>
    <row r="216" spans="1:17" ht="46.5" customHeight="1" x14ac:dyDescent="0.7">
      <c r="A216" s="19"/>
      <c r="B216" s="19"/>
      <c r="C216" s="19"/>
      <c r="D216" s="31"/>
      <c r="E216" s="31"/>
      <c r="F216" s="31"/>
      <c r="G216" s="31"/>
      <c r="H216" s="31"/>
      <c r="I216" s="31"/>
      <c r="J216" s="31"/>
      <c r="K216" s="19"/>
      <c r="L216" s="19"/>
      <c r="M216" s="19"/>
      <c r="N216" s="31"/>
      <c r="O216" s="31"/>
      <c r="P216" s="19"/>
      <c r="Q216" s="19"/>
    </row>
    <row r="217" spans="1:17" ht="46.5" customHeight="1" x14ac:dyDescent="0.7">
      <c r="A217" s="19"/>
      <c r="B217" s="19"/>
      <c r="C217" s="19"/>
      <c r="D217" s="31"/>
      <c r="E217" s="31"/>
      <c r="F217" s="31"/>
      <c r="G217" s="31"/>
      <c r="H217" s="31"/>
      <c r="I217" s="31"/>
      <c r="J217" s="31"/>
      <c r="K217" s="19"/>
      <c r="L217" s="19"/>
      <c r="M217" s="19"/>
      <c r="N217" s="31"/>
      <c r="O217" s="31"/>
      <c r="P217" s="19"/>
      <c r="Q217" s="19"/>
    </row>
    <row r="218" spans="1:17" ht="46.5" customHeight="1" x14ac:dyDescent="0.7">
      <c r="A218" s="19"/>
      <c r="B218" s="19"/>
      <c r="C218" s="19"/>
      <c r="D218" s="31"/>
      <c r="E218" s="31"/>
      <c r="F218" s="31"/>
      <c r="G218" s="31"/>
      <c r="H218" s="31"/>
      <c r="I218" s="31"/>
      <c r="J218" s="31"/>
      <c r="K218" s="19"/>
      <c r="L218" s="19"/>
      <c r="M218" s="19"/>
      <c r="N218" s="31"/>
      <c r="O218" s="31"/>
      <c r="P218" s="19"/>
      <c r="Q218" s="19"/>
    </row>
    <row r="219" spans="1:17" ht="46.5" customHeight="1" x14ac:dyDescent="0.7">
      <c r="A219" s="19"/>
      <c r="B219" s="19"/>
      <c r="C219" s="19"/>
      <c r="D219" s="31"/>
      <c r="E219" s="31"/>
      <c r="F219" s="31"/>
      <c r="G219" s="31"/>
      <c r="H219" s="31"/>
      <c r="I219" s="31"/>
      <c r="J219" s="31"/>
      <c r="K219" s="19"/>
      <c r="L219" s="19"/>
      <c r="M219" s="19"/>
      <c r="N219" s="31"/>
      <c r="O219" s="31"/>
      <c r="P219" s="19"/>
      <c r="Q219" s="19"/>
    </row>
    <row r="220" spans="1:17" ht="46.5" customHeight="1" x14ac:dyDescent="0.7">
      <c r="A220" s="19"/>
      <c r="B220" s="19"/>
      <c r="C220" s="19"/>
      <c r="D220" s="31"/>
      <c r="E220" s="31"/>
      <c r="F220" s="31"/>
      <c r="G220" s="31"/>
      <c r="H220" s="31"/>
      <c r="I220" s="31"/>
      <c r="J220" s="31"/>
      <c r="K220" s="19"/>
      <c r="L220" s="19"/>
      <c r="M220" s="19"/>
      <c r="N220" s="31"/>
      <c r="O220" s="31"/>
      <c r="P220" s="19"/>
      <c r="Q220" s="19"/>
    </row>
    <row r="221" spans="1:17" ht="46.5" customHeight="1" x14ac:dyDescent="0.7">
      <c r="A221" s="19"/>
      <c r="B221" s="19"/>
      <c r="C221" s="19"/>
      <c r="D221" s="31"/>
      <c r="E221" s="31"/>
      <c r="F221" s="31"/>
      <c r="G221" s="31"/>
      <c r="H221" s="31"/>
      <c r="I221" s="31"/>
      <c r="J221" s="31"/>
      <c r="K221" s="19"/>
      <c r="L221" s="19"/>
      <c r="M221" s="19"/>
      <c r="N221" s="31"/>
      <c r="O221" s="31"/>
      <c r="P221" s="19"/>
      <c r="Q221" s="19"/>
    </row>
    <row r="222" spans="1:17" ht="46.5" customHeight="1" x14ac:dyDescent="0.7">
      <c r="A222" s="19"/>
      <c r="B222" s="19"/>
      <c r="C222" s="19"/>
      <c r="D222" s="31"/>
      <c r="E222" s="31"/>
      <c r="F222" s="31"/>
      <c r="G222" s="31"/>
      <c r="H222" s="31"/>
      <c r="I222" s="31"/>
      <c r="J222" s="31"/>
      <c r="K222" s="19"/>
      <c r="L222" s="19"/>
      <c r="M222" s="19"/>
      <c r="N222" s="31"/>
      <c r="O222" s="31"/>
      <c r="P222" s="19"/>
      <c r="Q222" s="19"/>
    </row>
    <row r="223" spans="1:17" ht="46.5" customHeight="1" x14ac:dyDescent="0.7">
      <c r="A223" s="19"/>
      <c r="B223" s="19"/>
      <c r="C223" s="19"/>
      <c r="D223" s="31"/>
      <c r="E223" s="31"/>
      <c r="F223" s="31"/>
      <c r="G223" s="31"/>
      <c r="H223" s="31"/>
      <c r="I223" s="31"/>
      <c r="J223" s="31"/>
      <c r="K223" s="19"/>
      <c r="L223" s="19"/>
      <c r="M223" s="19"/>
      <c r="N223" s="31"/>
      <c r="O223" s="31"/>
      <c r="P223" s="19"/>
      <c r="Q223" s="19"/>
    </row>
    <row r="224" spans="1:17" ht="46.5" customHeight="1" x14ac:dyDescent="0.7">
      <c r="A224" s="19"/>
      <c r="B224" s="19"/>
      <c r="C224" s="19"/>
      <c r="D224" s="31"/>
      <c r="E224" s="31"/>
      <c r="F224" s="31"/>
      <c r="G224" s="31"/>
      <c r="H224" s="31"/>
      <c r="I224" s="31"/>
      <c r="J224" s="31"/>
      <c r="K224" s="19"/>
      <c r="L224" s="19"/>
      <c r="M224" s="19"/>
      <c r="N224" s="31"/>
      <c r="O224" s="31"/>
      <c r="P224" s="19"/>
      <c r="Q224" s="19"/>
    </row>
    <row r="225" spans="1:17" ht="46.5" customHeight="1" x14ac:dyDescent="0.7">
      <c r="A225" s="19"/>
      <c r="B225" s="19"/>
      <c r="C225" s="19"/>
      <c r="D225" s="31"/>
      <c r="E225" s="31"/>
      <c r="F225" s="31"/>
      <c r="G225" s="31"/>
      <c r="H225" s="31"/>
      <c r="I225" s="31"/>
      <c r="J225" s="31"/>
      <c r="K225" s="19"/>
      <c r="L225" s="19"/>
      <c r="M225" s="19"/>
      <c r="N225" s="31"/>
      <c r="O225" s="31"/>
      <c r="P225" s="19"/>
      <c r="Q225" s="19"/>
    </row>
    <row r="226" spans="1:17" ht="46.5" customHeight="1" x14ac:dyDescent="0.7">
      <c r="A226" s="19"/>
      <c r="B226" s="19"/>
      <c r="C226" s="19"/>
      <c r="D226" s="31"/>
      <c r="E226" s="31"/>
      <c r="F226" s="31"/>
      <c r="G226" s="31"/>
      <c r="H226" s="31"/>
      <c r="I226" s="31"/>
      <c r="J226" s="31"/>
      <c r="K226" s="19"/>
      <c r="L226" s="19"/>
      <c r="M226" s="19"/>
      <c r="N226" s="31"/>
      <c r="O226" s="31"/>
      <c r="P226" s="19"/>
      <c r="Q226" s="19"/>
    </row>
    <row r="227" spans="1:17" ht="46.5" customHeight="1" x14ac:dyDescent="0.7">
      <c r="A227" s="19"/>
      <c r="B227" s="19"/>
      <c r="C227" s="19"/>
      <c r="D227" s="31"/>
      <c r="E227" s="31"/>
      <c r="F227" s="31"/>
      <c r="G227" s="31"/>
      <c r="H227" s="31"/>
      <c r="I227" s="31"/>
      <c r="J227" s="31"/>
      <c r="K227" s="19"/>
      <c r="L227" s="19"/>
      <c r="M227" s="19"/>
      <c r="N227" s="31"/>
      <c r="O227" s="31"/>
      <c r="P227" s="19"/>
      <c r="Q227" s="19"/>
    </row>
    <row r="228" spans="1:17" ht="46.5" customHeight="1" x14ac:dyDescent="0.7">
      <c r="A228" s="19"/>
      <c r="B228" s="19"/>
      <c r="C228" s="19"/>
      <c r="D228" s="31"/>
      <c r="E228" s="31"/>
      <c r="F228" s="31"/>
      <c r="G228" s="31"/>
      <c r="H228" s="31"/>
      <c r="I228" s="31"/>
      <c r="J228" s="31"/>
      <c r="K228" s="19"/>
      <c r="L228" s="19"/>
      <c r="M228" s="19"/>
      <c r="N228" s="31"/>
      <c r="O228" s="31"/>
      <c r="P228" s="19"/>
      <c r="Q228" s="19"/>
    </row>
    <row r="229" spans="1:17" ht="46.5" customHeight="1" x14ac:dyDescent="0.7">
      <c r="A229" s="19"/>
      <c r="B229" s="19"/>
      <c r="C229" s="19"/>
      <c r="D229" s="31"/>
      <c r="E229" s="31"/>
      <c r="F229" s="31"/>
      <c r="G229" s="31"/>
      <c r="H229" s="31"/>
      <c r="I229" s="31"/>
      <c r="J229" s="31"/>
      <c r="K229" s="19"/>
      <c r="L229" s="19"/>
      <c r="M229" s="19"/>
      <c r="N229" s="31"/>
      <c r="O229" s="31"/>
      <c r="P229" s="19"/>
      <c r="Q229" s="19"/>
    </row>
    <row r="230" spans="1:17" ht="46.5" customHeight="1" x14ac:dyDescent="0.7">
      <c r="A230" s="19"/>
      <c r="B230" s="19"/>
      <c r="C230" s="19"/>
      <c r="D230" s="31"/>
      <c r="E230" s="31"/>
      <c r="F230" s="31"/>
      <c r="G230" s="31"/>
      <c r="H230" s="31"/>
      <c r="I230" s="31"/>
      <c r="J230" s="31"/>
      <c r="K230" s="19"/>
      <c r="L230" s="19"/>
      <c r="M230" s="19"/>
      <c r="N230" s="31"/>
      <c r="O230" s="31"/>
      <c r="P230" s="19"/>
      <c r="Q230" s="19"/>
    </row>
    <row r="231" spans="1:17" ht="46.5" customHeight="1" x14ac:dyDescent="0.7">
      <c r="A231" s="19"/>
      <c r="B231" s="19"/>
      <c r="C231" s="19"/>
      <c r="D231" s="31"/>
      <c r="E231" s="31"/>
      <c r="F231" s="31"/>
      <c r="G231" s="31"/>
      <c r="H231" s="31"/>
      <c r="I231" s="31"/>
      <c r="J231" s="31"/>
      <c r="K231" s="19"/>
      <c r="L231" s="19"/>
      <c r="M231" s="19"/>
      <c r="N231" s="31"/>
      <c r="O231" s="31"/>
      <c r="P231" s="19"/>
      <c r="Q231" s="19"/>
    </row>
    <row r="232" spans="1:17" ht="46.5" customHeight="1" x14ac:dyDescent="0.7">
      <c r="A232" s="19"/>
      <c r="B232" s="19"/>
      <c r="C232" s="19"/>
      <c r="D232" s="31"/>
      <c r="E232" s="31"/>
      <c r="F232" s="31"/>
      <c r="G232" s="31"/>
      <c r="H232" s="31"/>
      <c r="I232" s="31"/>
      <c r="J232" s="31"/>
      <c r="K232" s="19"/>
      <c r="L232" s="19"/>
      <c r="M232" s="19"/>
      <c r="N232" s="31"/>
      <c r="O232" s="31"/>
      <c r="P232" s="19"/>
      <c r="Q232" s="19"/>
    </row>
    <row r="233" spans="1:17" ht="46.5" customHeight="1" x14ac:dyDescent="0.7">
      <c r="A233" s="19"/>
      <c r="B233" s="19"/>
      <c r="C233" s="19"/>
      <c r="D233" s="31"/>
      <c r="E233" s="31"/>
      <c r="F233" s="31"/>
      <c r="G233" s="31"/>
      <c r="H233" s="31"/>
      <c r="I233" s="31"/>
      <c r="J233" s="31"/>
      <c r="K233" s="19"/>
      <c r="L233" s="19"/>
      <c r="M233" s="19"/>
      <c r="N233" s="31"/>
      <c r="O233" s="31"/>
      <c r="P233" s="19"/>
      <c r="Q233" s="19"/>
    </row>
    <row r="234" spans="1:17" ht="46.5" customHeight="1" x14ac:dyDescent="0.7">
      <c r="A234" s="19"/>
      <c r="B234" s="19"/>
      <c r="C234" s="19"/>
      <c r="D234" s="31"/>
      <c r="E234" s="31"/>
      <c r="F234" s="31"/>
      <c r="G234" s="31"/>
      <c r="H234" s="31"/>
      <c r="I234" s="31"/>
      <c r="J234" s="31"/>
      <c r="K234" s="19"/>
      <c r="L234" s="19"/>
      <c r="M234" s="19"/>
      <c r="N234" s="31"/>
      <c r="O234" s="31"/>
      <c r="P234" s="19"/>
      <c r="Q234" s="19"/>
    </row>
    <row r="235" spans="1:17" ht="46.5" customHeight="1" x14ac:dyDescent="0.7">
      <c r="A235" s="19"/>
      <c r="B235" s="19"/>
      <c r="C235" s="19"/>
      <c r="D235" s="31"/>
      <c r="E235" s="31"/>
      <c r="F235" s="31"/>
      <c r="G235" s="31"/>
      <c r="H235" s="31"/>
      <c r="I235" s="31"/>
      <c r="J235" s="31"/>
      <c r="K235" s="19"/>
      <c r="L235" s="19"/>
      <c r="M235" s="19"/>
      <c r="N235" s="31"/>
      <c r="O235" s="31"/>
      <c r="P235" s="19"/>
      <c r="Q235" s="19"/>
    </row>
    <row r="236" spans="1:17" ht="46.5" customHeight="1" x14ac:dyDescent="0.7">
      <c r="A236" s="19"/>
      <c r="B236" s="19"/>
      <c r="C236" s="19"/>
      <c r="D236" s="31"/>
      <c r="E236" s="31"/>
      <c r="F236" s="31"/>
      <c r="G236" s="31"/>
      <c r="H236" s="31"/>
      <c r="I236" s="31"/>
      <c r="J236" s="31"/>
      <c r="K236" s="19"/>
      <c r="L236" s="19"/>
      <c r="M236" s="19"/>
      <c r="N236" s="31"/>
      <c r="O236" s="31"/>
      <c r="P236" s="19"/>
      <c r="Q236" s="19"/>
    </row>
    <row r="237" spans="1:17" ht="46.5" customHeight="1" x14ac:dyDescent="0.7">
      <c r="A237" s="19"/>
      <c r="B237" s="19"/>
      <c r="C237" s="19"/>
      <c r="D237" s="31"/>
      <c r="E237" s="31"/>
      <c r="F237" s="31"/>
      <c r="G237" s="31"/>
      <c r="H237" s="31"/>
      <c r="I237" s="31"/>
      <c r="J237" s="31"/>
      <c r="K237" s="19"/>
      <c r="L237" s="19"/>
      <c r="M237" s="19"/>
      <c r="N237" s="31"/>
      <c r="O237" s="31"/>
      <c r="P237" s="19"/>
      <c r="Q237" s="19"/>
    </row>
    <row r="238" spans="1:17" ht="46.5" customHeight="1" x14ac:dyDescent="0.7">
      <c r="A238" s="19"/>
      <c r="B238" s="19"/>
      <c r="C238" s="19"/>
      <c r="D238" s="31"/>
      <c r="E238" s="31"/>
      <c r="F238" s="31"/>
      <c r="G238" s="31"/>
      <c r="H238" s="31"/>
      <c r="I238" s="31"/>
      <c r="J238" s="31"/>
      <c r="K238" s="19"/>
      <c r="L238" s="19"/>
      <c r="M238" s="19"/>
      <c r="N238" s="31"/>
      <c r="O238" s="31"/>
      <c r="P238" s="19"/>
      <c r="Q238" s="19"/>
    </row>
    <row r="239" spans="1:17" ht="46.5" customHeight="1" x14ac:dyDescent="0.7">
      <c r="A239" s="19"/>
      <c r="B239" s="19"/>
      <c r="C239" s="19"/>
      <c r="D239" s="31"/>
      <c r="E239" s="31"/>
      <c r="F239" s="31"/>
      <c r="G239" s="31"/>
      <c r="H239" s="31"/>
      <c r="I239" s="31"/>
      <c r="J239" s="31"/>
      <c r="K239" s="19"/>
      <c r="L239" s="19"/>
      <c r="M239" s="19"/>
      <c r="N239" s="31"/>
      <c r="O239" s="31"/>
      <c r="P239" s="19"/>
      <c r="Q239" s="19"/>
    </row>
    <row r="240" spans="1:17" ht="46.5" customHeight="1" x14ac:dyDescent="0.7">
      <c r="A240" s="19"/>
      <c r="B240" s="19"/>
      <c r="C240" s="19"/>
      <c r="D240" s="31"/>
      <c r="E240" s="31"/>
      <c r="F240" s="31"/>
      <c r="G240" s="31"/>
      <c r="H240" s="31"/>
      <c r="I240" s="31"/>
      <c r="J240" s="31"/>
      <c r="K240" s="19"/>
      <c r="L240" s="19"/>
      <c r="M240" s="19"/>
      <c r="N240" s="31"/>
      <c r="O240" s="31"/>
      <c r="P240" s="19"/>
      <c r="Q240" s="19"/>
    </row>
    <row r="241" spans="1:17" ht="46.5" customHeight="1" x14ac:dyDescent="0.7">
      <c r="A241" s="19"/>
      <c r="B241" s="19"/>
      <c r="C241" s="19"/>
      <c r="D241" s="31"/>
      <c r="E241" s="31"/>
      <c r="F241" s="31"/>
      <c r="G241" s="31"/>
      <c r="H241" s="31"/>
      <c r="I241" s="31"/>
      <c r="J241" s="31"/>
      <c r="K241" s="19"/>
      <c r="L241" s="19"/>
      <c r="M241" s="19"/>
      <c r="N241" s="31"/>
      <c r="O241" s="31"/>
      <c r="P241" s="19"/>
      <c r="Q241" s="19"/>
    </row>
    <row r="242" spans="1:17" ht="46.5" customHeight="1" x14ac:dyDescent="0.7">
      <c r="A242" s="19"/>
      <c r="B242" s="19"/>
      <c r="C242" s="19"/>
      <c r="D242" s="31"/>
      <c r="E242" s="31"/>
      <c r="F242" s="31"/>
      <c r="G242" s="31"/>
      <c r="H242" s="31"/>
      <c r="I242" s="31"/>
      <c r="J242" s="31"/>
      <c r="K242" s="19"/>
      <c r="L242" s="19"/>
      <c r="M242" s="19"/>
      <c r="N242" s="31"/>
      <c r="O242" s="31"/>
      <c r="P242" s="19"/>
      <c r="Q242" s="19"/>
    </row>
    <row r="243" spans="1:17" ht="46.5" customHeight="1" x14ac:dyDescent="0.7">
      <c r="A243" s="19"/>
      <c r="B243" s="19"/>
      <c r="C243" s="19"/>
      <c r="D243" s="31"/>
      <c r="E243" s="31"/>
      <c r="F243" s="31"/>
      <c r="G243" s="31"/>
      <c r="H243" s="31"/>
      <c r="I243" s="31"/>
      <c r="J243" s="31"/>
      <c r="K243" s="19"/>
      <c r="L243" s="19"/>
      <c r="M243" s="19"/>
      <c r="N243" s="31"/>
      <c r="O243" s="31"/>
      <c r="P243" s="19"/>
      <c r="Q243" s="19"/>
    </row>
    <row r="244" spans="1:17" ht="46.5" customHeight="1" x14ac:dyDescent="0.7">
      <c r="A244" s="19"/>
      <c r="B244" s="19"/>
      <c r="C244" s="19"/>
      <c r="D244" s="31"/>
      <c r="E244" s="31"/>
      <c r="F244" s="31"/>
      <c r="G244" s="31"/>
      <c r="H244" s="31"/>
      <c r="I244" s="31"/>
      <c r="J244" s="31"/>
      <c r="K244" s="19"/>
      <c r="L244" s="19"/>
      <c r="M244" s="19"/>
      <c r="N244" s="31"/>
      <c r="O244" s="31"/>
      <c r="P244" s="19"/>
      <c r="Q244" s="19"/>
    </row>
    <row r="245" spans="1:17" ht="46.5" customHeight="1" x14ac:dyDescent="0.7">
      <c r="A245" s="19"/>
      <c r="B245" s="19"/>
      <c r="C245" s="19"/>
      <c r="D245" s="31"/>
      <c r="E245" s="31"/>
      <c r="F245" s="31"/>
      <c r="G245" s="31"/>
      <c r="H245" s="31"/>
      <c r="I245" s="31"/>
      <c r="J245" s="31"/>
      <c r="K245" s="19"/>
      <c r="L245" s="19"/>
      <c r="M245" s="19"/>
      <c r="N245" s="31"/>
      <c r="O245" s="31"/>
      <c r="P245" s="19"/>
      <c r="Q245" s="19"/>
    </row>
    <row r="246" spans="1:17" ht="46.5" customHeight="1" x14ac:dyDescent="0.7">
      <c r="A246" s="19"/>
      <c r="B246" s="19"/>
      <c r="C246" s="19"/>
      <c r="D246" s="31"/>
      <c r="E246" s="31"/>
      <c r="F246" s="31"/>
      <c r="G246" s="31"/>
      <c r="H246" s="31"/>
      <c r="I246" s="31"/>
      <c r="J246" s="31"/>
      <c r="K246" s="19"/>
      <c r="L246" s="19"/>
      <c r="M246" s="19"/>
      <c r="N246" s="31"/>
      <c r="O246" s="31"/>
      <c r="P246" s="19"/>
      <c r="Q246" s="19"/>
    </row>
    <row r="247" spans="1:17" ht="46.5" customHeight="1" x14ac:dyDescent="0.7">
      <c r="A247" s="19"/>
      <c r="B247" s="19"/>
      <c r="C247" s="19"/>
      <c r="D247" s="31"/>
      <c r="E247" s="31"/>
      <c r="F247" s="31"/>
      <c r="G247" s="31"/>
      <c r="H247" s="31"/>
      <c r="I247" s="31"/>
      <c r="J247" s="31"/>
      <c r="K247" s="19"/>
      <c r="L247" s="19"/>
      <c r="M247" s="19"/>
      <c r="N247" s="31"/>
      <c r="O247" s="31"/>
      <c r="P247" s="19"/>
      <c r="Q247" s="19"/>
    </row>
    <row r="248" spans="1:17" ht="46.5" customHeight="1" x14ac:dyDescent="0.7">
      <c r="A248" s="19"/>
      <c r="B248" s="19"/>
      <c r="C248" s="19"/>
      <c r="D248" s="31"/>
      <c r="E248" s="31"/>
      <c r="F248" s="31"/>
      <c r="G248" s="31"/>
      <c r="H248" s="31"/>
      <c r="I248" s="31"/>
      <c r="J248" s="31"/>
      <c r="K248" s="19"/>
      <c r="L248" s="19"/>
      <c r="M248" s="19"/>
      <c r="N248" s="31"/>
      <c r="O248" s="31"/>
      <c r="P248" s="19"/>
      <c r="Q248" s="19"/>
    </row>
    <row r="249" spans="1:17" ht="46.5" customHeight="1" x14ac:dyDescent="0.7">
      <c r="A249" s="19"/>
      <c r="B249" s="19"/>
      <c r="C249" s="19"/>
      <c r="D249" s="31"/>
      <c r="E249" s="31"/>
      <c r="F249" s="31"/>
      <c r="G249" s="31"/>
      <c r="H249" s="31"/>
      <c r="I249" s="31"/>
      <c r="J249" s="31"/>
      <c r="K249" s="19"/>
      <c r="L249" s="19"/>
      <c r="M249" s="19"/>
      <c r="N249" s="31"/>
      <c r="O249" s="31"/>
      <c r="P249" s="19"/>
      <c r="Q249" s="19"/>
    </row>
    <row r="250" spans="1:17" ht="46.5" customHeight="1" x14ac:dyDescent="0.7">
      <c r="A250" s="19"/>
      <c r="B250" s="19"/>
      <c r="C250" s="19"/>
      <c r="D250" s="31"/>
      <c r="E250" s="31"/>
      <c r="F250" s="31"/>
      <c r="G250" s="31"/>
      <c r="H250" s="31"/>
      <c r="I250" s="31"/>
      <c r="J250" s="31"/>
      <c r="K250" s="19"/>
      <c r="L250" s="19"/>
      <c r="M250" s="19"/>
      <c r="N250" s="31"/>
      <c r="O250" s="31"/>
      <c r="P250" s="19"/>
      <c r="Q250" s="19"/>
    </row>
    <row r="251" spans="1:17" ht="46.5" customHeight="1" x14ac:dyDescent="0.7">
      <c r="A251" s="19"/>
      <c r="B251" s="19"/>
      <c r="C251" s="19"/>
      <c r="D251" s="31"/>
      <c r="E251" s="31"/>
      <c r="F251" s="31"/>
      <c r="G251" s="31"/>
      <c r="H251" s="31"/>
      <c r="I251" s="31"/>
      <c r="J251" s="31"/>
      <c r="K251" s="19"/>
      <c r="L251" s="19"/>
      <c r="M251" s="19"/>
      <c r="N251" s="31"/>
      <c r="O251" s="31"/>
      <c r="P251" s="19"/>
      <c r="Q251" s="19"/>
    </row>
    <row r="252" spans="1:17" ht="46.5" customHeight="1" x14ac:dyDescent="0.7">
      <c r="A252" s="19"/>
      <c r="B252" s="19"/>
      <c r="C252" s="19"/>
      <c r="D252" s="31"/>
      <c r="E252" s="31"/>
      <c r="F252" s="31"/>
      <c r="G252" s="31"/>
      <c r="H252" s="31"/>
      <c r="I252" s="31"/>
      <c r="J252" s="31"/>
      <c r="K252" s="19"/>
      <c r="L252" s="19"/>
      <c r="M252" s="19"/>
      <c r="N252" s="31"/>
      <c r="O252" s="31"/>
      <c r="P252" s="19"/>
      <c r="Q252" s="19"/>
    </row>
    <row r="253" spans="1:17" ht="46.5" customHeight="1" x14ac:dyDescent="0.7">
      <c r="A253" s="19"/>
      <c r="B253" s="19"/>
      <c r="C253" s="19"/>
      <c r="D253" s="31"/>
      <c r="E253" s="31"/>
      <c r="F253" s="31"/>
      <c r="G253" s="31"/>
      <c r="H253" s="31"/>
      <c r="I253" s="31"/>
      <c r="J253" s="31"/>
      <c r="K253" s="19"/>
      <c r="L253" s="19"/>
      <c r="M253" s="19"/>
      <c r="N253" s="31"/>
      <c r="O253" s="31"/>
      <c r="P253" s="19"/>
      <c r="Q253" s="19"/>
    </row>
    <row r="254" spans="1:17" ht="46.5" customHeight="1" x14ac:dyDescent="0.7">
      <c r="A254" s="19"/>
      <c r="B254" s="19"/>
      <c r="C254" s="19"/>
      <c r="D254" s="31"/>
      <c r="E254" s="31"/>
      <c r="F254" s="31"/>
      <c r="G254" s="31"/>
      <c r="H254" s="31"/>
      <c r="I254" s="31"/>
      <c r="J254" s="31"/>
      <c r="K254" s="19"/>
      <c r="L254" s="19"/>
      <c r="M254" s="19"/>
      <c r="N254" s="31"/>
      <c r="O254" s="31"/>
      <c r="P254" s="19"/>
      <c r="Q254" s="19"/>
    </row>
    <row r="255" spans="1:17" ht="46.5" customHeight="1" x14ac:dyDescent="0.7">
      <c r="A255" s="19"/>
      <c r="B255" s="19"/>
      <c r="C255" s="19"/>
      <c r="D255" s="31"/>
      <c r="E255" s="31"/>
      <c r="F255" s="31"/>
      <c r="G255" s="31"/>
      <c r="H255" s="31"/>
      <c r="I255" s="31"/>
      <c r="J255" s="31"/>
      <c r="K255" s="19"/>
      <c r="L255" s="19"/>
      <c r="M255" s="19"/>
      <c r="N255" s="31"/>
      <c r="O255" s="31"/>
      <c r="P255" s="19"/>
      <c r="Q255" s="19"/>
    </row>
    <row r="256" spans="1:17" ht="46.5" customHeight="1" x14ac:dyDescent="0.7">
      <c r="A256" s="19"/>
      <c r="B256" s="19"/>
      <c r="C256" s="19"/>
      <c r="D256" s="31"/>
      <c r="E256" s="31"/>
      <c r="F256" s="31"/>
      <c r="G256" s="31"/>
      <c r="H256" s="31"/>
      <c r="I256" s="31"/>
      <c r="J256" s="31"/>
      <c r="K256" s="19"/>
      <c r="L256" s="19"/>
      <c r="M256" s="19"/>
      <c r="N256" s="31"/>
      <c r="O256" s="31"/>
      <c r="P256" s="19"/>
      <c r="Q256" s="19"/>
    </row>
    <row r="257" spans="1:17" ht="46.5" customHeight="1" x14ac:dyDescent="0.7">
      <c r="A257" s="19"/>
      <c r="B257" s="19"/>
      <c r="C257" s="19"/>
      <c r="D257" s="31"/>
      <c r="E257" s="31"/>
      <c r="F257" s="31"/>
      <c r="G257" s="31"/>
      <c r="H257" s="31"/>
      <c r="I257" s="31"/>
      <c r="J257" s="31"/>
      <c r="K257" s="19"/>
      <c r="L257" s="19"/>
      <c r="M257" s="19"/>
      <c r="N257" s="31"/>
      <c r="O257" s="31"/>
      <c r="P257" s="19"/>
      <c r="Q257" s="19"/>
    </row>
    <row r="258" spans="1:17" ht="46.5" customHeight="1" x14ac:dyDescent="0.7">
      <c r="A258" s="19"/>
      <c r="B258" s="19"/>
      <c r="C258" s="19"/>
      <c r="D258" s="31"/>
      <c r="E258" s="31"/>
      <c r="F258" s="31"/>
      <c r="G258" s="31"/>
      <c r="H258" s="31"/>
      <c r="I258" s="31"/>
      <c r="J258" s="31"/>
      <c r="K258" s="19"/>
      <c r="L258" s="19"/>
      <c r="M258" s="19"/>
      <c r="N258" s="31"/>
      <c r="O258" s="31"/>
      <c r="P258" s="19"/>
      <c r="Q258" s="19"/>
    </row>
    <row r="259" spans="1:17" ht="46.5" customHeight="1" x14ac:dyDescent="0.7">
      <c r="A259" s="19"/>
      <c r="B259" s="19"/>
      <c r="C259" s="19"/>
      <c r="D259" s="31"/>
      <c r="E259" s="31"/>
      <c r="F259" s="31"/>
      <c r="G259" s="31"/>
      <c r="H259" s="31"/>
      <c r="I259" s="31"/>
      <c r="J259" s="31"/>
      <c r="K259" s="19"/>
      <c r="L259" s="19"/>
      <c r="M259" s="19"/>
      <c r="N259" s="31"/>
      <c r="O259" s="31"/>
      <c r="P259" s="19"/>
      <c r="Q259" s="19"/>
    </row>
    <row r="260" spans="1:17" ht="46.5" customHeight="1" x14ac:dyDescent="0.7">
      <c r="A260" s="19"/>
      <c r="B260" s="19"/>
      <c r="C260" s="19"/>
      <c r="D260" s="31"/>
      <c r="E260" s="31"/>
      <c r="F260" s="31"/>
      <c r="G260" s="31"/>
      <c r="H260" s="31"/>
      <c r="I260" s="31"/>
      <c r="J260" s="31"/>
      <c r="K260" s="19"/>
      <c r="L260" s="19"/>
      <c r="M260" s="19"/>
      <c r="N260" s="31"/>
      <c r="O260" s="31"/>
      <c r="P260" s="19"/>
      <c r="Q260" s="19"/>
    </row>
    <row r="261" spans="1:17" ht="46.5" customHeight="1" x14ac:dyDescent="0.7">
      <c r="A261" s="19"/>
      <c r="B261" s="19"/>
      <c r="C261" s="19"/>
      <c r="D261" s="31"/>
      <c r="E261" s="31"/>
      <c r="F261" s="31"/>
      <c r="G261" s="31"/>
      <c r="H261" s="31"/>
      <c r="I261" s="31"/>
      <c r="J261" s="31"/>
      <c r="K261" s="19"/>
      <c r="L261" s="19"/>
      <c r="M261" s="19"/>
      <c r="N261" s="31"/>
      <c r="O261" s="31"/>
      <c r="P261" s="19"/>
      <c r="Q261" s="19"/>
    </row>
    <row r="262" spans="1:17" ht="46.5" customHeight="1" x14ac:dyDescent="0.7">
      <c r="A262" s="19"/>
      <c r="B262" s="19"/>
      <c r="C262" s="19"/>
      <c r="D262" s="31"/>
      <c r="E262" s="31"/>
      <c r="F262" s="31"/>
      <c r="G262" s="31"/>
      <c r="H262" s="31"/>
      <c r="I262" s="31"/>
      <c r="J262" s="31"/>
      <c r="K262" s="19"/>
      <c r="L262" s="19"/>
      <c r="M262" s="19"/>
      <c r="N262" s="31"/>
      <c r="O262" s="31"/>
      <c r="P262" s="19"/>
      <c r="Q262" s="19"/>
    </row>
    <row r="263" spans="1:17" ht="46.5" customHeight="1" x14ac:dyDescent="0.7">
      <c r="A263" s="19"/>
      <c r="B263" s="19"/>
      <c r="C263" s="19"/>
      <c r="D263" s="31"/>
      <c r="E263" s="31"/>
      <c r="F263" s="31"/>
      <c r="G263" s="31"/>
      <c r="H263" s="31"/>
      <c r="I263" s="31"/>
      <c r="J263" s="31"/>
      <c r="K263" s="19"/>
      <c r="L263" s="19"/>
      <c r="M263" s="19"/>
      <c r="N263" s="31"/>
      <c r="O263" s="31"/>
      <c r="P263" s="19"/>
      <c r="Q263" s="19"/>
    </row>
    <row r="264" spans="1:17" ht="46.5" customHeight="1" x14ac:dyDescent="0.7">
      <c r="A264" s="19"/>
      <c r="B264" s="19"/>
      <c r="C264" s="19"/>
      <c r="D264" s="31"/>
      <c r="E264" s="31"/>
      <c r="F264" s="31"/>
      <c r="G264" s="31"/>
      <c r="H264" s="31"/>
      <c r="I264" s="31"/>
      <c r="J264" s="31"/>
      <c r="K264" s="19"/>
      <c r="L264" s="19"/>
      <c r="M264" s="19"/>
      <c r="N264" s="31"/>
      <c r="O264" s="31"/>
      <c r="P264" s="19"/>
      <c r="Q264" s="19"/>
    </row>
    <row r="265" spans="1:17" ht="46.5" customHeight="1" x14ac:dyDescent="0.7">
      <c r="A265" s="19"/>
      <c r="B265" s="19"/>
      <c r="C265" s="19"/>
      <c r="D265" s="31"/>
      <c r="E265" s="31"/>
      <c r="F265" s="31"/>
      <c r="G265" s="31"/>
      <c r="H265" s="31"/>
      <c r="I265" s="31"/>
      <c r="J265" s="31"/>
      <c r="K265" s="19"/>
      <c r="L265" s="19"/>
      <c r="M265" s="19"/>
      <c r="N265" s="31"/>
      <c r="O265" s="31"/>
      <c r="P265" s="19"/>
      <c r="Q265" s="19"/>
    </row>
    <row r="266" spans="1:17" ht="46.5" customHeight="1" x14ac:dyDescent="0.7">
      <c r="A266" s="19"/>
      <c r="B266" s="19"/>
      <c r="C266" s="19"/>
      <c r="D266" s="31"/>
      <c r="E266" s="31"/>
      <c r="F266" s="31"/>
      <c r="G266" s="31"/>
      <c r="H266" s="31"/>
      <c r="I266" s="31"/>
      <c r="J266" s="31"/>
      <c r="K266" s="19"/>
      <c r="L266" s="19"/>
      <c r="M266" s="19"/>
      <c r="N266" s="31"/>
      <c r="O266" s="31"/>
      <c r="P266" s="19"/>
      <c r="Q266" s="19"/>
    </row>
    <row r="267" spans="1:17" ht="46.5" customHeight="1" x14ac:dyDescent="0.7">
      <c r="A267" s="19"/>
      <c r="B267" s="19"/>
      <c r="C267" s="19"/>
      <c r="D267" s="31"/>
      <c r="E267" s="31"/>
      <c r="F267" s="31"/>
      <c r="G267" s="31"/>
      <c r="H267" s="31"/>
      <c r="I267" s="31"/>
      <c r="J267" s="31"/>
      <c r="K267" s="19"/>
      <c r="L267" s="19"/>
      <c r="M267" s="19"/>
      <c r="N267" s="31"/>
      <c r="O267" s="31"/>
      <c r="P267" s="19"/>
      <c r="Q267" s="19"/>
    </row>
    <row r="268" spans="1:17" ht="46.5" customHeight="1" x14ac:dyDescent="0.7">
      <c r="A268" s="19"/>
      <c r="B268" s="19"/>
      <c r="C268" s="19"/>
      <c r="D268" s="31"/>
      <c r="E268" s="31"/>
      <c r="F268" s="31"/>
      <c r="G268" s="31"/>
      <c r="H268" s="31"/>
      <c r="I268" s="31"/>
      <c r="J268" s="31"/>
      <c r="K268" s="19"/>
      <c r="L268" s="19"/>
      <c r="M268" s="19"/>
      <c r="N268" s="31"/>
      <c r="O268" s="31"/>
      <c r="P268" s="19"/>
      <c r="Q268" s="19"/>
    </row>
    <row r="269" spans="1:17" ht="46.5" customHeight="1" x14ac:dyDescent="0.7">
      <c r="A269" s="19"/>
      <c r="B269" s="19"/>
      <c r="C269" s="19"/>
      <c r="D269" s="31"/>
      <c r="E269" s="31"/>
      <c r="F269" s="31"/>
      <c r="G269" s="31"/>
      <c r="H269" s="31"/>
      <c r="I269" s="31"/>
      <c r="J269" s="31"/>
      <c r="K269" s="19"/>
      <c r="L269" s="19"/>
      <c r="M269" s="19"/>
      <c r="N269" s="31"/>
      <c r="O269" s="31"/>
      <c r="P269" s="19"/>
      <c r="Q269" s="19"/>
    </row>
    <row r="270" spans="1:17" ht="46.5" customHeight="1" x14ac:dyDescent="0.7">
      <c r="A270" s="19"/>
      <c r="B270" s="19"/>
      <c r="C270" s="19"/>
      <c r="D270" s="31"/>
      <c r="E270" s="31"/>
      <c r="F270" s="31"/>
      <c r="G270" s="31"/>
      <c r="H270" s="31"/>
      <c r="I270" s="31"/>
      <c r="J270" s="31"/>
      <c r="K270" s="19"/>
      <c r="L270" s="19"/>
      <c r="M270" s="19"/>
      <c r="N270" s="31"/>
      <c r="O270" s="31"/>
      <c r="P270" s="19"/>
      <c r="Q270" s="19"/>
    </row>
    <row r="271" spans="1:17" ht="46.5" customHeight="1" x14ac:dyDescent="0.7">
      <c r="A271" s="19"/>
      <c r="B271" s="19"/>
      <c r="C271" s="19"/>
      <c r="D271" s="31"/>
      <c r="E271" s="31"/>
      <c r="F271" s="31"/>
      <c r="G271" s="31"/>
      <c r="H271" s="31"/>
      <c r="I271" s="31"/>
      <c r="J271" s="31"/>
      <c r="K271" s="19"/>
      <c r="L271" s="19"/>
      <c r="M271" s="19"/>
      <c r="N271" s="31"/>
      <c r="O271" s="31"/>
      <c r="P271" s="19"/>
      <c r="Q271" s="19"/>
    </row>
    <row r="272" spans="1:17" ht="46.5" customHeight="1" x14ac:dyDescent="0.7">
      <c r="A272" s="19"/>
      <c r="B272" s="19"/>
      <c r="C272" s="19"/>
      <c r="D272" s="31"/>
      <c r="E272" s="31"/>
      <c r="F272" s="31"/>
      <c r="G272" s="31"/>
      <c r="H272" s="31"/>
      <c r="I272" s="31"/>
      <c r="J272" s="31"/>
      <c r="K272" s="19"/>
      <c r="L272" s="19"/>
      <c r="M272" s="19"/>
      <c r="N272" s="31"/>
      <c r="O272" s="31"/>
      <c r="P272" s="19"/>
      <c r="Q272" s="19"/>
    </row>
    <row r="273" spans="1:17" ht="46.5" customHeight="1" x14ac:dyDescent="0.7">
      <c r="A273" s="19"/>
      <c r="B273" s="19"/>
      <c r="C273" s="19"/>
      <c r="D273" s="31"/>
      <c r="E273" s="31"/>
      <c r="F273" s="31"/>
      <c r="G273" s="31"/>
      <c r="H273" s="31"/>
      <c r="I273" s="31"/>
      <c r="J273" s="31"/>
      <c r="K273" s="19"/>
      <c r="L273" s="19"/>
      <c r="M273" s="19"/>
      <c r="N273" s="31"/>
      <c r="O273" s="31"/>
      <c r="P273" s="19"/>
      <c r="Q273" s="19"/>
    </row>
    <row r="274" spans="1:17" ht="46.5" customHeight="1" x14ac:dyDescent="0.7">
      <c r="A274" s="19"/>
      <c r="B274" s="19"/>
      <c r="C274" s="19"/>
      <c r="D274" s="31"/>
      <c r="E274" s="31"/>
      <c r="F274" s="31"/>
      <c r="G274" s="31"/>
      <c r="H274" s="31"/>
      <c r="I274" s="31"/>
      <c r="J274" s="31"/>
      <c r="K274" s="19"/>
      <c r="L274" s="19"/>
      <c r="M274" s="19"/>
      <c r="N274" s="31"/>
      <c r="O274" s="31"/>
      <c r="P274" s="19"/>
      <c r="Q274" s="19"/>
    </row>
    <row r="275" spans="1:17" ht="46.5" customHeight="1" x14ac:dyDescent="0.7">
      <c r="A275" s="19"/>
      <c r="B275" s="19"/>
      <c r="C275" s="19"/>
      <c r="D275" s="31"/>
      <c r="E275" s="31"/>
      <c r="F275" s="31"/>
      <c r="G275" s="31"/>
      <c r="H275" s="31"/>
      <c r="I275" s="31"/>
      <c r="J275" s="31"/>
      <c r="K275" s="19"/>
      <c r="L275" s="19"/>
      <c r="M275" s="19"/>
      <c r="N275" s="31"/>
      <c r="O275" s="31"/>
      <c r="P275" s="19"/>
      <c r="Q275" s="19"/>
    </row>
    <row r="276" spans="1:17" ht="46.5" customHeight="1" x14ac:dyDescent="0.7">
      <c r="A276" s="19"/>
      <c r="B276" s="19"/>
      <c r="C276" s="19"/>
      <c r="D276" s="31"/>
      <c r="E276" s="31"/>
      <c r="F276" s="31"/>
      <c r="G276" s="31"/>
      <c r="H276" s="31"/>
      <c r="I276" s="31"/>
      <c r="J276" s="31"/>
      <c r="K276" s="19"/>
      <c r="L276" s="19"/>
      <c r="M276" s="19"/>
      <c r="N276" s="31"/>
      <c r="O276" s="31"/>
      <c r="P276" s="19"/>
      <c r="Q276" s="19"/>
    </row>
    <row r="277" spans="1:17" ht="46.5" customHeight="1" x14ac:dyDescent="0.7">
      <c r="A277" s="19"/>
      <c r="B277" s="19"/>
      <c r="C277" s="19"/>
      <c r="D277" s="31"/>
      <c r="E277" s="31"/>
      <c r="F277" s="31"/>
      <c r="G277" s="31"/>
      <c r="H277" s="31"/>
      <c r="I277" s="31"/>
      <c r="J277" s="31"/>
      <c r="K277" s="19"/>
      <c r="L277" s="19"/>
      <c r="M277" s="19"/>
      <c r="N277" s="31"/>
      <c r="O277" s="31"/>
      <c r="P277" s="19"/>
      <c r="Q277" s="19"/>
    </row>
    <row r="278" spans="1:17" ht="46.5" customHeight="1" x14ac:dyDescent="0.7">
      <c r="A278" s="19"/>
      <c r="B278" s="19"/>
      <c r="C278" s="19"/>
      <c r="D278" s="31"/>
      <c r="E278" s="31"/>
      <c r="F278" s="31"/>
      <c r="G278" s="31"/>
      <c r="H278" s="31"/>
      <c r="I278" s="31"/>
      <c r="J278" s="31"/>
      <c r="K278" s="19"/>
      <c r="L278" s="19"/>
      <c r="M278" s="19"/>
      <c r="N278" s="31"/>
      <c r="O278" s="31"/>
      <c r="P278" s="19"/>
      <c r="Q278" s="19"/>
    </row>
    <row r="279" spans="1:17" ht="46.5" customHeight="1" x14ac:dyDescent="0.7">
      <c r="A279" s="19"/>
      <c r="B279" s="19"/>
      <c r="C279" s="19"/>
      <c r="D279" s="31"/>
      <c r="E279" s="31"/>
      <c r="F279" s="31"/>
      <c r="G279" s="31"/>
      <c r="H279" s="31"/>
      <c r="I279" s="31"/>
      <c r="J279" s="31"/>
      <c r="K279" s="19"/>
      <c r="L279" s="19"/>
      <c r="M279" s="19"/>
      <c r="N279" s="31"/>
      <c r="O279" s="31"/>
      <c r="P279" s="19"/>
      <c r="Q279" s="19"/>
    </row>
    <row r="280" spans="1:17" ht="46.5" customHeight="1" x14ac:dyDescent="0.7">
      <c r="A280" s="19"/>
      <c r="B280" s="19"/>
      <c r="C280" s="19"/>
      <c r="D280" s="31"/>
      <c r="E280" s="31"/>
      <c r="F280" s="31"/>
      <c r="G280" s="31"/>
      <c r="H280" s="31"/>
      <c r="I280" s="31"/>
      <c r="J280" s="31"/>
      <c r="K280" s="19"/>
      <c r="L280" s="19"/>
      <c r="M280" s="19"/>
      <c r="N280" s="31"/>
      <c r="O280" s="31"/>
      <c r="P280" s="19"/>
      <c r="Q280" s="19"/>
    </row>
    <row r="281" spans="1:17" ht="46.5" customHeight="1" x14ac:dyDescent="0.7">
      <c r="A281" s="19"/>
      <c r="B281" s="19"/>
      <c r="C281" s="19"/>
      <c r="D281" s="31"/>
      <c r="E281" s="31"/>
      <c r="F281" s="31"/>
      <c r="G281" s="31"/>
      <c r="H281" s="31"/>
      <c r="I281" s="31"/>
      <c r="J281" s="31"/>
      <c r="K281" s="19"/>
      <c r="L281" s="19"/>
      <c r="M281" s="19"/>
      <c r="N281" s="31"/>
      <c r="O281" s="31"/>
      <c r="P281" s="19"/>
      <c r="Q281" s="19"/>
    </row>
    <row r="282" spans="1:17" ht="46.5" customHeight="1" x14ac:dyDescent="0.7">
      <c r="A282" s="19"/>
      <c r="B282" s="19"/>
      <c r="C282" s="19"/>
      <c r="D282" s="31"/>
      <c r="E282" s="31"/>
      <c r="F282" s="31"/>
      <c r="G282" s="31"/>
      <c r="H282" s="31"/>
      <c r="I282" s="31"/>
      <c r="J282" s="31"/>
      <c r="K282" s="19"/>
      <c r="L282" s="19"/>
      <c r="M282" s="19"/>
      <c r="N282" s="31"/>
      <c r="O282" s="31"/>
      <c r="P282" s="19"/>
      <c r="Q282" s="19"/>
    </row>
    <row r="283" spans="1:17" ht="46.5" customHeight="1" x14ac:dyDescent="0.7">
      <c r="A283" s="19"/>
      <c r="B283" s="19"/>
      <c r="C283" s="19"/>
      <c r="D283" s="31"/>
      <c r="E283" s="31"/>
      <c r="F283" s="31"/>
      <c r="G283" s="31"/>
      <c r="H283" s="31"/>
      <c r="I283" s="31"/>
      <c r="J283" s="31"/>
      <c r="K283" s="19"/>
      <c r="L283" s="19"/>
      <c r="M283" s="19"/>
      <c r="N283" s="31"/>
      <c r="O283" s="31"/>
      <c r="P283" s="19"/>
      <c r="Q283" s="19"/>
    </row>
    <row r="284" spans="1:17" ht="46.5" customHeight="1" x14ac:dyDescent="0.7">
      <c r="A284" s="19"/>
      <c r="B284" s="19"/>
      <c r="C284" s="19"/>
      <c r="D284" s="31"/>
      <c r="E284" s="31"/>
      <c r="F284" s="31"/>
      <c r="G284" s="31"/>
      <c r="H284" s="31"/>
      <c r="I284" s="31"/>
      <c r="J284" s="31"/>
      <c r="K284" s="19"/>
      <c r="L284" s="19"/>
      <c r="M284" s="19"/>
      <c r="N284" s="31"/>
      <c r="O284" s="31"/>
      <c r="P284" s="19"/>
      <c r="Q284" s="19"/>
    </row>
    <row r="285" spans="1:17" ht="46.5" customHeight="1" x14ac:dyDescent="0.7">
      <c r="A285" s="19"/>
      <c r="B285" s="19"/>
      <c r="C285" s="19"/>
      <c r="D285" s="31"/>
      <c r="E285" s="31"/>
      <c r="F285" s="31"/>
      <c r="G285" s="31"/>
      <c r="H285" s="31"/>
      <c r="I285" s="31"/>
      <c r="J285" s="31"/>
      <c r="K285" s="19"/>
      <c r="L285" s="19"/>
      <c r="M285" s="19"/>
      <c r="N285" s="31"/>
      <c r="O285" s="31"/>
      <c r="P285" s="19"/>
      <c r="Q285" s="19"/>
    </row>
    <row r="286" spans="1:17" ht="46.5" customHeight="1" x14ac:dyDescent="0.7">
      <c r="A286" s="19"/>
      <c r="B286" s="19"/>
      <c r="C286" s="19"/>
      <c r="D286" s="31"/>
      <c r="E286" s="31"/>
      <c r="F286" s="31"/>
      <c r="G286" s="31"/>
      <c r="H286" s="31"/>
      <c r="I286" s="31"/>
      <c r="J286" s="31"/>
      <c r="K286" s="19"/>
      <c r="L286" s="19"/>
      <c r="M286" s="19"/>
      <c r="N286" s="31"/>
      <c r="O286" s="31"/>
      <c r="P286" s="19"/>
      <c r="Q286" s="19"/>
    </row>
    <row r="287" spans="1:17" ht="46.5" customHeight="1" x14ac:dyDescent="0.7">
      <c r="A287" s="19"/>
      <c r="B287" s="19"/>
      <c r="C287" s="19"/>
      <c r="D287" s="31"/>
      <c r="E287" s="31"/>
      <c r="F287" s="31"/>
      <c r="G287" s="31"/>
      <c r="H287" s="31"/>
      <c r="I287" s="31"/>
      <c r="J287" s="31"/>
      <c r="K287" s="19"/>
      <c r="L287" s="19"/>
      <c r="M287" s="19"/>
      <c r="N287" s="31"/>
      <c r="O287" s="31"/>
      <c r="P287" s="19"/>
      <c r="Q287" s="19"/>
    </row>
    <row r="288" spans="1:17" ht="46.5" customHeight="1" x14ac:dyDescent="0.7">
      <c r="A288" s="19"/>
      <c r="B288" s="19"/>
      <c r="C288" s="19"/>
      <c r="D288" s="31"/>
      <c r="E288" s="31"/>
      <c r="F288" s="31"/>
      <c r="G288" s="31"/>
      <c r="H288" s="31"/>
      <c r="I288" s="31"/>
      <c r="J288" s="31"/>
      <c r="K288" s="19"/>
      <c r="L288" s="19"/>
      <c r="M288" s="19"/>
      <c r="N288" s="31"/>
      <c r="O288" s="31"/>
      <c r="P288" s="19"/>
      <c r="Q288" s="19"/>
    </row>
    <row r="289" spans="1:17" ht="46.5" customHeight="1" x14ac:dyDescent="0.7">
      <c r="A289" s="19"/>
      <c r="B289" s="19"/>
      <c r="C289" s="19"/>
      <c r="D289" s="31"/>
      <c r="E289" s="31"/>
      <c r="F289" s="31"/>
      <c r="G289" s="31"/>
      <c r="H289" s="31"/>
      <c r="I289" s="31"/>
      <c r="J289" s="31"/>
      <c r="K289" s="19"/>
      <c r="L289" s="19"/>
      <c r="M289" s="19"/>
      <c r="N289" s="31"/>
      <c r="O289" s="31"/>
      <c r="P289" s="19"/>
      <c r="Q289" s="19"/>
    </row>
    <row r="290" spans="1:17" ht="46.5" customHeight="1" x14ac:dyDescent="0.7">
      <c r="A290" s="19"/>
      <c r="B290" s="19"/>
      <c r="C290" s="19"/>
      <c r="D290" s="31"/>
      <c r="E290" s="31"/>
      <c r="F290" s="31"/>
      <c r="G290" s="31"/>
      <c r="H290" s="31"/>
      <c r="I290" s="31"/>
      <c r="J290" s="31"/>
      <c r="K290" s="19"/>
      <c r="L290" s="19"/>
      <c r="M290" s="19"/>
      <c r="N290" s="31"/>
      <c r="O290" s="31"/>
      <c r="P290" s="19"/>
      <c r="Q290" s="19"/>
    </row>
    <row r="291" spans="1:17" ht="46.5" customHeight="1" x14ac:dyDescent="0.7">
      <c r="A291" s="19"/>
      <c r="B291" s="19"/>
      <c r="C291" s="19"/>
      <c r="D291" s="31"/>
      <c r="E291" s="31"/>
      <c r="F291" s="31"/>
      <c r="G291" s="31"/>
      <c r="H291" s="31"/>
      <c r="I291" s="31"/>
      <c r="J291" s="31"/>
      <c r="K291" s="19"/>
      <c r="L291" s="19"/>
      <c r="M291" s="19"/>
      <c r="N291" s="31"/>
      <c r="O291" s="31"/>
      <c r="P291" s="19"/>
      <c r="Q291" s="19"/>
    </row>
    <row r="292" spans="1:17" ht="46.5" customHeight="1" x14ac:dyDescent="0.7">
      <c r="A292" s="19"/>
      <c r="B292" s="19"/>
      <c r="C292" s="19"/>
      <c r="D292" s="31"/>
      <c r="E292" s="31"/>
      <c r="F292" s="31"/>
      <c r="G292" s="31"/>
      <c r="H292" s="31"/>
      <c r="I292" s="31"/>
      <c r="J292" s="31"/>
      <c r="K292" s="19"/>
      <c r="L292" s="19"/>
      <c r="M292" s="19"/>
      <c r="N292" s="31"/>
      <c r="O292" s="31"/>
      <c r="P292" s="19"/>
      <c r="Q292" s="19"/>
    </row>
    <row r="293" spans="1:17" ht="46.5" customHeight="1" x14ac:dyDescent="0.7">
      <c r="A293" s="19"/>
      <c r="B293" s="19"/>
      <c r="C293" s="19"/>
      <c r="D293" s="31"/>
      <c r="E293" s="31"/>
      <c r="F293" s="31"/>
      <c r="G293" s="31"/>
      <c r="H293" s="31"/>
      <c r="I293" s="31"/>
      <c r="J293" s="31"/>
      <c r="K293" s="19"/>
      <c r="L293" s="19"/>
      <c r="M293" s="19"/>
      <c r="N293" s="31"/>
      <c r="O293" s="31"/>
      <c r="P293" s="19"/>
      <c r="Q293" s="19"/>
    </row>
    <row r="294" spans="1:17" ht="46.5" customHeight="1" x14ac:dyDescent="0.7">
      <c r="A294" s="19"/>
      <c r="B294" s="19"/>
      <c r="C294" s="19"/>
      <c r="D294" s="31"/>
      <c r="E294" s="31"/>
      <c r="F294" s="31"/>
      <c r="G294" s="31"/>
      <c r="H294" s="31"/>
      <c r="I294" s="31"/>
      <c r="J294" s="31"/>
      <c r="K294" s="19"/>
      <c r="L294" s="19"/>
      <c r="M294" s="19"/>
      <c r="N294" s="31"/>
      <c r="O294" s="31"/>
      <c r="P294" s="19"/>
      <c r="Q294" s="19"/>
    </row>
    <row r="295" spans="1:17" ht="46.5" customHeight="1" x14ac:dyDescent="0.7">
      <c r="A295" s="19"/>
      <c r="B295" s="19"/>
      <c r="C295" s="19"/>
      <c r="D295" s="31"/>
      <c r="E295" s="31"/>
      <c r="F295" s="31"/>
      <c r="G295" s="31"/>
      <c r="H295" s="31"/>
      <c r="I295" s="31"/>
      <c r="J295" s="31"/>
      <c r="K295" s="19"/>
      <c r="L295" s="19"/>
      <c r="M295" s="19"/>
      <c r="N295" s="31"/>
      <c r="O295" s="31"/>
      <c r="P295" s="19"/>
      <c r="Q295" s="19"/>
    </row>
    <row r="296" spans="1:17" ht="46.5" customHeight="1" x14ac:dyDescent="0.7">
      <c r="A296" s="19"/>
      <c r="B296" s="19"/>
      <c r="C296" s="19"/>
      <c r="D296" s="31"/>
      <c r="E296" s="31"/>
      <c r="F296" s="31"/>
      <c r="G296" s="31"/>
      <c r="H296" s="31"/>
      <c r="I296" s="31"/>
      <c r="J296" s="31"/>
      <c r="K296" s="19"/>
      <c r="L296" s="19"/>
      <c r="M296" s="19"/>
      <c r="N296" s="31"/>
      <c r="O296" s="31"/>
      <c r="P296" s="19"/>
      <c r="Q296" s="19"/>
    </row>
    <row r="297" spans="1:17" ht="46.5" customHeight="1" x14ac:dyDescent="0.7">
      <c r="A297" s="19"/>
      <c r="B297" s="19"/>
      <c r="C297" s="19"/>
      <c r="D297" s="31"/>
      <c r="E297" s="31"/>
      <c r="F297" s="31"/>
      <c r="G297" s="31"/>
      <c r="H297" s="31"/>
      <c r="I297" s="31"/>
      <c r="J297" s="31"/>
      <c r="K297" s="19"/>
      <c r="L297" s="19"/>
      <c r="M297" s="19"/>
      <c r="N297" s="31"/>
      <c r="O297" s="31"/>
      <c r="P297" s="19"/>
      <c r="Q297" s="19"/>
    </row>
    <row r="298" spans="1:17" ht="46.5" customHeight="1" x14ac:dyDescent="0.7">
      <c r="A298" s="19"/>
      <c r="B298" s="19"/>
      <c r="C298" s="19"/>
      <c r="D298" s="31"/>
      <c r="E298" s="31"/>
      <c r="F298" s="31"/>
      <c r="G298" s="31"/>
      <c r="H298" s="31"/>
      <c r="I298" s="31"/>
      <c r="J298" s="31"/>
      <c r="K298" s="19"/>
      <c r="L298" s="19"/>
      <c r="M298" s="19"/>
      <c r="N298" s="31"/>
      <c r="O298" s="31"/>
      <c r="P298" s="19"/>
      <c r="Q298" s="19"/>
    </row>
    <row r="299" spans="1:17" ht="46.5" customHeight="1" x14ac:dyDescent="0.7">
      <c r="A299" s="19"/>
      <c r="B299" s="19"/>
      <c r="C299" s="19"/>
      <c r="D299" s="31"/>
      <c r="E299" s="31"/>
      <c r="F299" s="31"/>
      <c r="G299" s="31"/>
      <c r="H299" s="31"/>
      <c r="I299" s="31"/>
      <c r="J299" s="31"/>
      <c r="K299" s="19"/>
      <c r="L299" s="19"/>
      <c r="M299" s="19"/>
      <c r="N299" s="31"/>
      <c r="O299" s="31"/>
      <c r="P299" s="19"/>
      <c r="Q299" s="19"/>
    </row>
    <row r="300" spans="1:17" ht="46.5" customHeight="1" x14ac:dyDescent="0.7">
      <c r="A300" s="19"/>
      <c r="B300" s="19"/>
      <c r="C300" s="19"/>
      <c r="D300" s="31"/>
      <c r="E300" s="31"/>
      <c r="F300" s="31"/>
      <c r="G300" s="31"/>
      <c r="H300" s="31"/>
      <c r="I300" s="31"/>
      <c r="J300" s="31"/>
      <c r="K300" s="19"/>
      <c r="L300" s="19"/>
      <c r="M300" s="19"/>
      <c r="N300" s="31"/>
      <c r="O300" s="31"/>
      <c r="P300" s="19"/>
      <c r="Q300" s="19"/>
    </row>
    <row r="301" spans="1:17" ht="46.5" customHeight="1" x14ac:dyDescent="0.7">
      <c r="A301" s="19"/>
      <c r="B301" s="19"/>
      <c r="C301" s="19"/>
      <c r="D301" s="31"/>
      <c r="E301" s="31"/>
      <c r="F301" s="31"/>
      <c r="G301" s="31"/>
      <c r="H301" s="31"/>
      <c r="I301" s="31"/>
      <c r="J301" s="31"/>
      <c r="K301" s="19"/>
      <c r="L301" s="19"/>
      <c r="M301" s="19"/>
      <c r="N301" s="31"/>
      <c r="O301" s="31"/>
      <c r="P301" s="19"/>
      <c r="Q301" s="19"/>
    </row>
    <row r="302" spans="1:17" ht="46.5" customHeight="1" x14ac:dyDescent="0.7">
      <c r="A302" s="19"/>
      <c r="B302" s="19"/>
      <c r="C302" s="19"/>
      <c r="D302" s="31"/>
      <c r="E302" s="31"/>
      <c r="F302" s="31"/>
      <c r="G302" s="31"/>
      <c r="H302" s="31"/>
      <c r="I302" s="31"/>
      <c r="J302" s="31"/>
      <c r="K302" s="19"/>
      <c r="L302" s="19"/>
      <c r="M302" s="19"/>
      <c r="N302" s="31"/>
      <c r="O302" s="31"/>
      <c r="P302" s="19"/>
      <c r="Q302" s="19"/>
    </row>
    <row r="303" spans="1:17" ht="46.5" customHeight="1" x14ac:dyDescent="0.7">
      <c r="A303" s="19"/>
      <c r="B303" s="19"/>
      <c r="C303" s="19"/>
      <c r="D303" s="31"/>
      <c r="E303" s="31"/>
      <c r="F303" s="31"/>
      <c r="G303" s="31"/>
      <c r="H303" s="31"/>
      <c r="I303" s="31"/>
      <c r="J303" s="31"/>
      <c r="K303" s="19"/>
      <c r="L303" s="19"/>
      <c r="M303" s="19"/>
      <c r="N303" s="31"/>
      <c r="O303" s="31"/>
      <c r="P303" s="19"/>
      <c r="Q303" s="19"/>
    </row>
    <row r="304" spans="1:17" ht="46.5" customHeight="1" x14ac:dyDescent="0.7">
      <c r="A304" s="19"/>
      <c r="B304" s="19"/>
      <c r="C304" s="19"/>
      <c r="D304" s="31"/>
      <c r="E304" s="31"/>
      <c r="F304" s="31"/>
      <c r="G304" s="31"/>
      <c r="H304" s="31"/>
      <c r="I304" s="31"/>
      <c r="J304" s="31"/>
      <c r="K304" s="19"/>
      <c r="L304" s="19"/>
      <c r="M304" s="19"/>
      <c r="N304" s="31"/>
      <c r="O304" s="31"/>
      <c r="P304" s="19"/>
      <c r="Q304" s="19"/>
    </row>
    <row r="305" spans="1:17" ht="46.5" customHeight="1" x14ac:dyDescent="0.7">
      <c r="A305" s="19"/>
      <c r="B305" s="19"/>
      <c r="C305" s="19"/>
      <c r="D305" s="31"/>
      <c r="E305" s="31"/>
      <c r="F305" s="31"/>
      <c r="G305" s="31"/>
      <c r="H305" s="31"/>
      <c r="I305" s="31"/>
      <c r="J305" s="31"/>
      <c r="K305" s="19"/>
      <c r="L305" s="19"/>
      <c r="M305" s="19"/>
      <c r="N305" s="31"/>
      <c r="O305" s="31"/>
      <c r="P305" s="19"/>
      <c r="Q305" s="19"/>
    </row>
    <row r="306" spans="1:17" ht="46.5" customHeight="1" x14ac:dyDescent="0.7">
      <c r="A306" s="19"/>
      <c r="B306" s="19"/>
      <c r="C306" s="19"/>
      <c r="D306" s="31"/>
      <c r="E306" s="31"/>
      <c r="F306" s="31"/>
      <c r="G306" s="31"/>
      <c r="H306" s="31"/>
      <c r="I306" s="31"/>
      <c r="J306" s="31"/>
      <c r="K306" s="19"/>
      <c r="L306" s="19"/>
      <c r="M306" s="19"/>
      <c r="N306" s="31"/>
      <c r="O306" s="31"/>
      <c r="P306" s="19"/>
      <c r="Q306" s="19"/>
    </row>
    <row r="307" spans="1:17" ht="46.5" customHeight="1" x14ac:dyDescent="0.7">
      <c r="A307" s="19"/>
      <c r="B307" s="19"/>
      <c r="C307" s="19"/>
      <c r="D307" s="31"/>
      <c r="E307" s="31"/>
      <c r="F307" s="31"/>
      <c r="G307" s="31"/>
      <c r="H307" s="31"/>
      <c r="I307" s="31"/>
      <c r="J307" s="31"/>
      <c r="K307" s="19"/>
      <c r="L307" s="19"/>
      <c r="M307" s="19"/>
      <c r="N307" s="31"/>
      <c r="O307" s="31"/>
      <c r="P307" s="19"/>
      <c r="Q307" s="19"/>
    </row>
    <row r="308" spans="1:17" ht="46.5" customHeight="1" x14ac:dyDescent="0.7">
      <c r="A308" s="19"/>
      <c r="B308" s="19"/>
      <c r="C308" s="19"/>
      <c r="D308" s="31"/>
      <c r="E308" s="31"/>
      <c r="F308" s="31"/>
      <c r="G308" s="31"/>
      <c r="H308" s="31"/>
      <c r="I308" s="31"/>
      <c r="J308" s="31"/>
      <c r="K308" s="19"/>
      <c r="L308" s="19"/>
      <c r="M308" s="19"/>
      <c r="N308" s="31"/>
      <c r="O308" s="31"/>
      <c r="P308" s="19"/>
      <c r="Q308" s="19"/>
    </row>
    <row r="309" spans="1:17" ht="46.5" customHeight="1" x14ac:dyDescent="0.7">
      <c r="A309" s="19"/>
      <c r="B309" s="19"/>
      <c r="C309" s="19"/>
      <c r="D309" s="31"/>
      <c r="E309" s="31"/>
      <c r="F309" s="31"/>
      <c r="G309" s="31"/>
      <c r="H309" s="31"/>
      <c r="I309" s="31"/>
      <c r="J309" s="31"/>
      <c r="K309" s="19"/>
      <c r="L309" s="19"/>
      <c r="M309" s="19"/>
      <c r="N309" s="31"/>
      <c r="O309" s="31"/>
      <c r="P309" s="19"/>
      <c r="Q309" s="19"/>
    </row>
    <row r="310" spans="1:17" ht="46.5" customHeight="1" x14ac:dyDescent="0.7">
      <c r="A310" s="19"/>
      <c r="B310" s="19"/>
      <c r="C310" s="19"/>
      <c r="D310" s="31"/>
      <c r="E310" s="31"/>
      <c r="F310" s="31"/>
      <c r="G310" s="31"/>
      <c r="H310" s="31"/>
      <c r="I310" s="31"/>
      <c r="J310" s="31"/>
      <c r="K310" s="19"/>
      <c r="L310" s="19"/>
      <c r="M310" s="19"/>
      <c r="N310" s="31"/>
      <c r="O310" s="31"/>
      <c r="P310" s="19"/>
      <c r="Q310" s="19"/>
    </row>
    <row r="311" spans="1:17" ht="46.5" customHeight="1" x14ac:dyDescent="0.7">
      <c r="A311" s="19"/>
      <c r="B311" s="19"/>
      <c r="C311" s="19"/>
      <c r="D311" s="31"/>
      <c r="E311" s="31"/>
      <c r="F311" s="31"/>
      <c r="G311" s="31"/>
      <c r="H311" s="31"/>
      <c r="I311" s="31"/>
      <c r="J311" s="31"/>
      <c r="K311" s="19"/>
      <c r="L311" s="19"/>
      <c r="M311" s="19"/>
      <c r="N311" s="31"/>
      <c r="O311" s="31"/>
      <c r="P311" s="19"/>
      <c r="Q311" s="19"/>
    </row>
    <row r="312" spans="1:17" ht="46.5" customHeight="1" x14ac:dyDescent="0.7">
      <c r="A312" s="19"/>
      <c r="B312" s="19"/>
      <c r="C312" s="19"/>
      <c r="D312" s="31"/>
      <c r="E312" s="31"/>
      <c r="F312" s="31"/>
      <c r="G312" s="31"/>
      <c r="H312" s="31"/>
      <c r="I312" s="31"/>
      <c r="J312" s="31"/>
      <c r="K312" s="19"/>
      <c r="L312" s="19"/>
      <c r="M312" s="19"/>
      <c r="N312" s="31"/>
      <c r="O312" s="31"/>
      <c r="P312" s="19"/>
      <c r="Q312" s="19"/>
    </row>
    <row r="313" spans="1:17" ht="46.5" customHeight="1" x14ac:dyDescent="0.7">
      <c r="A313" s="19"/>
      <c r="B313" s="19"/>
      <c r="C313" s="19"/>
      <c r="D313" s="31"/>
      <c r="E313" s="31"/>
      <c r="F313" s="31"/>
      <c r="G313" s="31"/>
      <c r="H313" s="31"/>
      <c r="I313" s="31"/>
      <c r="J313" s="31"/>
      <c r="K313" s="19"/>
      <c r="L313" s="19"/>
      <c r="M313" s="19"/>
      <c r="N313" s="31"/>
      <c r="O313" s="31"/>
      <c r="P313" s="19"/>
      <c r="Q313" s="19"/>
    </row>
    <row r="314" spans="1:17" ht="46.5" customHeight="1" x14ac:dyDescent="0.7">
      <c r="A314" s="19"/>
      <c r="B314" s="19"/>
      <c r="C314" s="19"/>
      <c r="D314" s="31"/>
      <c r="E314" s="31"/>
      <c r="F314" s="31"/>
      <c r="G314" s="31"/>
      <c r="H314" s="31"/>
      <c r="I314" s="31"/>
      <c r="J314" s="31"/>
      <c r="K314" s="19"/>
      <c r="L314" s="19"/>
      <c r="M314" s="19"/>
      <c r="N314" s="31"/>
      <c r="O314" s="31"/>
      <c r="P314" s="19"/>
      <c r="Q314" s="19"/>
    </row>
    <row r="315" spans="1:17" ht="46.5" customHeight="1" x14ac:dyDescent="0.7">
      <c r="A315" s="19"/>
      <c r="B315" s="19"/>
      <c r="C315" s="19"/>
      <c r="D315" s="31"/>
      <c r="E315" s="31"/>
      <c r="F315" s="31"/>
      <c r="G315" s="31"/>
      <c r="H315" s="31"/>
      <c r="I315" s="31"/>
      <c r="J315" s="31"/>
      <c r="K315" s="19"/>
      <c r="L315" s="19"/>
      <c r="M315" s="19"/>
      <c r="N315" s="31"/>
      <c r="O315" s="31"/>
      <c r="P315" s="19"/>
      <c r="Q315" s="19"/>
    </row>
    <row r="316" spans="1:17" ht="46.5" customHeight="1" x14ac:dyDescent="0.7">
      <c r="A316" s="19"/>
      <c r="B316" s="19"/>
      <c r="C316" s="19"/>
      <c r="D316" s="31"/>
      <c r="E316" s="31"/>
      <c r="F316" s="31"/>
      <c r="G316" s="31"/>
      <c r="H316" s="31"/>
      <c r="I316" s="31"/>
      <c r="J316" s="31"/>
      <c r="K316" s="19"/>
      <c r="L316" s="19"/>
      <c r="M316" s="19"/>
      <c r="N316" s="31"/>
      <c r="O316" s="31"/>
      <c r="P316" s="19"/>
      <c r="Q316" s="19"/>
    </row>
    <row r="317" spans="1:17" ht="46.5" customHeight="1" x14ac:dyDescent="0.7">
      <c r="A317" s="19"/>
      <c r="B317" s="19"/>
      <c r="C317" s="19"/>
      <c r="D317" s="31"/>
      <c r="E317" s="31"/>
      <c r="F317" s="31"/>
      <c r="G317" s="31"/>
      <c r="H317" s="31"/>
      <c r="I317" s="31"/>
      <c r="J317" s="31"/>
      <c r="K317" s="19"/>
      <c r="L317" s="19"/>
      <c r="M317" s="19"/>
      <c r="N317" s="31"/>
      <c r="O317" s="31"/>
      <c r="P317" s="19"/>
      <c r="Q317" s="19"/>
    </row>
    <row r="318" spans="1:17" ht="46.5" customHeight="1" x14ac:dyDescent="0.7">
      <c r="A318" s="19"/>
      <c r="B318" s="19"/>
      <c r="C318" s="19"/>
      <c r="D318" s="31"/>
      <c r="E318" s="31"/>
      <c r="F318" s="31"/>
      <c r="G318" s="31"/>
      <c r="H318" s="31"/>
      <c r="I318" s="31"/>
      <c r="J318" s="31"/>
      <c r="K318" s="19"/>
      <c r="L318" s="19"/>
      <c r="M318" s="19"/>
      <c r="N318" s="31"/>
      <c r="O318" s="31"/>
      <c r="P318" s="19"/>
      <c r="Q318" s="19"/>
    </row>
    <row r="319" spans="1:17" ht="46.5" customHeight="1" x14ac:dyDescent="0.7">
      <c r="A319" s="19"/>
      <c r="B319" s="19"/>
      <c r="C319" s="19"/>
      <c r="D319" s="31"/>
      <c r="E319" s="31"/>
      <c r="F319" s="31"/>
      <c r="G319" s="31"/>
      <c r="H319" s="31"/>
      <c r="I319" s="31"/>
      <c r="J319" s="31"/>
      <c r="K319" s="19"/>
      <c r="L319" s="19"/>
      <c r="M319" s="19"/>
      <c r="N319" s="31"/>
      <c r="O319" s="31"/>
      <c r="P319" s="19"/>
      <c r="Q319" s="19"/>
    </row>
    <row r="320" spans="1:17" ht="46.5" customHeight="1" x14ac:dyDescent="0.7">
      <c r="A320" s="19"/>
      <c r="B320" s="19"/>
      <c r="C320" s="19"/>
      <c r="D320" s="31"/>
      <c r="E320" s="31"/>
      <c r="F320" s="31"/>
      <c r="G320" s="31"/>
      <c r="H320" s="31"/>
      <c r="I320" s="31"/>
      <c r="J320" s="31"/>
      <c r="K320" s="19"/>
      <c r="L320" s="19"/>
      <c r="M320" s="19"/>
      <c r="N320" s="31"/>
      <c r="O320" s="31"/>
      <c r="P320" s="19"/>
      <c r="Q320" s="19"/>
    </row>
    <row r="321" spans="1:17" ht="46.5" customHeight="1" x14ac:dyDescent="0.7">
      <c r="A321" s="19"/>
      <c r="B321" s="19"/>
      <c r="C321" s="19"/>
      <c r="D321" s="31"/>
      <c r="E321" s="31"/>
      <c r="F321" s="31"/>
      <c r="G321" s="31"/>
      <c r="H321" s="31"/>
      <c r="I321" s="31"/>
      <c r="J321" s="31"/>
      <c r="K321" s="19"/>
      <c r="L321" s="19"/>
      <c r="M321" s="19"/>
      <c r="N321" s="31"/>
      <c r="O321" s="31"/>
      <c r="P321" s="19"/>
      <c r="Q321" s="19"/>
    </row>
    <row r="322" spans="1:17" ht="46.5" customHeight="1" x14ac:dyDescent="0.7">
      <c r="A322" s="19"/>
      <c r="B322" s="19"/>
      <c r="C322" s="19"/>
      <c r="D322" s="31"/>
      <c r="E322" s="31"/>
      <c r="F322" s="31"/>
      <c r="G322" s="31"/>
      <c r="H322" s="31"/>
      <c r="I322" s="31"/>
      <c r="J322" s="31"/>
      <c r="K322" s="19"/>
      <c r="L322" s="19"/>
      <c r="M322" s="19"/>
      <c r="N322" s="31"/>
      <c r="O322" s="31"/>
      <c r="P322" s="19"/>
      <c r="Q322" s="19"/>
    </row>
    <row r="323" spans="1:17" ht="46.5" customHeight="1" x14ac:dyDescent="0.7">
      <c r="A323" s="19"/>
      <c r="B323" s="19"/>
      <c r="C323" s="19"/>
      <c r="D323" s="31"/>
      <c r="E323" s="31"/>
      <c r="F323" s="31"/>
      <c r="G323" s="31"/>
      <c r="H323" s="31"/>
      <c r="I323" s="31"/>
      <c r="J323" s="31"/>
      <c r="K323" s="19"/>
      <c r="L323" s="19"/>
      <c r="M323" s="19"/>
      <c r="N323" s="31"/>
      <c r="O323" s="31"/>
      <c r="P323" s="19"/>
      <c r="Q323" s="19"/>
    </row>
    <row r="324" spans="1:17" ht="46.5" customHeight="1" x14ac:dyDescent="0.7">
      <c r="A324" s="19"/>
      <c r="B324" s="19"/>
      <c r="C324" s="19"/>
      <c r="D324" s="31"/>
      <c r="E324" s="31"/>
      <c r="F324" s="31"/>
      <c r="G324" s="31"/>
      <c r="H324" s="31"/>
      <c r="I324" s="31"/>
      <c r="J324" s="31"/>
      <c r="K324" s="19"/>
      <c r="L324" s="19"/>
      <c r="M324" s="19"/>
      <c r="N324" s="31"/>
      <c r="O324" s="31"/>
      <c r="P324" s="19"/>
      <c r="Q324" s="19"/>
    </row>
    <row r="325" spans="1:17" ht="46.5" customHeight="1" x14ac:dyDescent="0.7">
      <c r="A325" s="19"/>
      <c r="B325" s="19"/>
      <c r="C325" s="19"/>
      <c r="D325" s="31"/>
      <c r="E325" s="31"/>
      <c r="F325" s="31"/>
      <c r="G325" s="31"/>
      <c r="H325" s="31"/>
      <c r="I325" s="31"/>
      <c r="J325" s="31"/>
      <c r="K325" s="19"/>
      <c r="L325" s="19"/>
      <c r="M325" s="19"/>
      <c r="N325" s="31"/>
      <c r="O325" s="31"/>
      <c r="P325" s="19"/>
      <c r="Q325" s="19"/>
    </row>
    <row r="326" spans="1:17" ht="46.5" customHeight="1" x14ac:dyDescent="0.7">
      <c r="A326" s="19"/>
      <c r="B326" s="19"/>
      <c r="C326" s="19"/>
      <c r="D326" s="31"/>
      <c r="E326" s="31"/>
      <c r="F326" s="31"/>
      <c r="G326" s="31"/>
      <c r="H326" s="31"/>
      <c r="I326" s="31"/>
      <c r="J326" s="31"/>
      <c r="K326" s="19"/>
      <c r="L326" s="19"/>
      <c r="M326" s="19"/>
      <c r="N326" s="31"/>
      <c r="O326" s="31"/>
      <c r="P326" s="19"/>
      <c r="Q326" s="19"/>
    </row>
    <row r="327" spans="1:17" ht="46.5" customHeight="1" x14ac:dyDescent="0.7">
      <c r="A327" s="19"/>
      <c r="B327" s="19"/>
      <c r="C327" s="19"/>
      <c r="D327" s="31"/>
      <c r="E327" s="31"/>
      <c r="F327" s="31"/>
      <c r="G327" s="31"/>
      <c r="H327" s="31"/>
      <c r="I327" s="31"/>
      <c r="J327" s="31"/>
      <c r="K327" s="19"/>
      <c r="L327" s="19"/>
      <c r="M327" s="19"/>
      <c r="N327" s="31"/>
      <c r="O327" s="31"/>
      <c r="P327" s="19"/>
      <c r="Q327" s="19"/>
    </row>
    <row r="328" spans="1:17" ht="46.5" customHeight="1" x14ac:dyDescent="0.7">
      <c r="A328" s="19"/>
      <c r="B328" s="19"/>
      <c r="C328" s="19"/>
      <c r="D328" s="31"/>
      <c r="E328" s="31"/>
      <c r="F328" s="31"/>
      <c r="G328" s="31"/>
      <c r="H328" s="31"/>
      <c r="I328" s="31"/>
      <c r="J328" s="31"/>
      <c r="K328" s="19"/>
      <c r="L328" s="19"/>
      <c r="M328" s="19"/>
      <c r="N328" s="31"/>
      <c r="O328" s="31"/>
      <c r="P328" s="19"/>
      <c r="Q328" s="19"/>
    </row>
    <row r="329" spans="1:17" ht="46.5" customHeight="1" x14ac:dyDescent="0.7">
      <c r="A329" s="19"/>
      <c r="B329" s="19"/>
      <c r="C329" s="19"/>
      <c r="D329" s="31"/>
      <c r="E329" s="31"/>
      <c r="F329" s="31"/>
      <c r="G329" s="31"/>
      <c r="H329" s="31"/>
      <c r="I329" s="31"/>
      <c r="J329" s="31"/>
      <c r="K329" s="19"/>
      <c r="L329" s="19"/>
      <c r="M329" s="19"/>
      <c r="N329" s="31"/>
      <c r="O329" s="31"/>
      <c r="P329" s="19"/>
      <c r="Q329" s="19"/>
    </row>
    <row r="330" spans="1:17" ht="46.5" customHeight="1" x14ac:dyDescent="0.7">
      <c r="A330" s="19"/>
      <c r="B330" s="19"/>
      <c r="C330" s="19"/>
      <c r="D330" s="31"/>
      <c r="E330" s="31"/>
      <c r="F330" s="31"/>
      <c r="G330" s="31"/>
      <c r="H330" s="31"/>
      <c r="I330" s="31"/>
      <c r="J330" s="31"/>
      <c r="K330" s="19"/>
      <c r="L330" s="19"/>
      <c r="M330" s="19"/>
      <c r="N330" s="31"/>
      <c r="O330" s="31"/>
      <c r="P330" s="19"/>
      <c r="Q330" s="19"/>
    </row>
    <row r="331" spans="1:17" ht="46.5" customHeight="1" x14ac:dyDescent="0.7">
      <c r="A331" s="19"/>
      <c r="B331" s="19"/>
      <c r="C331" s="19"/>
      <c r="D331" s="31"/>
      <c r="E331" s="31"/>
      <c r="F331" s="31"/>
      <c r="G331" s="31"/>
      <c r="H331" s="31"/>
      <c r="I331" s="31"/>
      <c r="J331" s="31"/>
      <c r="K331" s="19"/>
      <c r="L331" s="19"/>
      <c r="M331" s="19"/>
      <c r="N331" s="31"/>
      <c r="O331" s="31"/>
      <c r="P331" s="19"/>
      <c r="Q331" s="19"/>
    </row>
    <row r="332" spans="1:17" ht="46.5" customHeight="1" x14ac:dyDescent="0.7">
      <c r="A332" s="19"/>
      <c r="B332" s="19"/>
      <c r="C332" s="19"/>
      <c r="D332" s="31"/>
      <c r="E332" s="31"/>
      <c r="F332" s="31"/>
      <c r="G332" s="31"/>
      <c r="H332" s="31"/>
      <c r="I332" s="31"/>
      <c r="J332" s="31"/>
      <c r="K332" s="19"/>
      <c r="L332" s="19"/>
      <c r="M332" s="19"/>
      <c r="N332" s="31"/>
      <c r="O332" s="31"/>
      <c r="P332" s="19"/>
      <c r="Q332" s="19"/>
    </row>
    <row r="333" spans="1:17" ht="46.5" customHeight="1" x14ac:dyDescent="0.7">
      <c r="A333" s="19"/>
      <c r="B333" s="19"/>
      <c r="C333" s="19"/>
      <c r="D333" s="31"/>
      <c r="E333" s="31"/>
      <c r="F333" s="31"/>
      <c r="G333" s="31"/>
      <c r="H333" s="31"/>
      <c r="I333" s="31"/>
      <c r="J333" s="31"/>
      <c r="K333" s="19"/>
      <c r="L333" s="19"/>
      <c r="M333" s="19"/>
      <c r="N333" s="31"/>
      <c r="O333" s="31"/>
      <c r="P333" s="19"/>
      <c r="Q333" s="19"/>
    </row>
    <row r="334" spans="1:17" ht="46.5" customHeight="1" x14ac:dyDescent="0.7">
      <c r="A334" s="19"/>
      <c r="B334" s="19"/>
      <c r="C334" s="19"/>
      <c r="D334" s="31"/>
      <c r="E334" s="31"/>
      <c r="F334" s="31"/>
      <c r="G334" s="31"/>
      <c r="H334" s="31"/>
      <c r="I334" s="31"/>
      <c r="J334" s="31"/>
      <c r="K334" s="19"/>
      <c r="L334" s="19"/>
      <c r="M334" s="19"/>
      <c r="N334" s="31"/>
      <c r="O334" s="31"/>
      <c r="P334" s="19"/>
      <c r="Q334" s="19"/>
    </row>
    <row r="335" spans="1:17" ht="46.5" customHeight="1" x14ac:dyDescent="0.7">
      <c r="A335" s="19"/>
      <c r="B335" s="19"/>
      <c r="C335" s="19"/>
      <c r="D335" s="31"/>
      <c r="E335" s="31"/>
      <c r="F335" s="31"/>
      <c r="G335" s="31"/>
      <c r="H335" s="31"/>
      <c r="I335" s="31"/>
      <c r="J335" s="31"/>
      <c r="K335" s="19"/>
      <c r="L335" s="19"/>
      <c r="M335" s="19"/>
      <c r="N335" s="31"/>
      <c r="O335" s="31"/>
      <c r="P335" s="19"/>
      <c r="Q335" s="19"/>
    </row>
    <row r="336" spans="1:17" ht="46.5" customHeight="1" x14ac:dyDescent="0.7">
      <c r="A336" s="19"/>
      <c r="B336" s="19"/>
      <c r="C336" s="19"/>
      <c r="D336" s="31"/>
      <c r="E336" s="31"/>
      <c r="F336" s="31"/>
      <c r="G336" s="31"/>
      <c r="H336" s="31"/>
      <c r="I336" s="31"/>
      <c r="J336" s="31"/>
      <c r="K336" s="19"/>
      <c r="L336" s="19"/>
      <c r="M336" s="19"/>
      <c r="N336" s="31"/>
      <c r="O336" s="31"/>
      <c r="P336" s="19"/>
      <c r="Q336" s="19"/>
    </row>
    <row r="337" spans="1:17" ht="46.5" customHeight="1" x14ac:dyDescent="0.7">
      <c r="A337" s="19"/>
      <c r="B337" s="19"/>
      <c r="C337" s="19"/>
      <c r="D337" s="31"/>
      <c r="E337" s="31"/>
      <c r="F337" s="31"/>
      <c r="G337" s="31"/>
      <c r="H337" s="31"/>
      <c r="I337" s="31"/>
      <c r="J337" s="31"/>
      <c r="K337" s="19"/>
      <c r="L337" s="19"/>
      <c r="M337" s="19"/>
      <c r="N337" s="31"/>
      <c r="O337" s="31"/>
      <c r="P337" s="19"/>
      <c r="Q337" s="19"/>
    </row>
    <row r="338" spans="1:17" ht="46.5" customHeight="1" x14ac:dyDescent="0.7">
      <c r="A338" s="19"/>
      <c r="B338" s="19"/>
      <c r="C338" s="19"/>
      <c r="D338" s="31"/>
      <c r="E338" s="31"/>
      <c r="F338" s="31"/>
      <c r="G338" s="31"/>
      <c r="H338" s="31"/>
      <c r="I338" s="31"/>
      <c r="J338" s="31"/>
      <c r="K338" s="19"/>
      <c r="L338" s="19"/>
      <c r="M338" s="19"/>
      <c r="N338" s="31"/>
      <c r="O338" s="31"/>
      <c r="P338" s="19"/>
      <c r="Q338" s="19"/>
    </row>
    <row r="339" spans="1:17" ht="46.5" customHeight="1" x14ac:dyDescent="0.7">
      <c r="A339" s="19"/>
      <c r="B339" s="19"/>
      <c r="C339" s="19"/>
      <c r="D339" s="31"/>
      <c r="E339" s="31"/>
      <c r="F339" s="31"/>
      <c r="G339" s="31"/>
      <c r="H339" s="31"/>
      <c r="I339" s="31"/>
      <c r="J339" s="31"/>
      <c r="K339" s="19"/>
      <c r="L339" s="19"/>
      <c r="M339" s="19"/>
      <c r="N339" s="31"/>
      <c r="O339" s="31"/>
      <c r="P339" s="19"/>
      <c r="Q339" s="19"/>
    </row>
    <row r="340" spans="1:17" ht="46.5" customHeight="1" x14ac:dyDescent="0.7">
      <c r="A340" s="19"/>
      <c r="B340" s="19"/>
      <c r="C340" s="19"/>
      <c r="D340" s="31"/>
      <c r="E340" s="31"/>
      <c r="F340" s="31"/>
      <c r="G340" s="31"/>
      <c r="H340" s="31"/>
      <c r="I340" s="31"/>
      <c r="J340" s="31"/>
      <c r="K340" s="19"/>
      <c r="L340" s="19"/>
      <c r="M340" s="19"/>
      <c r="N340" s="31"/>
      <c r="O340" s="31"/>
      <c r="P340" s="19"/>
      <c r="Q340" s="19"/>
    </row>
    <row r="341" spans="1:17" ht="46.5" customHeight="1" x14ac:dyDescent="0.7">
      <c r="A341" s="19"/>
      <c r="B341" s="19"/>
      <c r="C341" s="19"/>
      <c r="D341" s="31"/>
      <c r="E341" s="31"/>
      <c r="F341" s="31"/>
      <c r="G341" s="31"/>
      <c r="H341" s="31"/>
      <c r="I341" s="31"/>
      <c r="J341" s="31"/>
      <c r="K341" s="19"/>
      <c r="L341" s="19"/>
      <c r="M341" s="19"/>
      <c r="N341" s="31"/>
      <c r="O341" s="31"/>
      <c r="P341" s="19"/>
      <c r="Q341" s="19"/>
    </row>
    <row r="342" spans="1:17" ht="46.5" customHeight="1" x14ac:dyDescent="0.7">
      <c r="A342" s="19"/>
      <c r="B342" s="19"/>
      <c r="C342" s="19"/>
      <c r="D342" s="31"/>
      <c r="E342" s="31"/>
      <c r="F342" s="31"/>
      <c r="G342" s="31"/>
      <c r="H342" s="31"/>
      <c r="I342" s="31"/>
      <c r="J342" s="31"/>
      <c r="K342" s="19"/>
      <c r="L342" s="19"/>
      <c r="M342" s="19"/>
      <c r="N342" s="31"/>
      <c r="O342" s="31"/>
      <c r="P342" s="19"/>
      <c r="Q342" s="19"/>
    </row>
    <row r="343" spans="1:17" ht="46.5" customHeight="1" x14ac:dyDescent="0.7">
      <c r="A343" s="19"/>
      <c r="B343" s="19"/>
      <c r="C343" s="19"/>
      <c r="D343" s="31"/>
      <c r="E343" s="31"/>
      <c r="F343" s="31"/>
      <c r="G343" s="31"/>
      <c r="H343" s="31"/>
      <c r="I343" s="31"/>
      <c r="J343" s="31"/>
      <c r="K343" s="19"/>
      <c r="L343" s="19"/>
      <c r="M343" s="19"/>
      <c r="N343" s="31"/>
      <c r="O343" s="31"/>
      <c r="P343" s="19"/>
      <c r="Q343" s="19"/>
    </row>
    <row r="344" spans="1:17" ht="46.5" customHeight="1" x14ac:dyDescent="0.7">
      <c r="A344" s="19"/>
      <c r="B344" s="19"/>
      <c r="C344" s="19"/>
      <c r="D344" s="31"/>
      <c r="E344" s="31"/>
      <c r="F344" s="31"/>
      <c r="G344" s="31"/>
      <c r="H344" s="31"/>
      <c r="I344" s="31"/>
      <c r="J344" s="31"/>
      <c r="K344" s="19"/>
      <c r="L344" s="19"/>
      <c r="M344" s="19"/>
      <c r="N344" s="31"/>
      <c r="O344" s="31"/>
      <c r="P344" s="19"/>
      <c r="Q344" s="19"/>
    </row>
    <row r="345" spans="1:17" ht="46.5" customHeight="1" x14ac:dyDescent="0.7">
      <c r="A345" s="19"/>
      <c r="B345" s="19"/>
      <c r="C345" s="19"/>
      <c r="D345" s="31"/>
      <c r="E345" s="31"/>
      <c r="F345" s="31"/>
      <c r="G345" s="31"/>
      <c r="H345" s="31"/>
      <c r="I345" s="31"/>
      <c r="J345" s="31"/>
      <c r="K345" s="19"/>
      <c r="L345" s="19"/>
      <c r="M345" s="19"/>
      <c r="N345" s="31"/>
      <c r="O345" s="31"/>
      <c r="P345" s="19"/>
      <c r="Q345" s="19"/>
    </row>
    <row r="346" spans="1:17" ht="46.5" customHeight="1" x14ac:dyDescent="0.7">
      <c r="A346" s="19"/>
      <c r="B346" s="19"/>
      <c r="C346" s="19"/>
      <c r="D346" s="31"/>
      <c r="E346" s="31"/>
      <c r="F346" s="31"/>
      <c r="G346" s="31"/>
      <c r="H346" s="31"/>
      <c r="I346" s="31"/>
      <c r="J346" s="31"/>
      <c r="K346" s="19"/>
      <c r="L346" s="19"/>
      <c r="M346" s="19"/>
      <c r="N346" s="31"/>
      <c r="O346" s="31"/>
      <c r="P346" s="19"/>
      <c r="Q346" s="19"/>
    </row>
    <row r="347" spans="1:17" ht="46.5" customHeight="1" x14ac:dyDescent="0.7">
      <c r="A347" s="19"/>
      <c r="B347" s="19"/>
      <c r="C347" s="19"/>
      <c r="D347" s="31"/>
      <c r="E347" s="31"/>
      <c r="F347" s="31"/>
      <c r="G347" s="31"/>
      <c r="H347" s="31"/>
      <c r="I347" s="31"/>
      <c r="J347" s="31"/>
      <c r="K347" s="19"/>
      <c r="L347" s="19"/>
      <c r="M347" s="19"/>
      <c r="N347" s="31"/>
      <c r="O347" s="31"/>
      <c r="P347" s="19"/>
      <c r="Q347" s="19"/>
    </row>
    <row r="348" spans="1:17" ht="46.5" customHeight="1" x14ac:dyDescent="0.7">
      <c r="A348" s="19"/>
      <c r="B348" s="19"/>
      <c r="C348" s="19"/>
      <c r="D348" s="31"/>
      <c r="E348" s="31"/>
      <c r="F348" s="31"/>
      <c r="G348" s="31"/>
      <c r="H348" s="31"/>
      <c r="I348" s="31"/>
      <c r="J348" s="31"/>
      <c r="K348" s="19"/>
      <c r="L348" s="19"/>
      <c r="M348" s="19"/>
      <c r="N348" s="31"/>
      <c r="O348" s="31"/>
      <c r="P348" s="19"/>
      <c r="Q348" s="19"/>
    </row>
    <row r="349" spans="1:17" ht="46.5" customHeight="1" x14ac:dyDescent="0.7">
      <c r="A349" s="19"/>
      <c r="B349" s="19"/>
      <c r="C349" s="19"/>
      <c r="D349" s="31"/>
      <c r="E349" s="31"/>
      <c r="F349" s="31"/>
      <c r="G349" s="31"/>
      <c r="H349" s="31"/>
      <c r="I349" s="31"/>
      <c r="J349" s="31"/>
      <c r="K349" s="19"/>
      <c r="L349" s="19"/>
      <c r="M349" s="19"/>
      <c r="N349" s="31"/>
      <c r="O349" s="31"/>
      <c r="P349" s="19"/>
      <c r="Q349" s="19"/>
    </row>
    <row r="350" spans="1:17" ht="46.5" customHeight="1" x14ac:dyDescent="0.7">
      <c r="A350" s="19"/>
      <c r="B350" s="19"/>
      <c r="C350" s="19"/>
      <c r="D350" s="31"/>
      <c r="E350" s="31"/>
      <c r="F350" s="31"/>
      <c r="G350" s="31"/>
      <c r="H350" s="31"/>
      <c r="I350" s="31"/>
      <c r="J350" s="31"/>
      <c r="K350" s="19"/>
      <c r="L350" s="19"/>
      <c r="M350" s="19"/>
      <c r="N350" s="31"/>
      <c r="O350" s="31"/>
      <c r="P350" s="19"/>
      <c r="Q350" s="19"/>
    </row>
    <row r="351" spans="1:17" ht="46.5" customHeight="1" x14ac:dyDescent="0.7">
      <c r="A351" s="19"/>
      <c r="B351" s="19"/>
      <c r="C351" s="19"/>
      <c r="D351" s="31"/>
      <c r="E351" s="31"/>
      <c r="F351" s="31"/>
      <c r="G351" s="31"/>
      <c r="H351" s="31"/>
      <c r="I351" s="31"/>
      <c r="J351" s="31"/>
      <c r="K351" s="19"/>
      <c r="L351" s="19"/>
      <c r="M351" s="19"/>
      <c r="N351" s="31"/>
      <c r="O351" s="31"/>
      <c r="P351" s="19"/>
      <c r="Q351" s="19"/>
    </row>
    <row r="352" spans="1:17" ht="46.5" customHeight="1" x14ac:dyDescent="0.7">
      <c r="A352" s="19"/>
      <c r="B352" s="19"/>
      <c r="C352" s="19"/>
      <c r="D352" s="31"/>
      <c r="E352" s="31"/>
      <c r="F352" s="31"/>
      <c r="G352" s="31"/>
      <c r="H352" s="31"/>
      <c r="I352" s="31"/>
      <c r="J352" s="31"/>
      <c r="K352" s="19"/>
      <c r="L352" s="19"/>
      <c r="M352" s="19"/>
      <c r="N352" s="31"/>
      <c r="O352" s="31"/>
      <c r="P352" s="19"/>
      <c r="Q352" s="19"/>
    </row>
    <row r="353" spans="1:17" ht="46.5" customHeight="1" x14ac:dyDescent="0.7">
      <c r="A353" s="19"/>
      <c r="B353" s="19"/>
      <c r="C353" s="19"/>
      <c r="D353" s="31"/>
      <c r="E353" s="31"/>
      <c r="F353" s="31"/>
      <c r="G353" s="31"/>
      <c r="H353" s="31"/>
      <c r="I353" s="31"/>
      <c r="J353" s="31"/>
      <c r="K353" s="19"/>
      <c r="L353" s="19"/>
      <c r="M353" s="19"/>
      <c r="N353" s="31"/>
      <c r="O353" s="31"/>
      <c r="P353" s="19"/>
      <c r="Q353" s="19"/>
    </row>
    <row r="354" spans="1:17" ht="46.5" customHeight="1" x14ac:dyDescent="0.7">
      <c r="A354" s="19"/>
      <c r="B354" s="19"/>
      <c r="C354" s="19"/>
      <c r="D354" s="31"/>
      <c r="E354" s="31"/>
      <c r="F354" s="31"/>
      <c r="G354" s="31"/>
      <c r="H354" s="31"/>
      <c r="I354" s="31"/>
      <c r="J354" s="31"/>
      <c r="K354" s="19"/>
      <c r="L354" s="19"/>
      <c r="M354" s="19"/>
      <c r="N354" s="31"/>
      <c r="O354" s="31"/>
      <c r="P354" s="19"/>
      <c r="Q354" s="19"/>
    </row>
    <row r="355" spans="1:17" ht="46.5" customHeight="1" x14ac:dyDescent="0.7">
      <c r="A355" s="19"/>
      <c r="B355" s="19"/>
      <c r="C355" s="19"/>
      <c r="D355" s="31"/>
      <c r="E355" s="31"/>
      <c r="F355" s="31"/>
      <c r="G355" s="31"/>
      <c r="H355" s="31"/>
      <c r="I355" s="31"/>
      <c r="J355" s="31"/>
      <c r="K355" s="19"/>
      <c r="L355" s="19"/>
      <c r="M355" s="19"/>
      <c r="N355" s="31"/>
      <c r="O355" s="31"/>
      <c r="P355" s="19"/>
      <c r="Q355" s="19"/>
    </row>
    <row r="356" spans="1:17" ht="46.5" customHeight="1" x14ac:dyDescent="0.7">
      <c r="A356" s="19"/>
      <c r="B356" s="19"/>
      <c r="C356" s="19"/>
      <c r="D356" s="31"/>
      <c r="E356" s="31"/>
      <c r="F356" s="31"/>
      <c r="G356" s="31"/>
      <c r="H356" s="31"/>
      <c r="I356" s="31"/>
      <c r="J356" s="31"/>
      <c r="K356" s="19"/>
      <c r="L356" s="19"/>
      <c r="M356" s="19"/>
      <c r="N356" s="31"/>
      <c r="O356" s="31"/>
      <c r="P356" s="19"/>
      <c r="Q356" s="19"/>
    </row>
    <row r="357" spans="1:17" ht="46.5" customHeight="1" x14ac:dyDescent="0.7">
      <c r="A357" s="19"/>
      <c r="B357" s="19"/>
      <c r="C357" s="19"/>
      <c r="D357" s="31"/>
      <c r="E357" s="31"/>
      <c r="F357" s="31"/>
      <c r="G357" s="31"/>
      <c r="H357" s="31"/>
      <c r="I357" s="31"/>
      <c r="J357" s="31"/>
      <c r="K357" s="19"/>
      <c r="L357" s="19"/>
      <c r="M357" s="19"/>
      <c r="N357" s="31"/>
      <c r="O357" s="31"/>
      <c r="P357" s="19"/>
      <c r="Q357" s="19"/>
    </row>
    <row r="358" spans="1:17" ht="46.5" customHeight="1" x14ac:dyDescent="0.7">
      <c r="A358" s="19"/>
      <c r="B358" s="19"/>
      <c r="C358" s="19"/>
      <c r="D358" s="31"/>
      <c r="E358" s="31"/>
      <c r="F358" s="31"/>
      <c r="G358" s="31"/>
      <c r="H358" s="31"/>
      <c r="I358" s="31"/>
      <c r="J358" s="31"/>
      <c r="K358" s="19"/>
      <c r="L358" s="19"/>
      <c r="M358" s="19"/>
      <c r="N358" s="31"/>
      <c r="O358" s="31"/>
      <c r="P358" s="19"/>
      <c r="Q358" s="19"/>
    </row>
    <row r="359" spans="1:17" ht="46.5" customHeight="1" x14ac:dyDescent="0.7">
      <c r="A359" s="19"/>
      <c r="B359" s="19"/>
      <c r="C359" s="19"/>
      <c r="D359" s="31"/>
      <c r="E359" s="31"/>
      <c r="F359" s="31"/>
      <c r="G359" s="31"/>
      <c r="H359" s="31"/>
      <c r="I359" s="31"/>
      <c r="J359" s="31"/>
      <c r="K359" s="19"/>
      <c r="L359" s="19"/>
      <c r="M359" s="19"/>
      <c r="N359" s="31"/>
      <c r="O359" s="31"/>
      <c r="P359" s="19"/>
      <c r="Q359" s="19"/>
    </row>
    <row r="360" spans="1:17" ht="46.5" customHeight="1" x14ac:dyDescent="0.7">
      <c r="A360" s="19"/>
      <c r="B360" s="19"/>
      <c r="C360" s="19"/>
      <c r="D360" s="31"/>
      <c r="E360" s="31"/>
      <c r="F360" s="31"/>
      <c r="G360" s="31"/>
      <c r="H360" s="31"/>
      <c r="I360" s="31"/>
      <c r="J360" s="31"/>
      <c r="K360" s="19"/>
      <c r="L360" s="19"/>
      <c r="M360" s="19"/>
      <c r="N360" s="31"/>
      <c r="O360" s="31"/>
      <c r="P360" s="19"/>
      <c r="Q360" s="19"/>
    </row>
    <row r="361" spans="1:17" ht="46.5" customHeight="1" x14ac:dyDescent="0.7">
      <c r="A361" s="19"/>
      <c r="B361" s="19"/>
      <c r="C361" s="19"/>
      <c r="D361" s="31"/>
      <c r="E361" s="31"/>
      <c r="F361" s="31"/>
      <c r="G361" s="31"/>
      <c r="H361" s="31"/>
      <c r="I361" s="31"/>
      <c r="J361" s="31"/>
      <c r="K361" s="19"/>
      <c r="L361" s="19"/>
      <c r="M361" s="19"/>
      <c r="N361" s="31"/>
      <c r="O361" s="31"/>
      <c r="P361" s="19"/>
      <c r="Q361" s="19"/>
    </row>
    <row r="362" spans="1:17" ht="46.5" customHeight="1" x14ac:dyDescent="0.7">
      <c r="A362" s="19"/>
      <c r="B362" s="19"/>
      <c r="C362" s="19"/>
      <c r="D362" s="31"/>
      <c r="E362" s="31"/>
      <c r="F362" s="31"/>
      <c r="G362" s="31"/>
      <c r="H362" s="31"/>
      <c r="I362" s="31"/>
      <c r="J362" s="31"/>
      <c r="K362" s="19"/>
      <c r="L362" s="19"/>
      <c r="M362" s="19"/>
      <c r="N362" s="31"/>
      <c r="O362" s="31"/>
      <c r="P362" s="19"/>
      <c r="Q362" s="19"/>
    </row>
    <row r="363" spans="1:17" ht="46.5" customHeight="1" x14ac:dyDescent="0.7">
      <c r="A363" s="19"/>
      <c r="B363" s="19"/>
      <c r="C363" s="19"/>
      <c r="D363" s="31"/>
      <c r="E363" s="31"/>
      <c r="F363" s="31"/>
      <c r="G363" s="31"/>
      <c r="H363" s="31"/>
      <c r="I363" s="31"/>
      <c r="J363" s="31"/>
      <c r="K363" s="19"/>
      <c r="L363" s="19"/>
      <c r="M363" s="19"/>
      <c r="N363" s="31"/>
      <c r="O363" s="31"/>
      <c r="P363" s="19"/>
      <c r="Q363" s="19"/>
    </row>
    <row r="364" spans="1:17" ht="46.5" customHeight="1" x14ac:dyDescent="0.7">
      <c r="A364" s="19"/>
      <c r="B364" s="19"/>
      <c r="C364" s="19"/>
      <c r="D364" s="31"/>
      <c r="E364" s="31"/>
      <c r="F364" s="31"/>
      <c r="G364" s="31"/>
      <c r="H364" s="31"/>
      <c r="I364" s="31"/>
      <c r="J364" s="31"/>
      <c r="K364" s="19"/>
      <c r="L364" s="19"/>
      <c r="M364" s="19"/>
      <c r="N364" s="31"/>
      <c r="O364" s="31"/>
      <c r="P364" s="19"/>
      <c r="Q364" s="19"/>
    </row>
    <row r="365" spans="1:17" ht="46.5" customHeight="1" x14ac:dyDescent="0.7">
      <c r="A365" s="19"/>
      <c r="B365" s="19"/>
      <c r="C365" s="19"/>
      <c r="D365" s="31"/>
      <c r="E365" s="31"/>
      <c r="F365" s="31"/>
      <c r="G365" s="31"/>
      <c r="H365" s="31"/>
      <c r="I365" s="31"/>
      <c r="J365" s="31"/>
      <c r="K365" s="19"/>
      <c r="L365" s="19"/>
      <c r="M365" s="19"/>
      <c r="N365" s="31"/>
      <c r="O365" s="31"/>
      <c r="P365" s="19"/>
      <c r="Q365" s="19"/>
    </row>
    <row r="366" spans="1:17" ht="46.5" customHeight="1" x14ac:dyDescent="0.7">
      <c r="A366" s="19"/>
      <c r="B366" s="19"/>
      <c r="C366" s="19"/>
      <c r="D366" s="31"/>
      <c r="E366" s="31"/>
      <c r="F366" s="31"/>
      <c r="G366" s="31"/>
      <c r="H366" s="31"/>
      <c r="I366" s="31"/>
      <c r="J366" s="31"/>
      <c r="K366" s="19"/>
      <c r="L366" s="19"/>
      <c r="M366" s="19"/>
      <c r="N366" s="31"/>
      <c r="O366" s="31"/>
      <c r="P366" s="19"/>
      <c r="Q366" s="19"/>
    </row>
    <row r="367" spans="1:17" ht="46.5" customHeight="1" x14ac:dyDescent="0.7">
      <c r="A367" s="19"/>
      <c r="B367" s="19"/>
      <c r="C367" s="19"/>
      <c r="D367" s="31"/>
      <c r="E367" s="31"/>
      <c r="F367" s="31"/>
      <c r="G367" s="31"/>
      <c r="H367" s="31"/>
      <c r="I367" s="31"/>
      <c r="J367" s="31"/>
      <c r="K367" s="19"/>
      <c r="L367" s="19"/>
      <c r="M367" s="19"/>
      <c r="N367" s="31"/>
      <c r="O367" s="31"/>
      <c r="P367" s="19"/>
      <c r="Q367" s="19"/>
    </row>
    <row r="368" spans="1:17" ht="46.5" customHeight="1" x14ac:dyDescent="0.7">
      <c r="A368" s="19"/>
      <c r="B368" s="19"/>
      <c r="C368" s="19"/>
      <c r="D368" s="31"/>
      <c r="E368" s="31"/>
      <c r="F368" s="31"/>
      <c r="G368" s="31"/>
      <c r="H368" s="31"/>
      <c r="I368" s="31"/>
      <c r="J368" s="31"/>
      <c r="K368" s="19"/>
      <c r="L368" s="19"/>
      <c r="M368" s="19"/>
      <c r="N368" s="31"/>
      <c r="O368" s="31"/>
      <c r="P368" s="19"/>
      <c r="Q368" s="19"/>
    </row>
    <row r="369" spans="1:17" ht="46.5" customHeight="1" x14ac:dyDescent="0.7">
      <c r="A369" s="19"/>
      <c r="B369" s="19"/>
      <c r="C369" s="19"/>
      <c r="D369" s="31"/>
      <c r="E369" s="31"/>
      <c r="F369" s="31"/>
      <c r="G369" s="31"/>
      <c r="H369" s="31"/>
      <c r="I369" s="31"/>
      <c r="J369" s="31"/>
      <c r="K369" s="19"/>
      <c r="L369" s="19"/>
      <c r="M369" s="19"/>
      <c r="N369" s="31"/>
      <c r="O369" s="31"/>
      <c r="P369" s="19"/>
      <c r="Q369" s="19"/>
    </row>
    <row r="370" spans="1:17" ht="46.5" customHeight="1" x14ac:dyDescent="0.7">
      <c r="A370" s="19"/>
      <c r="B370" s="19"/>
      <c r="C370" s="19"/>
      <c r="D370" s="31"/>
      <c r="E370" s="31"/>
      <c r="F370" s="31"/>
      <c r="G370" s="31"/>
      <c r="H370" s="31"/>
      <c r="I370" s="31"/>
      <c r="J370" s="31"/>
      <c r="K370" s="19"/>
      <c r="L370" s="19"/>
      <c r="M370" s="19"/>
      <c r="N370" s="31"/>
      <c r="O370" s="31"/>
      <c r="P370" s="19"/>
      <c r="Q370" s="19"/>
    </row>
    <row r="371" spans="1:17" ht="46.5" customHeight="1" x14ac:dyDescent="0.7">
      <c r="A371" s="19"/>
      <c r="B371" s="19"/>
      <c r="C371" s="19"/>
      <c r="D371" s="31"/>
      <c r="E371" s="31"/>
      <c r="F371" s="31"/>
      <c r="G371" s="31"/>
      <c r="H371" s="31"/>
      <c r="I371" s="31"/>
      <c r="J371" s="31"/>
      <c r="K371" s="19"/>
      <c r="L371" s="19"/>
      <c r="M371" s="19"/>
      <c r="N371" s="31"/>
      <c r="O371" s="31"/>
      <c r="P371" s="19"/>
      <c r="Q371" s="19"/>
    </row>
    <row r="372" spans="1:17" ht="46.5" customHeight="1" x14ac:dyDescent="0.7">
      <c r="A372" s="19"/>
      <c r="B372" s="19"/>
      <c r="C372" s="19"/>
      <c r="D372" s="31"/>
      <c r="E372" s="31"/>
      <c r="F372" s="31"/>
      <c r="G372" s="31"/>
      <c r="H372" s="31"/>
      <c r="I372" s="31"/>
      <c r="J372" s="31"/>
      <c r="K372" s="19"/>
      <c r="L372" s="19"/>
      <c r="M372" s="19"/>
      <c r="N372" s="31"/>
      <c r="O372" s="31"/>
      <c r="P372" s="19"/>
      <c r="Q372" s="19"/>
    </row>
    <row r="373" spans="1:17" ht="46.5" customHeight="1" x14ac:dyDescent="0.7">
      <c r="A373" s="19"/>
      <c r="B373" s="19"/>
      <c r="C373" s="19"/>
      <c r="D373" s="31"/>
      <c r="E373" s="31"/>
      <c r="F373" s="31"/>
      <c r="G373" s="31"/>
      <c r="H373" s="31"/>
      <c r="I373" s="31"/>
      <c r="J373" s="31"/>
      <c r="K373" s="19"/>
      <c r="L373" s="19"/>
      <c r="M373" s="19"/>
      <c r="N373" s="31"/>
      <c r="O373" s="31"/>
      <c r="P373" s="19"/>
      <c r="Q373" s="19"/>
    </row>
    <row r="374" spans="1:17" ht="46.5" customHeight="1" x14ac:dyDescent="0.7">
      <c r="A374" s="19"/>
      <c r="B374" s="19"/>
      <c r="C374" s="19"/>
      <c r="D374" s="31"/>
      <c r="E374" s="31"/>
      <c r="F374" s="31"/>
      <c r="G374" s="31"/>
      <c r="H374" s="31"/>
      <c r="I374" s="31"/>
      <c r="J374" s="31"/>
      <c r="K374" s="19"/>
      <c r="L374" s="19"/>
      <c r="M374" s="19"/>
      <c r="N374" s="31"/>
      <c r="O374" s="31"/>
      <c r="P374" s="19"/>
      <c r="Q374" s="19"/>
    </row>
    <row r="375" spans="1:17" ht="46.5" customHeight="1" x14ac:dyDescent="0.7">
      <c r="A375" s="19"/>
      <c r="B375" s="19"/>
      <c r="C375" s="19"/>
      <c r="D375" s="31"/>
      <c r="E375" s="31"/>
      <c r="F375" s="31"/>
      <c r="G375" s="31"/>
      <c r="H375" s="31"/>
      <c r="I375" s="31"/>
      <c r="J375" s="31"/>
      <c r="K375" s="19"/>
      <c r="L375" s="19"/>
      <c r="M375" s="19"/>
      <c r="N375" s="31"/>
      <c r="O375" s="31"/>
      <c r="P375" s="19"/>
      <c r="Q375" s="19"/>
    </row>
    <row r="376" spans="1:17" ht="46.5" customHeight="1" x14ac:dyDescent="0.7">
      <c r="A376" s="19"/>
      <c r="B376" s="19"/>
      <c r="C376" s="19"/>
      <c r="D376" s="31"/>
      <c r="E376" s="31"/>
      <c r="F376" s="31"/>
      <c r="G376" s="31"/>
      <c r="H376" s="31"/>
      <c r="I376" s="31"/>
      <c r="J376" s="31"/>
      <c r="K376" s="19"/>
      <c r="L376" s="19"/>
      <c r="M376" s="19"/>
      <c r="N376" s="31"/>
      <c r="O376" s="31"/>
      <c r="P376" s="19"/>
      <c r="Q376" s="19"/>
    </row>
    <row r="377" spans="1:17" ht="46.5" customHeight="1" x14ac:dyDescent="0.7">
      <c r="A377" s="19"/>
      <c r="B377" s="19"/>
      <c r="C377" s="19"/>
      <c r="D377" s="31"/>
      <c r="E377" s="31"/>
      <c r="F377" s="31"/>
      <c r="G377" s="31"/>
      <c r="H377" s="31"/>
      <c r="I377" s="31"/>
      <c r="J377" s="31"/>
      <c r="K377" s="19"/>
      <c r="L377" s="19"/>
      <c r="M377" s="19"/>
      <c r="N377" s="31"/>
      <c r="O377" s="31"/>
      <c r="P377" s="19"/>
      <c r="Q377" s="19"/>
    </row>
    <row r="378" spans="1:17" ht="46.5" customHeight="1" x14ac:dyDescent="0.7">
      <c r="A378" s="19"/>
      <c r="B378" s="19"/>
      <c r="C378" s="19"/>
      <c r="D378" s="31"/>
      <c r="E378" s="31"/>
      <c r="F378" s="31"/>
      <c r="G378" s="31"/>
      <c r="H378" s="31"/>
      <c r="I378" s="31"/>
      <c r="J378" s="31"/>
      <c r="K378" s="19"/>
      <c r="L378" s="19"/>
      <c r="M378" s="19"/>
      <c r="N378" s="31"/>
      <c r="O378" s="31"/>
      <c r="P378" s="19"/>
      <c r="Q378" s="19"/>
    </row>
    <row r="379" spans="1:17" ht="46.5" customHeight="1" x14ac:dyDescent="0.7">
      <c r="A379" s="19"/>
      <c r="B379" s="19"/>
      <c r="C379" s="19"/>
      <c r="D379" s="31"/>
      <c r="E379" s="31"/>
      <c r="F379" s="31"/>
      <c r="G379" s="31"/>
      <c r="H379" s="31"/>
      <c r="I379" s="31"/>
      <c r="J379" s="31"/>
      <c r="K379" s="19"/>
      <c r="L379" s="19"/>
      <c r="M379" s="19"/>
      <c r="N379" s="31"/>
      <c r="O379" s="31"/>
      <c r="P379" s="19"/>
      <c r="Q379" s="19"/>
    </row>
    <row r="380" spans="1:17" ht="46.5" customHeight="1" x14ac:dyDescent="0.7">
      <c r="A380" s="19"/>
      <c r="B380" s="19"/>
      <c r="C380" s="19"/>
      <c r="D380" s="31"/>
      <c r="E380" s="31"/>
      <c r="F380" s="31"/>
      <c r="G380" s="31"/>
      <c r="H380" s="31"/>
      <c r="I380" s="31"/>
      <c r="J380" s="31"/>
      <c r="K380" s="19"/>
      <c r="L380" s="19"/>
      <c r="M380" s="19"/>
      <c r="N380" s="31"/>
      <c r="O380" s="31"/>
      <c r="P380" s="19"/>
      <c r="Q380" s="19"/>
    </row>
    <row r="381" spans="1:17" ht="46.5" customHeight="1" x14ac:dyDescent="0.7">
      <c r="A381" s="19"/>
      <c r="B381" s="19"/>
      <c r="C381" s="19"/>
      <c r="D381" s="31"/>
      <c r="E381" s="31"/>
      <c r="F381" s="31"/>
      <c r="G381" s="31"/>
      <c r="H381" s="31"/>
      <c r="I381" s="31"/>
      <c r="J381" s="31"/>
      <c r="K381" s="19"/>
      <c r="L381" s="19"/>
      <c r="M381" s="19"/>
      <c r="N381" s="31"/>
      <c r="O381" s="31"/>
      <c r="P381" s="19"/>
      <c r="Q381" s="19"/>
    </row>
    <row r="382" spans="1:17" ht="46.5" customHeight="1" x14ac:dyDescent="0.7">
      <c r="A382" s="19"/>
      <c r="B382" s="19"/>
      <c r="C382" s="19"/>
      <c r="D382" s="31"/>
      <c r="E382" s="31"/>
      <c r="F382" s="31"/>
      <c r="G382" s="31"/>
      <c r="H382" s="31"/>
      <c r="I382" s="31"/>
      <c r="J382" s="31"/>
      <c r="K382" s="19"/>
      <c r="L382" s="19"/>
      <c r="M382" s="19"/>
      <c r="N382" s="31"/>
      <c r="O382" s="31"/>
      <c r="P382" s="19"/>
      <c r="Q382" s="19"/>
    </row>
    <row r="383" spans="1:17" ht="46.5" customHeight="1" x14ac:dyDescent="0.7">
      <c r="A383" s="19"/>
      <c r="B383" s="19"/>
      <c r="C383" s="19"/>
      <c r="D383" s="31"/>
      <c r="E383" s="31"/>
      <c r="F383" s="31"/>
      <c r="G383" s="31"/>
      <c r="H383" s="31"/>
      <c r="I383" s="31"/>
      <c r="J383" s="31"/>
      <c r="K383" s="19"/>
      <c r="L383" s="19"/>
      <c r="M383" s="19"/>
      <c r="N383" s="31"/>
      <c r="O383" s="31"/>
      <c r="P383" s="19"/>
      <c r="Q383" s="19"/>
    </row>
    <row r="384" spans="1:17" ht="46.5" customHeight="1" x14ac:dyDescent="0.7">
      <c r="A384" s="19"/>
      <c r="B384" s="19"/>
      <c r="C384" s="19"/>
      <c r="D384" s="31"/>
      <c r="E384" s="31"/>
      <c r="F384" s="31"/>
      <c r="G384" s="31"/>
      <c r="H384" s="31"/>
      <c r="I384" s="31"/>
      <c r="J384" s="31"/>
      <c r="K384" s="19"/>
      <c r="L384" s="19"/>
      <c r="M384" s="19"/>
      <c r="N384" s="31"/>
      <c r="O384" s="31"/>
      <c r="P384" s="19"/>
      <c r="Q384" s="19"/>
    </row>
    <row r="385" spans="1:17" ht="46.5" customHeight="1" x14ac:dyDescent="0.7">
      <c r="A385" s="19"/>
      <c r="B385" s="19"/>
      <c r="C385" s="19"/>
      <c r="D385" s="31"/>
      <c r="E385" s="31"/>
      <c r="F385" s="31"/>
      <c r="G385" s="31"/>
      <c r="H385" s="31"/>
      <c r="I385" s="31"/>
      <c r="J385" s="31"/>
      <c r="K385" s="19"/>
      <c r="L385" s="19"/>
      <c r="M385" s="19"/>
      <c r="N385" s="31"/>
      <c r="O385" s="31"/>
      <c r="P385" s="19"/>
      <c r="Q385" s="19"/>
    </row>
    <row r="386" spans="1:17" ht="46.5" customHeight="1" x14ac:dyDescent="0.7">
      <c r="A386" s="19"/>
      <c r="B386" s="19"/>
      <c r="C386" s="19"/>
      <c r="D386" s="31"/>
      <c r="E386" s="31"/>
      <c r="F386" s="31"/>
      <c r="G386" s="31"/>
      <c r="H386" s="31"/>
      <c r="I386" s="31"/>
      <c r="J386" s="31"/>
      <c r="K386" s="19"/>
      <c r="L386" s="19"/>
      <c r="M386" s="19"/>
      <c r="N386" s="31"/>
      <c r="O386" s="31"/>
      <c r="P386" s="19"/>
      <c r="Q386" s="19"/>
    </row>
    <row r="387" spans="1:17" ht="46.5" customHeight="1" x14ac:dyDescent="0.7">
      <c r="A387" s="19"/>
      <c r="B387" s="19"/>
      <c r="C387" s="19"/>
      <c r="D387" s="31"/>
      <c r="E387" s="31"/>
      <c r="F387" s="31"/>
      <c r="G387" s="31"/>
      <c r="H387" s="31"/>
      <c r="I387" s="31"/>
      <c r="J387" s="31"/>
      <c r="K387" s="19"/>
      <c r="L387" s="19"/>
      <c r="M387" s="19"/>
      <c r="N387" s="31"/>
      <c r="O387" s="31"/>
      <c r="P387" s="19"/>
      <c r="Q387" s="19"/>
    </row>
    <row r="388" spans="1:17" ht="46.5" customHeight="1" x14ac:dyDescent="0.7">
      <c r="A388" s="19"/>
      <c r="B388" s="19"/>
      <c r="C388" s="19"/>
      <c r="D388" s="31"/>
      <c r="E388" s="31"/>
      <c r="F388" s="31"/>
      <c r="G388" s="31"/>
      <c r="H388" s="31"/>
      <c r="I388" s="31"/>
      <c r="J388" s="31"/>
      <c r="K388" s="19"/>
      <c r="L388" s="19"/>
      <c r="M388" s="19"/>
      <c r="N388" s="31"/>
      <c r="O388" s="31"/>
      <c r="P388" s="19"/>
      <c r="Q388" s="19"/>
    </row>
    <row r="389" spans="1:17" ht="46.5" customHeight="1" x14ac:dyDescent="0.7">
      <c r="A389" s="19"/>
      <c r="B389" s="19"/>
      <c r="C389" s="19"/>
      <c r="D389" s="31"/>
      <c r="E389" s="31"/>
      <c r="F389" s="31"/>
      <c r="G389" s="31"/>
      <c r="H389" s="31"/>
      <c r="I389" s="31"/>
      <c r="J389" s="31"/>
      <c r="K389" s="19"/>
      <c r="L389" s="19"/>
      <c r="M389" s="19"/>
      <c r="N389" s="31"/>
      <c r="O389" s="31"/>
      <c r="P389" s="19"/>
      <c r="Q389" s="19"/>
    </row>
    <row r="390" spans="1:17" ht="46.5" customHeight="1" x14ac:dyDescent="0.7">
      <c r="A390" s="19"/>
      <c r="B390" s="19"/>
      <c r="C390" s="19"/>
      <c r="D390" s="31"/>
      <c r="E390" s="31"/>
      <c r="F390" s="31"/>
      <c r="G390" s="31"/>
      <c r="H390" s="31"/>
      <c r="I390" s="31"/>
      <c r="J390" s="31"/>
      <c r="K390" s="19"/>
      <c r="L390" s="19"/>
      <c r="M390" s="19"/>
      <c r="N390" s="31"/>
      <c r="O390" s="31"/>
      <c r="P390" s="19"/>
      <c r="Q390" s="19"/>
    </row>
    <row r="391" spans="1:17" ht="46.5" customHeight="1" x14ac:dyDescent="0.7">
      <c r="A391" s="19"/>
      <c r="B391" s="19"/>
      <c r="C391" s="19"/>
      <c r="D391" s="31"/>
      <c r="E391" s="31"/>
      <c r="F391" s="31"/>
      <c r="G391" s="31"/>
      <c r="H391" s="31"/>
      <c r="I391" s="31"/>
      <c r="J391" s="31"/>
      <c r="K391" s="19"/>
      <c r="L391" s="19"/>
      <c r="M391" s="19"/>
      <c r="N391" s="31"/>
      <c r="O391" s="31"/>
      <c r="P391" s="19"/>
      <c r="Q391" s="19"/>
    </row>
    <row r="392" spans="1:17" ht="46.5" customHeight="1" x14ac:dyDescent="0.7">
      <c r="A392" s="19"/>
      <c r="B392" s="19"/>
      <c r="C392" s="19"/>
      <c r="D392" s="31"/>
      <c r="E392" s="31"/>
      <c r="F392" s="31"/>
      <c r="G392" s="31"/>
      <c r="H392" s="31"/>
      <c r="I392" s="31"/>
      <c r="J392" s="31"/>
      <c r="K392" s="19"/>
      <c r="L392" s="19"/>
      <c r="M392" s="19"/>
      <c r="N392" s="31"/>
      <c r="O392" s="31"/>
      <c r="P392" s="19"/>
      <c r="Q392" s="19"/>
    </row>
    <row r="393" spans="1:17" ht="46.5" customHeight="1" x14ac:dyDescent="0.7">
      <c r="A393" s="19"/>
      <c r="B393" s="19"/>
      <c r="C393" s="19"/>
      <c r="D393" s="31"/>
      <c r="E393" s="31"/>
      <c r="F393" s="31"/>
      <c r="G393" s="31"/>
      <c r="H393" s="31"/>
      <c r="I393" s="31"/>
      <c r="J393" s="31"/>
      <c r="K393" s="19"/>
      <c r="L393" s="19"/>
      <c r="M393" s="19"/>
      <c r="N393" s="31"/>
      <c r="O393" s="31"/>
      <c r="P393" s="19"/>
      <c r="Q393" s="19"/>
    </row>
    <row r="394" spans="1:17" ht="46.5" customHeight="1" x14ac:dyDescent="0.7">
      <c r="A394" s="19"/>
      <c r="B394" s="19"/>
      <c r="C394" s="19"/>
      <c r="D394" s="31"/>
      <c r="E394" s="31"/>
      <c r="F394" s="31"/>
      <c r="G394" s="31"/>
      <c r="H394" s="31"/>
      <c r="I394" s="31"/>
      <c r="J394" s="31"/>
      <c r="K394" s="19"/>
      <c r="L394" s="19"/>
      <c r="M394" s="19"/>
      <c r="N394" s="31"/>
      <c r="O394" s="31"/>
      <c r="P394" s="19"/>
      <c r="Q394" s="19"/>
    </row>
    <row r="395" spans="1:17" ht="46.5" customHeight="1" x14ac:dyDescent="0.7">
      <c r="A395" s="19"/>
      <c r="B395" s="19"/>
      <c r="C395" s="19"/>
      <c r="D395" s="31"/>
      <c r="E395" s="31"/>
      <c r="F395" s="31"/>
      <c r="G395" s="31"/>
      <c r="H395" s="31"/>
      <c r="I395" s="31"/>
      <c r="J395" s="31"/>
      <c r="K395" s="19"/>
      <c r="L395" s="19"/>
      <c r="M395" s="19"/>
      <c r="N395" s="31"/>
      <c r="O395" s="31"/>
      <c r="P395" s="19"/>
      <c r="Q395" s="19"/>
    </row>
    <row r="396" spans="1:17" ht="46.5" customHeight="1" x14ac:dyDescent="0.7">
      <c r="A396" s="19"/>
      <c r="B396" s="19"/>
      <c r="C396" s="19"/>
      <c r="D396" s="31"/>
      <c r="E396" s="31"/>
      <c r="F396" s="31"/>
      <c r="G396" s="31"/>
      <c r="H396" s="31"/>
      <c r="I396" s="31"/>
      <c r="J396" s="31"/>
      <c r="K396" s="19"/>
      <c r="L396" s="19"/>
      <c r="M396" s="19"/>
      <c r="N396" s="31"/>
      <c r="O396" s="31"/>
      <c r="P396" s="19"/>
      <c r="Q396" s="19"/>
    </row>
    <row r="397" spans="1:17" ht="46.5" customHeight="1" x14ac:dyDescent="0.7">
      <c r="A397" s="19"/>
      <c r="B397" s="19"/>
      <c r="C397" s="19"/>
      <c r="D397" s="31"/>
      <c r="E397" s="31"/>
      <c r="F397" s="31"/>
      <c r="G397" s="31"/>
      <c r="H397" s="31"/>
      <c r="I397" s="31"/>
      <c r="J397" s="31"/>
      <c r="K397" s="19"/>
      <c r="L397" s="19"/>
      <c r="M397" s="19"/>
      <c r="N397" s="31"/>
      <c r="O397" s="31"/>
      <c r="P397" s="19"/>
      <c r="Q397" s="19"/>
    </row>
    <row r="398" spans="1:17" ht="46.5" customHeight="1" x14ac:dyDescent="0.7">
      <c r="A398" s="19"/>
      <c r="B398" s="19"/>
      <c r="C398" s="19"/>
      <c r="D398" s="31"/>
      <c r="E398" s="31"/>
      <c r="F398" s="31"/>
      <c r="G398" s="31"/>
      <c r="H398" s="31"/>
      <c r="I398" s="31"/>
      <c r="J398" s="31"/>
      <c r="K398" s="19"/>
      <c r="L398" s="19"/>
      <c r="M398" s="19"/>
      <c r="N398" s="31"/>
      <c r="O398" s="31"/>
      <c r="P398" s="19"/>
      <c r="Q398" s="19"/>
    </row>
    <row r="399" spans="1:17" ht="46.5" customHeight="1" x14ac:dyDescent="0.7">
      <c r="A399" s="19"/>
      <c r="B399" s="19"/>
      <c r="C399" s="19"/>
      <c r="D399" s="31"/>
      <c r="E399" s="31"/>
      <c r="F399" s="31"/>
      <c r="G399" s="31"/>
      <c r="H399" s="31"/>
      <c r="I399" s="31"/>
      <c r="J399" s="31"/>
      <c r="K399" s="19"/>
      <c r="L399" s="19"/>
      <c r="M399" s="19"/>
      <c r="N399" s="31"/>
      <c r="O399" s="31"/>
      <c r="P399" s="19"/>
      <c r="Q399" s="19"/>
    </row>
    <row r="400" spans="1:17" ht="46.5" customHeight="1" x14ac:dyDescent="0.7">
      <c r="A400" s="19"/>
      <c r="B400" s="19"/>
      <c r="C400" s="19"/>
      <c r="D400" s="31"/>
      <c r="E400" s="31"/>
      <c r="F400" s="31"/>
      <c r="G400" s="31"/>
      <c r="H400" s="31"/>
      <c r="I400" s="31"/>
      <c r="J400" s="31"/>
      <c r="K400" s="19"/>
      <c r="L400" s="19"/>
      <c r="M400" s="19"/>
      <c r="N400" s="31"/>
      <c r="O400" s="31"/>
      <c r="P400" s="19"/>
      <c r="Q400" s="19"/>
    </row>
    <row r="401" spans="1:17" ht="46.5" customHeight="1" x14ac:dyDescent="0.7">
      <c r="A401" s="19"/>
      <c r="B401" s="19"/>
      <c r="C401" s="19"/>
      <c r="D401" s="31"/>
      <c r="E401" s="31"/>
      <c r="F401" s="31"/>
      <c r="G401" s="31"/>
      <c r="H401" s="31"/>
      <c r="I401" s="31"/>
      <c r="J401" s="31"/>
      <c r="K401" s="19"/>
      <c r="L401" s="19"/>
      <c r="M401" s="19"/>
      <c r="N401" s="31"/>
      <c r="O401" s="31"/>
      <c r="P401" s="19"/>
      <c r="Q401" s="19"/>
    </row>
    <row r="402" spans="1:17" ht="46.5" customHeight="1" x14ac:dyDescent="0.7">
      <c r="A402" s="19"/>
      <c r="B402" s="19"/>
      <c r="C402" s="19"/>
      <c r="D402" s="31"/>
      <c r="E402" s="31"/>
      <c r="F402" s="31"/>
      <c r="G402" s="31"/>
      <c r="H402" s="31"/>
      <c r="I402" s="31"/>
      <c r="J402" s="31"/>
      <c r="K402" s="19"/>
      <c r="L402" s="19"/>
      <c r="M402" s="19"/>
      <c r="N402" s="31"/>
      <c r="O402" s="31"/>
      <c r="P402" s="19"/>
      <c r="Q402" s="19"/>
    </row>
    <row r="403" spans="1:17" ht="46.5" customHeight="1" x14ac:dyDescent="0.7">
      <c r="A403" s="19"/>
      <c r="B403" s="19"/>
      <c r="C403" s="19"/>
      <c r="D403" s="31"/>
      <c r="E403" s="31"/>
      <c r="F403" s="31"/>
      <c r="G403" s="31"/>
      <c r="H403" s="31"/>
      <c r="I403" s="31"/>
      <c r="J403" s="31"/>
      <c r="K403" s="19"/>
      <c r="L403" s="19"/>
      <c r="M403" s="19"/>
      <c r="N403" s="31"/>
      <c r="O403" s="31"/>
      <c r="P403" s="19"/>
      <c r="Q403" s="19"/>
    </row>
    <row r="404" spans="1:17" ht="46.5" customHeight="1" x14ac:dyDescent="0.7">
      <c r="A404" s="19"/>
      <c r="B404" s="19"/>
      <c r="C404" s="19"/>
      <c r="D404" s="31"/>
      <c r="E404" s="31"/>
      <c r="F404" s="31"/>
      <c r="G404" s="31"/>
      <c r="H404" s="31"/>
      <c r="I404" s="31"/>
      <c r="J404" s="31"/>
      <c r="K404" s="19"/>
      <c r="L404" s="19"/>
      <c r="M404" s="19"/>
      <c r="N404" s="31"/>
      <c r="O404" s="31"/>
      <c r="P404" s="19"/>
      <c r="Q404" s="19"/>
    </row>
    <row r="405" spans="1:17" ht="46.5" customHeight="1" x14ac:dyDescent="0.7">
      <c r="A405" s="19"/>
      <c r="B405" s="19"/>
      <c r="C405" s="19"/>
      <c r="D405" s="31"/>
      <c r="E405" s="31"/>
      <c r="F405" s="31"/>
      <c r="G405" s="31"/>
      <c r="H405" s="31"/>
      <c r="I405" s="31"/>
      <c r="J405" s="31"/>
      <c r="K405" s="19"/>
      <c r="L405" s="19"/>
      <c r="M405" s="19"/>
      <c r="N405" s="31"/>
      <c r="O405" s="31"/>
      <c r="P405" s="19"/>
      <c r="Q405" s="19"/>
    </row>
    <row r="406" spans="1:17" ht="46.5" customHeight="1" x14ac:dyDescent="0.7">
      <c r="A406" s="19"/>
      <c r="B406" s="19"/>
      <c r="C406" s="19"/>
      <c r="D406" s="31"/>
      <c r="E406" s="31"/>
      <c r="F406" s="31"/>
      <c r="G406" s="31"/>
      <c r="H406" s="31"/>
      <c r="I406" s="31"/>
      <c r="J406" s="31"/>
      <c r="K406" s="19"/>
      <c r="L406" s="19"/>
      <c r="M406" s="19"/>
      <c r="N406" s="31"/>
      <c r="O406" s="31"/>
      <c r="P406" s="19"/>
      <c r="Q406" s="19"/>
    </row>
    <row r="407" spans="1:17" ht="46.5" customHeight="1" x14ac:dyDescent="0.7">
      <c r="A407" s="19"/>
      <c r="B407" s="19"/>
      <c r="C407" s="19"/>
      <c r="D407" s="31"/>
      <c r="E407" s="31"/>
      <c r="F407" s="31"/>
      <c r="G407" s="31"/>
      <c r="H407" s="31"/>
      <c r="I407" s="31"/>
      <c r="J407" s="31"/>
      <c r="K407" s="19"/>
      <c r="L407" s="19"/>
      <c r="M407" s="19"/>
      <c r="N407" s="31"/>
      <c r="O407" s="31"/>
      <c r="P407" s="19"/>
      <c r="Q407" s="19"/>
    </row>
    <row r="408" spans="1:17" ht="46.5" customHeight="1" x14ac:dyDescent="0.7">
      <c r="A408" s="19"/>
      <c r="B408" s="19"/>
      <c r="C408" s="19"/>
      <c r="D408" s="31"/>
      <c r="E408" s="31"/>
      <c r="F408" s="31"/>
      <c r="G408" s="31"/>
      <c r="H408" s="31"/>
      <c r="I408" s="31"/>
      <c r="J408" s="31"/>
      <c r="K408" s="19"/>
      <c r="L408" s="19"/>
      <c r="M408" s="19"/>
      <c r="N408" s="31"/>
      <c r="O408" s="31"/>
      <c r="P408" s="19"/>
      <c r="Q408" s="19"/>
    </row>
    <row r="409" spans="1:17" ht="46.5" customHeight="1" x14ac:dyDescent="0.7">
      <c r="A409" s="19"/>
      <c r="B409" s="19"/>
      <c r="C409" s="19"/>
      <c r="D409" s="31"/>
      <c r="E409" s="31"/>
      <c r="F409" s="31"/>
      <c r="G409" s="31"/>
      <c r="H409" s="31"/>
      <c r="I409" s="31"/>
      <c r="J409" s="31"/>
      <c r="K409" s="19"/>
      <c r="L409" s="19"/>
      <c r="M409" s="19"/>
      <c r="N409" s="31"/>
      <c r="O409" s="31"/>
      <c r="P409" s="19"/>
      <c r="Q409" s="19"/>
    </row>
    <row r="410" spans="1:17" ht="46.5" customHeight="1" x14ac:dyDescent="0.7">
      <c r="A410" s="19"/>
      <c r="B410" s="19"/>
      <c r="C410" s="19"/>
      <c r="D410" s="31"/>
      <c r="E410" s="31"/>
      <c r="F410" s="31"/>
      <c r="G410" s="31"/>
      <c r="H410" s="31"/>
      <c r="I410" s="31"/>
      <c r="J410" s="31"/>
      <c r="K410" s="19"/>
      <c r="L410" s="19"/>
      <c r="M410" s="19"/>
      <c r="N410" s="31"/>
      <c r="O410" s="31"/>
      <c r="P410" s="19"/>
      <c r="Q410" s="19"/>
    </row>
    <row r="411" spans="1:17" ht="46.5" customHeight="1" x14ac:dyDescent="0.7">
      <c r="A411" s="19"/>
      <c r="B411" s="19"/>
      <c r="C411" s="19"/>
      <c r="D411" s="31"/>
      <c r="E411" s="31"/>
      <c r="F411" s="31"/>
      <c r="G411" s="31"/>
      <c r="H411" s="31"/>
      <c r="I411" s="31"/>
      <c r="J411" s="31"/>
      <c r="K411" s="19"/>
      <c r="L411" s="19"/>
      <c r="M411" s="19"/>
      <c r="N411" s="31"/>
      <c r="O411" s="31"/>
      <c r="P411" s="19"/>
      <c r="Q411" s="19"/>
    </row>
    <row r="412" spans="1:17" ht="46.5" customHeight="1" x14ac:dyDescent="0.7">
      <c r="A412" s="19"/>
      <c r="B412" s="19"/>
      <c r="C412" s="19"/>
      <c r="D412" s="31"/>
      <c r="E412" s="31"/>
      <c r="F412" s="31"/>
      <c r="G412" s="31"/>
      <c r="H412" s="31"/>
      <c r="I412" s="31"/>
      <c r="J412" s="31"/>
      <c r="K412" s="19"/>
      <c r="L412" s="19"/>
      <c r="M412" s="19"/>
      <c r="N412" s="31"/>
      <c r="O412" s="31"/>
      <c r="P412" s="19"/>
      <c r="Q412" s="19"/>
    </row>
    <row r="413" spans="1:17" ht="46.5" customHeight="1" x14ac:dyDescent="0.7">
      <c r="A413" s="19"/>
      <c r="B413" s="19"/>
      <c r="C413" s="19"/>
      <c r="D413" s="31"/>
      <c r="E413" s="31"/>
      <c r="F413" s="31"/>
      <c r="G413" s="31"/>
      <c r="H413" s="31"/>
      <c r="I413" s="31"/>
      <c r="J413" s="31"/>
      <c r="K413" s="19"/>
      <c r="L413" s="19"/>
      <c r="M413" s="19"/>
      <c r="N413" s="31"/>
      <c r="O413" s="31"/>
      <c r="P413" s="19"/>
      <c r="Q413" s="19"/>
    </row>
    <row r="414" spans="1:17" ht="46.5" customHeight="1" x14ac:dyDescent="0.7">
      <c r="A414" s="19"/>
      <c r="B414" s="19"/>
      <c r="C414" s="19"/>
      <c r="D414" s="31"/>
      <c r="E414" s="31"/>
      <c r="F414" s="31"/>
      <c r="G414" s="31"/>
      <c r="H414" s="31"/>
      <c r="I414" s="31"/>
      <c r="J414" s="31"/>
      <c r="K414" s="19"/>
      <c r="L414" s="19"/>
      <c r="M414" s="19"/>
      <c r="N414" s="31"/>
      <c r="O414" s="31"/>
      <c r="P414" s="19"/>
      <c r="Q414" s="19"/>
    </row>
    <row r="415" spans="1:17" ht="46.5" customHeight="1" x14ac:dyDescent="0.7">
      <c r="A415" s="19"/>
      <c r="B415" s="19"/>
      <c r="C415" s="19"/>
      <c r="D415" s="31"/>
      <c r="E415" s="31"/>
      <c r="F415" s="31"/>
      <c r="G415" s="31"/>
      <c r="H415" s="31"/>
      <c r="I415" s="31"/>
      <c r="J415" s="31"/>
      <c r="K415" s="19"/>
      <c r="L415" s="19"/>
      <c r="M415" s="19"/>
      <c r="N415" s="31"/>
      <c r="O415" s="31"/>
      <c r="P415" s="19"/>
      <c r="Q415" s="19"/>
    </row>
    <row r="416" spans="1:17" ht="46.5" customHeight="1" x14ac:dyDescent="0.7">
      <c r="A416" s="19"/>
      <c r="B416" s="19"/>
      <c r="C416" s="19"/>
      <c r="D416" s="31"/>
      <c r="E416" s="31"/>
      <c r="F416" s="31"/>
      <c r="G416" s="31"/>
      <c r="H416" s="31"/>
      <c r="I416" s="31"/>
      <c r="J416" s="31"/>
      <c r="K416" s="19"/>
      <c r="L416" s="19"/>
      <c r="M416" s="19"/>
      <c r="N416" s="31"/>
      <c r="O416" s="31"/>
      <c r="P416" s="19"/>
      <c r="Q416" s="19"/>
    </row>
    <row r="417" spans="1:17" ht="46.5" customHeight="1" x14ac:dyDescent="0.7">
      <c r="A417" s="19"/>
      <c r="B417" s="19"/>
      <c r="C417" s="19"/>
      <c r="D417" s="31"/>
      <c r="E417" s="31"/>
      <c r="F417" s="31"/>
      <c r="G417" s="31"/>
      <c r="H417" s="31"/>
      <c r="I417" s="31"/>
      <c r="J417" s="31"/>
      <c r="K417" s="19"/>
      <c r="L417" s="19"/>
      <c r="M417" s="19"/>
      <c r="N417" s="31"/>
      <c r="O417" s="31"/>
      <c r="P417" s="19"/>
      <c r="Q417" s="19"/>
    </row>
    <row r="418" spans="1:17" ht="46.5" customHeight="1" x14ac:dyDescent="0.7">
      <c r="A418" s="19"/>
      <c r="B418" s="19"/>
      <c r="C418" s="19"/>
      <c r="D418" s="31"/>
      <c r="E418" s="31"/>
      <c r="F418" s="31"/>
      <c r="G418" s="31"/>
      <c r="H418" s="31"/>
      <c r="I418" s="31"/>
      <c r="J418" s="31"/>
      <c r="K418" s="19"/>
      <c r="L418" s="19"/>
      <c r="M418" s="19"/>
      <c r="N418" s="31"/>
      <c r="O418" s="31"/>
      <c r="P418" s="19"/>
      <c r="Q418" s="19"/>
    </row>
    <row r="419" spans="1:17" ht="46.5" customHeight="1" x14ac:dyDescent="0.7">
      <c r="A419" s="19"/>
      <c r="B419" s="19"/>
      <c r="C419" s="19"/>
      <c r="D419" s="31"/>
      <c r="E419" s="31"/>
      <c r="F419" s="31"/>
      <c r="G419" s="31"/>
      <c r="H419" s="31"/>
      <c r="I419" s="31"/>
      <c r="J419" s="31"/>
      <c r="K419" s="19"/>
      <c r="L419" s="19"/>
      <c r="M419" s="19"/>
      <c r="N419" s="31"/>
      <c r="O419" s="31"/>
      <c r="P419" s="19"/>
      <c r="Q419" s="19"/>
    </row>
    <row r="420" spans="1:17" ht="46.5" customHeight="1" x14ac:dyDescent="0.7">
      <c r="A420" s="19"/>
      <c r="B420" s="19"/>
      <c r="C420" s="19"/>
      <c r="D420" s="31"/>
      <c r="E420" s="31"/>
      <c r="F420" s="31"/>
      <c r="G420" s="31"/>
      <c r="H420" s="31"/>
      <c r="I420" s="31"/>
      <c r="J420" s="31"/>
      <c r="K420" s="19"/>
      <c r="L420" s="19"/>
      <c r="M420" s="19"/>
      <c r="N420" s="31"/>
      <c r="O420" s="31"/>
      <c r="P420" s="19"/>
      <c r="Q420" s="19"/>
    </row>
    <row r="421" spans="1:17" ht="46.5" customHeight="1" x14ac:dyDescent="0.7">
      <c r="A421" s="19"/>
      <c r="B421" s="19"/>
      <c r="C421" s="19"/>
      <c r="D421" s="31"/>
      <c r="E421" s="31"/>
      <c r="F421" s="31"/>
      <c r="G421" s="31"/>
      <c r="H421" s="31"/>
      <c r="I421" s="31"/>
      <c r="J421" s="31"/>
      <c r="K421" s="19"/>
      <c r="L421" s="19"/>
      <c r="M421" s="19"/>
      <c r="N421" s="31"/>
      <c r="O421" s="31"/>
      <c r="P421" s="19"/>
      <c r="Q421" s="19"/>
    </row>
    <row r="422" spans="1:17" ht="46.5" customHeight="1" x14ac:dyDescent="0.7">
      <c r="A422" s="19"/>
      <c r="B422" s="19"/>
      <c r="C422" s="19"/>
      <c r="D422" s="31"/>
      <c r="E422" s="31"/>
      <c r="F422" s="31"/>
      <c r="G422" s="31"/>
      <c r="H422" s="31"/>
      <c r="I422" s="31"/>
      <c r="J422" s="31"/>
      <c r="K422" s="19"/>
      <c r="L422" s="19"/>
      <c r="M422" s="19"/>
      <c r="N422" s="31"/>
      <c r="O422" s="31"/>
      <c r="P422" s="19"/>
      <c r="Q422" s="19"/>
    </row>
    <row r="423" spans="1:17" ht="46.5" customHeight="1" x14ac:dyDescent="0.7">
      <c r="A423" s="19"/>
      <c r="B423" s="19"/>
      <c r="C423" s="19"/>
      <c r="D423" s="31"/>
      <c r="E423" s="31"/>
      <c r="F423" s="31"/>
      <c r="G423" s="31"/>
      <c r="H423" s="31"/>
      <c r="I423" s="31"/>
      <c r="J423" s="31"/>
      <c r="K423" s="19"/>
      <c r="L423" s="19"/>
      <c r="M423" s="19"/>
      <c r="N423" s="31"/>
      <c r="O423" s="31"/>
      <c r="P423" s="19"/>
      <c r="Q423" s="19"/>
    </row>
    <row r="424" spans="1:17" ht="46.5" customHeight="1" x14ac:dyDescent="0.7">
      <c r="A424" s="19"/>
      <c r="B424" s="19"/>
      <c r="C424" s="19"/>
      <c r="D424" s="31"/>
      <c r="E424" s="31"/>
      <c r="F424" s="31"/>
      <c r="G424" s="31"/>
      <c r="H424" s="31"/>
      <c r="I424" s="31"/>
      <c r="J424" s="31"/>
      <c r="K424" s="19"/>
      <c r="L424" s="19"/>
      <c r="M424" s="19"/>
      <c r="N424" s="31"/>
      <c r="O424" s="31"/>
      <c r="P424" s="19"/>
      <c r="Q424" s="19"/>
    </row>
    <row r="425" spans="1:17" ht="46.5" customHeight="1" x14ac:dyDescent="0.7">
      <c r="A425" s="19"/>
      <c r="B425" s="19"/>
      <c r="C425" s="19"/>
      <c r="D425" s="31"/>
      <c r="E425" s="31"/>
      <c r="F425" s="31"/>
      <c r="G425" s="31"/>
      <c r="H425" s="31"/>
      <c r="I425" s="31"/>
      <c r="J425" s="31"/>
      <c r="K425" s="19"/>
      <c r="L425" s="19"/>
      <c r="M425" s="19"/>
      <c r="N425" s="31"/>
      <c r="O425" s="31"/>
      <c r="P425" s="19"/>
      <c r="Q425" s="19"/>
    </row>
    <row r="426" spans="1:17" ht="46.5" customHeight="1" x14ac:dyDescent="0.7">
      <c r="A426" s="19"/>
      <c r="B426" s="19"/>
      <c r="C426" s="19"/>
      <c r="D426" s="31"/>
      <c r="E426" s="31"/>
      <c r="F426" s="31"/>
      <c r="G426" s="31"/>
      <c r="H426" s="31"/>
      <c r="I426" s="31"/>
      <c r="J426" s="31"/>
      <c r="K426" s="19"/>
      <c r="L426" s="19"/>
      <c r="M426" s="19"/>
      <c r="N426" s="31"/>
      <c r="O426" s="31"/>
      <c r="P426" s="19"/>
      <c r="Q426" s="19"/>
    </row>
    <row r="427" spans="1:17" ht="46.5" customHeight="1" x14ac:dyDescent="0.7">
      <c r="A427" s="19"/>
      <c r="B427" s="19"/>
      <c r="C427" s="19"/>
      <c r="D427" s="31"/>
      <c r="E427" s="31"/>
      <c r="F427" s="31"/>
      <c r="G427" s="31"/>
      <c r="H427" s="31"/>
      <c r="I427" s="31"/>
      <c r="J427" s="31"/>
      <c r="K427" s="19"/>
      <c r="L427" s="19"/>
      <c r="M427" s="19"/>
      <c r="N427" s="31"/>
      <c r="O427" s="31"/>
      <c r="P427" s="19"/>
      <c r="Q427" s="19"/>
    </row>
    <row r="428" spans="1:17" ht="46.5" customHeight="1" x14ac:dyDescent="0.7">
      <c r="A428" s="19"/>
      <c r="B428" s="19"/>
      <c r="C428" s="19"/>
      <c r="D428" s="31"/>
      <c r="E428" s="31"/>
      <c r="F428" s="31"/>
      <c r="G428" s="31"/>
      <c r="H428" s="31"/>
      <c r="I428" s="31"/>
      <c r="J428" s="31"/>
      <c r="K428" s="19"/>
      <c r="L428" s="19"/>
      <c r="M428" s="19"/>
      <c r="N428" s="31"/>
      <c r="O428" s="31"/>
      <c r="P428" s="19"/>
      <c r="Q428" s="19"/>
    </row>
    <row r="429" spans="1:17" ht="46.5" customHeight="1" x14ac:dyDescent="0.7">
      <c r="A429" s="19"/>
      <c r="B429" s="19"/>
      <c r="C429" s="19"/>
      <c r="D429" s="31"/>
      <c r="E429" s="31"/>
      <c r="F429" s="31"/>
      <c r="G429" s="31"/>
      <c r="H429" s="31"/>
      <c r="I429" s="31"/>
      <c r="J429" s="31"/>
      <c r="K429" s="19"/>
      <c r="L429" s="19"/>
      <c r="M429" s="19"/>
      <c r="N429" s="31"/>
      <c r="O429" s="31"/>
      <c r="P429" s="19"/>
      <c r="Q429" s="19"/>
    </row>
    <row r="430" spans="1:17" ht="46.5" customHeight="1" x14ac:dyDescent="0.7">
      <c r="A430" s="19"/>
      <c r="B430" s="19"/>
      <c r="C430" s="19"/>
      <c r="D430" s="31"/>
      <c r="E430" s="31"/>
      <c r="F430" s="31"/>
      <c r="G430" s="31"/>
      <c r="H430" s="31"/>
      <c r="I430" s="31"/>
      <c r="J430" s="31"/>
      <c r="K430" s="19"/>
      <c r="L430" s="19"/>
      <c r="M430" s="19"/>
      <c r="N430" s="31"/>
      <c r="O430" s="31"/>
      <c r="P430" s="19"/>
      <c r="Q430" s="19"/>
    </row>
    <row r="431" spans="1:17" ht="46.5" customHeight="1" x14ac:dyDescent="0.7">
      <c r="A431" s="19"/>
      <c r="B431" s="19"/>
      <c r="C431" s="19"/>
      <c r="D431" s="31"/>
      <c r="E431" s="31"/>
      <c r="F431" s="31"/>
      <c r="G431" s="31"/>
      <c r="H431" s="31"/>
      <c r="I431" s="31"/>
      <c r="J431" s="31"/>
      <c r="K431" s="19"/>
      <c r="L431" s="19"/>
      <c r="M431" s="19"/>
      <c r="N431" s="31"/>
      <c r="O431" s="31"/>
      <c r="P431" s="19"/>
      <c r="Q431" s="19"/>
    </row>
    <row r="432" spans="1:17" ht="46.5" customHeight="1" x14ac:dyDescent="0.7">
      <c r="A432" s="19"/>
      <c r="B432" s="19"/>
      <c r="C432" s="19"/>
      <c r="D432" s="31"/>
      <c r="E432" s="31"/>
      <c r="F432" s="31"/>
      <c r="G432" s="31"/>
      <c r="H432" s="31"/>
      <c r="I432" s="31"/>
      <c r="J432" s="31"/>
      <c r="K432" s="19"/>
      <c r="L432" s="19"/>
      <c r="M432" s="19"/>
      <c r="N432" s="31"/>
      <c r="O432" s="31"/>
      <c r="P432" s="19"/>
      <c r="Q432" s="19"/>
    </row>
    <row r="433" spans="1:17" ht="46.5" customHeight="1" x14ac:dyDescent="0.7">
      <c r="A433" s="19"/>
      <c r="B433" s="19"/>
      <c r="C433" s="19"/>
      <c r="D433" s="31"/>
      <c r="E433" s="31"/>
      <c r="F433" s="31"/>
      <c r="G433" s="31"/>
      <c r="H433" s="31"/>
      <c r="I433" s="31"/>
      <c r="J433" s="31"/>
      <c r="K433" s="19"/>
      <c r="L433" s="19"/>
      <c r="M433" s="19"/>
      <c r="N433" s="31"/>
      <c r="O433" s="31"/>
      <c r="P433" s="19"/>
      <c r="Q433" s="19"/>
    </row>
    <row r="434" spans="1:17" ht="46.5" customHeight="1" x14ac:dyDescent="0.7">
      <c r="A434" s="19"/>
      <c r="B434" s="19"/>
      <c r="C434" s="19"/>
      <c r="D434" s="31"/>
      <c r="E434" s="31"/>
      <c r="F434" s="31"/>
      <c r="G434" s="31"/>
      <c r="H434" s="31"/>
      <c r="I434" s="31"/>
      <c r="J434" s="31"/>
      <c r="K434" s="19"/>
      <c r="L434" s="19"/>
      <c r="M434" s="19"/>
      <c r="N434" s="31"/>
      <c r="O434" s="31"/>
      <c r="P434" s="19"/>
      <c r="Q434" s="19"/>
    </row>
    <row r="435" spans="1:17" ht="46.5" customHeight="1" x14ac:dyDescent="0.7">
      <c r="A435" s="19"/>
      <c r="B435" s="19"/>
      <c r="C435" s="19"/>
      <c r="D435" s="31"/>
      <c r="E435" s="31"/>
      <c r="F435" s="31"/>
      <c r="G435" s="31"/>
      <c r="H435" s="31"/>
      <c r="I435" s="31"/>
      <c r="J435" s="31"/>
      <c r="K435" s="19"/>
      <c r="L435" s="19"/>
      <c r="M435" s="19"/>
      <c r="N435" s="31"/>
      <c r="O435" s="31"/>
      <c r="P435" s="19"/>
      <c r="Q435" s="19"/>
    </row>
    <row r="436" spans="1:17" ht="46.5" customHeight="1" x14ac:dyDescent="0.7">
      <c r="A436" s="19"/>
      <c r="B436" s="19"/>
      <c r="C436" s="19"/>
      <c r="D436" s="31"/>
      <c r="E436" s="31"/>
      <c r="F436" s="31"/>
      <c r="G436" s="31"/>
      <c r="H436" s="31"/>
      <c r="I436" s="31"/>
      <c r="J436" s="31"/>
      <c r="K436" s="19"/>
      <c r="L436" s="19"/>
      <c r="M436" s="19"/>
      <c r="N436" s="31"/>
      <c r="O436" s="31"/>
      <c r="P436" s="19"/>
      <c r="Q436" s="19"/>
    </row>
    <row r="437" spans="1:17" ht="46.5" customHeight="1" x14ac:dyDescent="0.7">
      <c r="A437" s="19"/>
      <c r="B437" s="19"/>
      <c r="C437" s="19"/>
      <c r="D437" s="31"/>
      <c r="E437" s="31"/>
      <c r="F437" s="31"/>
      <c r="G437" s="31"/>
      <c r="H437" s="31"/>
      <c r="I437" s="31"/>
      <c r="J437" s="31"/>
      <c r="K437" s="19"/>
      <c r="L437" s="19"/>
      <c r="M437" s="19"/>
      <c r="N437" s="31"/>
      <c r="O437" s="31"/>
      <c r="P437" s="19"/>
      <c r="Q437" s="19"/>
    </row>
    <row r="438" spans="1:17" ht="46.5" customHeight="1" x14ac:dyDescent="0.7">
      <c r="A438" s="19"/>
      <c r="B438" s="19"/>
      <c r="C438" s="19"/>
      <c r="D438" s="31"/>
      <c r="E438" s="31"/>
      <c r="F438" s="31"/>
      <c r="G438" s="31"/>
      <c r="H438" s="31"/>
      <c r="I438" s="31"/>
      <c r="J438" s="31"/>
      <c r="K438" s="19"/>
      <c r="L438" s="19"/>
      <c r="M438" s="19"/>
      <c r="N438" s="31"/>
      <c r="O438" s="31"/>
      <c r="P438" s="19"/>
      <c r="Q438" s="19"/>
    </row>
    <row r="439" spans="1:17" ht="46.5" customHeight="1" x14ac:dyDescent="0.7">
      <c r="A439" s="19"/>
      <c r="B439" s="19"/>
      <c r="C439" s="19"/>
      <c r="D439" s="31"/>
      <c r="E439" s="31"/>
      <c r="F439" s="31"/>
      <c r="G439" s="31"/>
      <c r="H439" s="31"/>
      <c r="I439" s="31"/>
      <c r="J439" s="31"/>
      <c r="K439" s="19"/>
      <c r="L439" s="19"/>
      <c r="M439" s="19"/>
      <c r="N439" s="31"/>
      <c r="O439" s="31"/>
      <c r="P439" s="19"/>
      <c r="Q439" s="19"/>
    </row>
    <row r="440" spans="1:17" ht="46.5" customHeight="1" x14ac:dyDescent="0.7">
      <c r="A440" s="19"/>
      <c r="B440" s="19"/>
      <c r="C440" s="19"/>
      <c r="D440" s="31"/>
      <c r="E440" s="31"/>
      <c r="F440" s="31"/>
      <c r="G440" s="31"/>
      <c r="H440" s="31"/>
      <c r="I440" s="31"/>
      <c r="J440" s="31"/>
      <c r="K440" s="19"/>
      <c r="L440" s="19"/>
      <c r="M440" s="19"/>
      <c r="N440" s="31"/>
      <c r="O440" s="31"/>
      <c r="P440" s="19"/>
      <c r="Q440" s="19"/>
    </row>
    <row r="441" spans="1:17" ht="46.5" customHeight="1" x14ac:dyDescent="0.7">
      <c r="A441" s="19"/>
      <c r="B441" s="19"/>
      <c r="C441" s="19"/>
      <c r="D441" s="31"/>
      <c r="E441" s="31"/>
      <c r="F441" s="31"/>
      <c r="G441" s="31"/>
      <c r="H441" s="31"/>
      <c r="I441" s="31"/>
      <c r="J441" s="31"/>
      <c r="K441" s="19"/>
      <c r="L441" s="19"/>
      <c r="M441" s="19"/>
      <c r="N441" s="31"/>
      <c r="O441" s="31"/>
      <c r="P441" s="19"/>
      <c r="Q441" s="19"/>
    </row>
    <row r="442" spans="1:17" ht="46.5" customHeight="1" x14ac:dyDescent="0.7">
      <c r="A442" s="19"/>
      <c r="B442" s="19"/>
      <c r="C442" s="19"/>
      <c r="D442" s="31"/>
      <c r="E442" s="31"/>
      <c r="F442" s="31"/>
      <c r="G442" s="31"/>
      <c r="H442" s="31"/>
      <c r="I442" s="31"/>
      <c r="J442" s="31"/>
      <c r="K442" s="19"/>
      <c r="L442" s="19"/>
      <c r="M442" s="19"/>
      <c r="N442" s="31"/>
      <c r="O442" s="31"/>
      <c r="P442" s="19"/>
      <c r="Q442" s="19"/>
    </row>
    <row r="443" spans="1:17" ht="46.5" customHeight="1" x14ac:dyDescent="0.7">
      <c r="A443" s="19"/>
      <c r="B443" s="19"/>
      <c r="C443" s="19"/>
      <c r="D443" s="31"/>
      <c r="E443" s="31"/>
      <c r="F443" s="31"/>
      <c r="G443" s="31"/>
      <c r="H443" s="31"/>
      <c r="I443" s="31"/>
      <c r="J443" s="31"/>
      <c r="K443" s="19"/>
      <c r="L443" s="19"/>
      <c r="M443" s="19"/>
      <c r="N443" s="31"/>
      <c r="O443" s="31"/>
      <c r="P443" s="19"/>
      <c r="Q443" s="19"/>
    </row>
    <row r="444" spans="1:17" ht="46.5" customHeight="1" x14ac:dyDescent="0.7">
      <c r="A444" s="19"/>
      <c r="B444" s="19"/>
      <c r="C444" s="19"/>
      <c r="D444" s="31"/>
      <c r="E444" s="31"/>
      <c r="F444" s="31"/>
      <c r="G444" s="31"/>
      <c r="H444" s="31"/>
      <c r="I444" s="31"/>
      <c r="J444" s="31"/>
      <c r="K444" s="19"/>
      <c r="L444" s="19"/>
      <c r="M444" s="19"/>
      <c r="N444" s="31"/>
      <c r="O444" s="31"/>
      <c r="P444" s="19"/>
      <c r="Q444" s="19"/>
    </row>
    <row r="445" spans="1:17" ht="46.5" customHeight="1" x14ac:dyDescent="0.7">
      <c r="A445" s="19"/>
      <c r="B445" s="19"/>
      <c r="C445" s="19"/>
      <c r="D445" s="31"/>
      <c r="E445" s="31"/>
      <c r="F445" s="31"/>
      <c r="G445" s="31"/>
      <c r="H445" s="31"/>
      <c r="I445" s="31"/>
      <c r="J445" s="31"/>
      <c r="K445" s="19"/>
      <c r="L445" s="19"/>
      <c r="M445" s="19"/>
      <c r="N445" s="31"/>
      <c r="O445" s="31"/>
      <c r="P445" s="19"/>
      <c r="Q445" s="19"/>
    </row>
    <row r="446" spans="1:17" ht="46.5" customHeight="1" x14ac:dyDescent="0.7">
      <c r="A446" s="19"/>
      <c r="B446" s="19"/>
      <c r="C446" s="19"/>
      <c r="D446" s="31"/>
      <c r="E446" s="31"/>
      <c r="F446" s="31"/>
      <c r="G446" s="31"/>
      <c r="H446" s="31"/>
      <c r="I446" s="31"/>
      <c r="J446" s="31"/>
      <c r="K446" s="19"/>
      <c r="L446" s="19"/>
      <c r="M446" s="19"/>
      <c r="N446" s="31"/>
      <c r="O446" s="31"/>
      <c r="P446" s="19"/>
      <c r="Q446" s="19"/>
    </row>
    <row r="447" spans="1:17" ht="46.5" customHeight="1" x14ac:dyDescent="0.7">
      <c r="A447" s="19"/>
      <c r="B447" s="19"/>
      <c r="C447" s="19"/>
      <c r="D447" s="31"/>
      <c r="E447" s="31"/>
      <c r="F447" s="31"/>
      <c r="G447" s="31"/>
      <c r="H447" s="31"/>
      <c r="I447" s="31"/>
      <c r="J447" s="31"/>
      <c r="K447" s="19"/>
      <c r="L447" s="19"/>
      <c r="M447" s="19"/>
      <c r="N447" s="31"/>
      <c r="O447" s="31"/>
      <c r="P447" s="19"/>
      <c r="Q447" s="19"/>
    </row>
    <row r="448" spans="1:17" ht="46.5" customHeight="1" x14ac:dyDescent="0.7">
      <c r="A448" s="19"/>
      <c r="B448" s="19"/>
      <c r="C448" s="19"/>
      <c r="D448" s="31"/>
      <c r="E448" s="31"/>
      <c r="F448" s="31"/>
      <c r="G448" s="31"/>
      <c r="H448" s="31"/>
      <c r="I448" s="31"/>
      <c r="J448" s="31"/>
      <c r="K448" s="19"/>
      <c r="L448" s="19"/>
      <c r="M448" s="19"/>
      <c r="N448" s="31"/>
      <c r="O448" s="31"/>
      <c r="P448" s="19"/>
      <c r="Q448" s="19"/>
    </row>
    <row r="449" spans="1:17" ht="46.5" customHeight="1" x14ac:dyDescent="0.7">
      <c r="A449" s="19"/>
      <c r="B449" s="19"/>
      <c r="C449" s="19"/>
      <c r="D449" s="31"/>
      <c r="E449" s="31"/>
      <c r="F449" s="31"/>
      <c r="G449" s="31"/>
      <c r="H449" s="31"/>
      <c r="I449" s="31"/>
      <c r="J449" s="31"/>
      <c r="K449" s="19"/>
      <c r="L449" s="19"/>
      <c r="M449" s="19"/>
      <c r="N449" s="31"/>
      <c r="O449" s="31"/>
      <c r="P449" s="19"/>
      <c r="Q449" s="19"/>
    </row>
    <row r="450" spans="1:17" ht="46.5" customHeight="1" x14ac:dyDescent="0.7">
      <c r="A450" s="19"/>
      <c r="B450" s="19"/>
      <c r="C450" s="19"/>
      <c r="D450" s="31"/>
      <c r="E450" s="31"/>
      <c r="F450" s="31"/>
      <c r="G450" s="31"/>
      <c r="H450" s="31"/>
      <c r="I450" s="31"/>
      <c r="J450" s="31"/>
      <c r="K450" s="19"/>
      <c r="L450" s="19"/>
      <c r="M450" s="19"/>
      <c r="N450" s="31"/>
      <c r="O450" s="31"/>
      <c r="P450" s="19"/>
      <c r="Q450" s="19"/>
    </row>
    <row r="451" spans="1:17" ht="46.5" customHeight="1" x14ac:dyDescent="0.7">
      <c r="A451" s="19"/>
      <c r="B451" s="19"/>
      <c r="C451" s="19"/>
      <c r="D451" s="31"/>
      <c r="E451" s="31"/>
      <c r="F451" s="31"/>
      <c r="G451" s="31"/>
      <c r="H451" s="31"/>
      <c r="I451" s="31"/>
      <c r="J451" s="31"/>
      <c r="K451" s="19"/>
      <c r="L451" s="19"/>
      <c r="M451" s="19"/>
      <c r="N451" s="31"/>
      <c r="O451" s="31"/>
      <c r="P451" s="19"/>
      <c r="Q451" s="19"/>
    </row>
    <row r="452" spans="1:17" ht="46.5" customHeight="1" x14ac:dyDescent="0.7">
      <c r="A452" s="19"/>
      <c r="B452" s="19"/>
      <c r="C452" s="19"/>
      <c r="D452" s="31"/>
      <c r="E452" s="31"/>
      <c r="F452" s="31"/>
      <c r="G452" s="31"/>
      <c r="H452" s="31"/>
      <c r="I452" s="31"/>
      <c r="J452" s="31"/>
      <c r="K452" s="19"/>
      <c r="L452" s="19"/>
      <c r="M452" s="19"/>
      <c r="N452" s="31"/>
      <c r="O452" s="31"/>
      <c r="P452" s="19"/>
      <c r="Q452" s="19"/>
    </row>
    <row r="453" spans="1:17" ht="46.5" customHeight="1" x14ac:dyDescent="0.7">
      <c r="A453" s="19"/>
      <c r="B453" s="19"/>
      <c r="C453" s="19"/>
      <c r="D453" s="31"/>
      <c r="E453" s="31"/>
      <c r="F453" s="31"/>
      <c r="G453" s="31"/>
      <c r="H453" s="31"/>
      <c r="I453" s="31"/>
      <c r="J453" s="31"/>
      <c r="K453" s="19"/>
      <c r="L453" s="19"/>
      <c r="M453" s="19"/>
      <c r="N453" s="31"/>
      <c r="O453" s="31"/>
      <c r="P453" s="19"/>
      <c r="Q453" s="19"/>
    </row>
    <row r="454" spans="1:17" ht="46.5" customHeight="1" x14ac:dyDescent="0.7">
      <c r="A454" s="19"/>
      <c r="B454" s="19"/>
      <c r="C454" s="19"/>
      <c r="D454" s="31"/>
      <c r="E454" s="31"/>
      <c r="F454" s="31"/>
      <c r="G454" s="31"/>
      <c r="H454" s="31"/>
      <c r="I454" s="31"/>
      <c r="J454" s="31"/>
      <c r="K454" s="19"/>
      <c r="L454" s="19"/>
      <c r="M454" s="19"/>
      <c r="N454" s="31"/>
      <c r="O454" s="31"/>
      <c r="P454" s="19"/>
      <c r="Q454" s="19"/>
    </row>
    <row r="455" spans="1:17" ht="46.5" customHeight="1" x14ac:dyDescent="0.7">
      <c r="A455" s="19"/>
      <c r="B455" s="19"/>
      <c r="C455" s="19"/>
      <c r="D455" s="31"/>
      <c r="E455" s="31"/>
      <c r="F455" s="31"/>
      <c r="G455" s="31"/>
      <c r="H455" s="31"/>
      <c r="I455" s="31"/>
      <c r="J455" s="31"/>
      <c r="K455" s="19"/>
      <c r="L455" s="19"/>
      <c r="M455" s="19"/>
      <c r="N455" s="31"/>
      <c r="O455" s="31"/>
      <c r="P455" s="19"/>
      <c r="Q455" s="19"/>
    </row>
    <row r="456" spans="1:17" ht="46.5" customHeight="1" x14ac:dyDescent="0.7">
      <c r="A456" s="19"/>
      <c r="B456" s="19"/>
      <c r="C456" s="19"/>
      <c r="D456" s="31"/>
      <c r="E456" s="31"/>
      <c r="F456" s="31"/>
      <c r="G456" s="31"/>
      <c r="H456" s="31"/>
      <c r="I456" s="31"/>
      <c r="J456" s="31"/>
      <c r="K456" s="19"/>
      <c r="L456" s="19"/>
      <c r="M456" s="19"/>
      <c r="N456" s="31"/>
      <c r="O456" s="31"/>
      <c r="P456" s="19"/>
      <c r="Q456" s="19"/>
    </row>
    <row r="457" spans="1:17" ht="46.5" customHeight="1" x14ac:dyDescent="0.7">
      <c r="A457" s="19"/>
      <c r="B457" s="19"/>
      <c r="C457" s="19"/>
      <c r="D457" s="31"/>
      <c r="E457" s="31"/>
      <c r="F457" s="31"/>
      <c r="G457" s="31"/>
      <c r="H457" s="31"/>
      <c r="I457" s="31"/>
      <c r="J457" s="31"/>
      <c r="K457" s="19"/>
      <c r="L457" s="19"/>
      <c r="M457" s="19"/>
      <c r="N457" s="31"/>
      <c r="O457" s="31"/>
      <c r="P457" s="19"/>
      <c r="Q457" s="19"/>
    </row>
    <row r="458" spans="1:17" ht="46.5" customHeight="1" x14ac:dyDescent="0.7">
      <c r="A458" s="19"/>
      <c r="B458" s="19"/>
      <c r="C458" s="19"/>
      <c r="D458" s="31"/>
      <c r="E458" s="31"/>
      <c r="F458" s="31"/>
      <c r="G458" s="31"/>
      <c r="H458" s="31"/>
      <c r="I458" s="31"/>
      <c r="J458" s="31"/>
      <c r="K458" s="19"/>
      <c r="L458" s="19"/>
      <c r="M458" s="19"/>
      <c r="N458" s="31"/>
      <c r="O458" s="31"/>
      <c r="P458" s="19"/>
      <c r="Q458" s="19"/>
    </row>
    <row r="459" spans="1:17" ht="46.5" customHeight="1" x14ac:dyDescent="0.7">
      <c r="A459" s="19"/>
      <c r="B459" s="19"/>
      <c r="C459" s="19"/>
      <c r="D459" s="31"/>
      <c r="E459" s="31"/>
      <c r="F459" s="31"/>
      <c r="G459" s="31"/>
      <c r="H459" s="31"/>
      <c r="I459" s="31"/>
      <c r="J459" s="31"/>
      <c r="K459" s="19"/>
      <c r="L459" s="19"/>
      <c r="M459" s="19"/>
      <c r="N459" s="31"/>
      <c r="O459" s="31"/>
      <c r="P459" s="19"/>
      <c r="Q459" s="19"/>
    </row>
    <row r="460" spans="1:17" ht="46.5" customHeight="1" x14ac:dyDescent="0.7">
      <c r="A460" s="19"/>
      <c r="B460" s="19"/>
      <c r="C460" s="19"/>
      <c r="D460" s="31"/>
      <c r="E460" s="31"/>
      <c r="F460" s="31"/>
      <c r="G460" s="31"/>
      <c r="H460" s="31"/>
      <c r="I460" s="31"/>
      <c r="J460" s="31"/>
      <c r="K460" s="19"/>
      <c r="L460" s="19"/>
      <c r="M460" s="19"/>
      <c r="N460" s="31"/>
      <c r="O460" s="31"/>
      <c r="P460" s="19"/>
      <c r="Q460" s="19"/>
    </row>
    <row r="461" spans="1:17" ht="46.5" customHeight="1" x14ac:dyDescent="0.7">
      <c r="A461" s="19"/>
      <c r="B461" s="19"/>
      <c r="C461" s="19"/>
      <c r="D461" s="31"/>
      <c r="E461" s="31"/>
      <c r="F461" s="31"/>
      <c r="G461" s="31"/>
      <c r="H461" s="31"/>
      <c r="I461" s="31"/>
      <c r="J461" s="31"/>
      <c r="K461" s="19"/>
      <c r="L461" s="19"/>
      <c r="M461" s="19"/>
      <c r="N461" s="31"/>
      <c r="O461" s="31"/>
      <c r="P461" s="19"/>
      <c r="Q461" s="19"/>
    </row>
    <row r="462" spans="1:17" ht="46.5" customHeight="1" x14ac:dyDescent="0.7">
      <c r="A462" s="19"/>
      <c r="B462" s="19"/>
      <c r="C462" s="19"/>
      <c r="D462" s="31"/>
      <c r="E462" s="31"/>
      <c r="F462" s="31"/>
      <c r="G462" s="31"/>
      <c r="H462" s="31"/>
      <c r="I462" s="31"/>
      <c r="J462" s="31"/>
      <c r="K462" s="19"/>
      <c r="L462" s="19"/>
      <c r="M462" s="19"/>
      <c r="N462" s="31"/>
      <c r="O462" s="31"/>
      <c r="P462" s="19"/>
      <c r="Q462" s="19"/>
    </row>
    <row r="463" spans="1:17" ht="46.5" customHeight="1" x14ac:dyDescent="0.7">
      <c r="A463" s="19"/>
      <c r="B463" s="19"/>
      <c r="C463" s="19"/>
      <c r="D463" s="31"/>
      <c r="E463" s="31"/>
      <c r="F463" s="31"/>
      <c r="G463" s="31"/>
      <c r="H463" s="31"/>
      <c r="I463" s="31"/>
      <c r="J463" s="31"/>
      <c r="K463" s="19"/>
      <c r="L463" s="19"/>
      <c r="M463" s="19"/>
      <c r="N463" s="31"/>
      <c r="O463" s="31"/>
      <c r="P463" s="19"/>
      <c r="Q463" s="19"/>
    </row>
    <row r="464" spans="1:17" ht="46.5" customHeight="1" x14ac:dyDescent="0.7">
      <c r="A464" s="19"/>
      <c r="B464" s="19"/>
      <c r="C464" s="19"/>
      <c r="D464" s="31"/>
      <c r="E464" s="31"/>
      <c r="F464" s="31"/>
      <c r="G464" s="31"/>
      <c r="H464" s="31"/>
      <c r="I464" s="31"/>
      <c r="J464" s="31"/>
      <c r="K464" s="19"/>
      <c r="L464" s="19"/>
      <c r="M464" s="19"/>
      <c r="N464" s="31"/>
      <c r="O464" s="31"/>
      <c r="P464" s="19"/>
      <c r="Q464" s="19"/>
    </row>
    <row r="465" spans="1:17" ht="46.5" customHeight="1" x14ac:dyDescent="0.7">
      <c r="A465" s="19"/>
      <c r="B465" s="19"/>
      <c r="C465" s="19"/>
      <c r="D465" s="31"/>
      <c r="E465" s="31"/>
      <c r="F465" s="31"/>
      <c r="G465" s="31"/>
      <c r="H465" s="31"/>
      <c r="I465" s="31"/>
      <c r="J465" s="31"/>
      <c r="K465" s="19"/>
      <c r="L465" s="19"/>
      <c r="M465" s="19"/>
      <c r="N465" s="31"/>
      <c r="O465" s="31"/>
      <c r="P465" s="19"/>
      <c r="Q465" s="19"/>
    </row>
    <row r="466" spans="1:17" ht="46.5" customHeight="1" x14ac:dyDescent="0.7">
      <c r="A466" s="19"/>
      <c r="B466" s="19"/>
      <c r="C466" s="19"/>
      <c r="D466" s="31"/>
      <c r="E466" s="31"/>
      <c r="F466" s="31"/>
      <c r="G466" s="31"/>
      <c r="H466" s="31"/>
      <c r="I466" s="31"/>
      <c r="J466" s="31"/>
      <c r="K466" s="19"/>
      <c r="L466" s="19"/>
      <c r="M466" s="19"/>
      <c r="N466" s="31"/>
      <c r="O466" s="31"/>
      <c r="P466" s="19"/>
      <c r="Q466" s="19"/>
    </row>
    <row r="467" spans="1:17" ht="46.5" customHeight="1" x14ac:dyDescent="0.7">
      <c r="A467" s="19"/>
      <c r="B467" s="19"/>
      <c r="C467" s="19"/>
      <c r="D467" s="31"/>
      <c r="E467" s="31"/>
      <c r="F467" s="31"/>
      <c r="G467" s="31"/>
      <c r="H467" s="31"/>
      <c r="I467" s="31"/>
      <c r="J467" s="31"/>
      <c r="K467" s="19"/>
      <c r="L467" s="19"/>
      <c r="M467" s="19"/>
      <c r="N467" s="31"/>
      <c r="O467" s="31"/>
      <c r="P467" s="19"/>
      <c r="Q467" s="19"/>
    </row>
    <row r="468" spans="1:17" ht="46.5" customHeight="1" x14ac:dyDescent="0.7">
      <c r="A468" s="19"/>
      <c r="B468" s="19"/>
      <c r="C468" s="19"/>
      <c r="D468" s="31"/>
      <c r="E468" s="31"/>
      <c r="F468" s="31"/>
      <c r="G468" s="31"/>
      <c r="H468" s="31"/>
      <c r="I468" s="31"/>
      <c r="J468" s="31"/>
      <c r="K468" s="19"/>
      <c r="L468" s="19"/>
      <c r="M468" s="19"/>
      <c r="N468" s="31"/>
      <c r="O468" s="31"/>
      <c r="P468" s="19"/>
      <c r="Q468" s="19"/>
    </row>
    <row r="469" spans="1:17" ht="46.5" customHeight="1" x14ac:dyDescent="0.7">
      <c r="A469" s="19"/>
      <c r="B469" s="19"/>
      <c r="C469" s="19"/>
      <c r="D469" s="31"/>
      <c r="E469" s="31"/>
      <c r="F469" s="31"/>
      <c r="G469" s="31"/>
      <c r="H469" s="31"/>
      <c r="I469" s="31"/>
      <c r="J469" s="31"/>
      <c r="K469" s="19"/>
      <c r="L469" s="19"/>
      <c r="M469" s="19"/>
      <c r="N469" s="31"/>
      <c r="O469" s="31"/>
      <c r="P469" s="19"/>
      <c r="Q469" s="19"/>
    </row>
    <row r="470" spans="1:17" ht="46.5" customHeight="1" x14ac:dyDescent="0.7">
      <c r="A470" s="19"/>
      <c r="B470" s="19"/>
      <c r="C470" s="19"/>
      <c r="D470" s="31"/>
      <c r="E470" s="31"/>
      <c r="F470" s="31"/>
      <c r="G470" s="31"/>
      <c r="H470" s="31"/>
      <c r="I470" s="31"/>
      <c r="J470" s="31"/>
      <c r="K470" s="19"/>
      <c r="L470" s="19"/>
      <c r="M470" s="19"/>
      <c r="N470" s="31"/>
      <c r="O470" s="31"/>
      <c r="P470" s="19"/>
      <c r="Q470" s="19"/>
    </row>
    <row r="471" spans="1:17" ht="46.5" customHeight="1" x14ac:dyDescent="0.7">
      <c r="A471" s="19"/>
      <c r="B471" s="19"/>
      <c r="C471" s="19"/>
      <c r="D471" s="31"/>
      <c r="E471" s="31"/>
      <c r="F471" s="31"/>
      <c r="G471" s="31"/>
      <c r="H471" s="31"/>
      <c r="I471" s="31"/>
      <c r="J471" s="31"/>
      <c r="K471" s="19"/>
      <c r="L471" s="19"/>
      <c r="M471" s="19"/>
      <c r="N471" s="31"/>
      <c r="O471" s="31"/>
      <c r="P471" s="19"/>
      <c r="Q471" s="19"/>
    </row>
    <row r="472" spans="1:17" ht="46.5" customHeight="1" x14ac:dyDescent="0.7">
      <c r="A472" s="19"/>
      <c r="B472" s="19"/>
      <c r="C472" s="19"/>
      <c r="D472" s="31"/>
      <c r="E472" s="31"/>
      <c r="F472" s="31"/>
      <c r="G472" s="31"/>
      <c r="H472" s="31"/>
      <c r="I472" s="31"/>
      <c r="J472" s="31"/>
      <c r="K472" s="19"/>
      <c r="L472" s="19"/>
      <c r="M472" s="19"/>
      <c r="N472" s="31"/>
      <c r="O472" s="31"/>
      <c r="P472" s="19"/>
      <c r="Q472" s="19"/>
    </row>
    <row r="473" spans="1:17" ht="46.5" customHeight="1" x14ac:dyDescent="0.7">
      <c r="A473" s="19"/>
      <c r="B473" s="19"/>
      <c r="C473" s="19"/>
      <c r="D473" s="31"/>
      <c r="E473" s="31"/>
      <c r="F473" s="31"/>
      <c r="G473" s="31"/>
      <c r="H473" s="31"/>
      <c r="I473" s="31"/>
      <c r="J473" s="31"/>
      <c r="K473" s="19"/>
      <c r="L473" s="19"/>
      <c r="M473" s="19"/>
      <c r="N473" s="31"/>
      <c r="O473" s="31"/>
      <c r="P473" s="19"/>
      <c r="Q473" s="19"/>
    </row>
    <row r="474" spans="1:17" ht="46.5" customHeight="1" x14ac:dyDescent="0.7">
      <c r="A474" s="19"/>
      <c r="B474" s="19"/>
      <c r="C474" s="19"/>
      <c r="D474" s="31"/>
      <c r="E474" s="31"/>
      <c r="F474" s="31"/>
      <c r="G474" s="31"/>
      <c r="H474" s="31"/>
      <c r="I474" s="31"/>
      <c r="J474" s="31"/>
      <c r="K474" s="19"/>
      <c r="L474" s="19"/>
      <c r="M474" s="19"/>
      <c r="N474" s="31"/>
      <c r="O474" s="31"/>
      <c r="P474" s="19"/>
      <c r="Q474" s="19"/>
    </row>
    <row r="475" spans="1:17" ht="46.5" customHeight="1" x14ac:dyDescent="0.7">
      <c r="A475" s="19"/>
      <c r="B475" s="19"/>
      <c r="C475" s="19"/>
      <c r="D475" s="31"/>
      <c r="E475" s="31"/>
      <c r="F475" s="31"/>
      <c r="G475" s="31"/>
      <c r="H475" s="31"/>
      <c r="I475" s="31"/>
      <c r="J475" s="31"/>
      <c r="K475" s="19"/>
      <c r="L475" s="19"/>
      <c r="M475" s="19"/>
      <c r="N475" s="31"/>
      <c r="O475" s="31"/>
      <c r="P475" s="19"/>
      <c r="Q475" s="19"/>
    </row>
    <row r="476" spans="1:17" ht="46.5" customHeight="1" x14ac:dyDescent="0.7">
      <c r="A476" s="19"/>
      <c r="B476" s="19"/>
      <c r="C476" s="19"/>
      <c r="D476" s="31"/>
      <c r="E476" s="31"/>
      <c r="F476" s="31"/>
      <c r="G476" s="31"/>
      <c r="H476" s="31"/>
      <c r="I476" s="31"/>
      <c r="J476" s="31"/>
      <c r="K476" s="19"/>
      <c r="L476" s="19"/>
      <c r="M476" s="19"/>
      <c r="N476" s="31"/>
      <c r="O476" s="31"/>
      <c r="P476" s="19"/>
      <c r="Q476" s="19"/>
    </row>
    <row r="477" spans="1:17" ht="46.5" customHeight="1" x14ac:dyDescent="0.7">
      <c r="A477" s="19"/>
      <c r="B477" s="19"/>
      <c r="C477" s="19"/>
      <c r="D477" s="31"/>
      <c r="E477" s="31"/>
      <c r="F477" s="31"/>
      <c r="G477" s="31"/>
      <c r="H477" s="31"/>
      <c r="I477" s="31"/>
      <c r="J477" s="31"/>
      <c r="K477" s="19"/>
      <c r="L477" s="19"/>
      <c r="M477" s="19"/>
      <c r="N477" s="31"/>
      <c r="O477" s="31"/>
      <c r="P477" s="19"/>
      <c r="Q477" s="19"/>
    </row>
    <row r="478" spans="1:17" ht="46.5" customHeight="1" x14ac:dyDescent="0.7">
      <c r="A478" s="19"/>
      <c r="B478" s="19"/>
      <c r="C478" s="19"/>
      <c r="D478" s="31"/>
      <c r="E478" s="31"/>
      <c r="F478" s="31"/>
      <c r="G478" s="31"/>
      <c r="H478" s="31"/>
      <c r="I478" s="31"/>
      <c r="J478" s="31"/>
      <c r="K478" s="19"/>
      <c r="L478" s="19"/>
      <c r="M478" s="19"/>
      <c r="N478" s="31"/>
      <c r="O478" s="31"/>
      <c r="P478" s="19"/>
      <c r="Q478" s="19"/>
    </row>
    <row r="479" spans="1:17" ht="46.5" customHeight="1" x14ac:dyDescent="0.7">
      <c r="A479" s="19"/>
      <c r="B479" s="19"/>
      <c r="C479" s="19"/>
      <c r="D479" s="31"/>
      <c r="E479" s="31"/>
      <c r="F479" s="31"/>
      <c r="G479" s="31"/>
      <c r="H479" s="31"/>
      <c r="I479" s="31"/>
      <c r="J479" s="31"/>
      <c r="K479" s="19"/>
      <c r="L479" s="19"/>
      <c r="M479" s="19"/>
      <c r="N479" s="31"/>
      <c r="O479" s="31"/>
      <c r="P479" s="19"/>
      <c r="Q479" s="19"/>
    </row>
    <row r="480" spans="1:17" ht="46.5" customHeight="1" x14ac:dyDescent="0.7">
      <c r="A480" s="19"/>
      <c r="B480" s="19"/>
      <c r="C480" s="19"/>
      <c r="D480" s="31"/>
      <c r="E480" s="31"/>
      <c r="F480" s="31"/>
      <c r="G480" s="31"/>
      <c r="H480" s="31"/>
      <c r="I480" s="31"/>
      <c r="J480" s="31"/>
      <c r="K480" s="19"/>
      <c r="L480" s="19"/>
      <c r="M480" s="19"/>
      <c r="N480" s="31"/>
      <c r="O480" s="31"/>
      <c r="P480" s="19"/>
      <c r="Q480" s="19"/>
    </row>
    <row r="481" spans="1:17" ht="46.5" customHeight="1" x14ac:dyDescent="0.7">
      <c r="A481" s="19"/>
      <c r="B481" s="19"/>
      <c r="C481" s="19"/>
      <c r="D481" s="31"/>
      <c r="E481" s="31"/>
      <c r="F481" s="31"/>
      <c r="G481" s="31"/>
      <c r="H481" s="31"/>
      <c r="I481" s="31"/>
      <c r="J481" s="31"/>
      <c r="K481" s="19"/>
      <c r="L481" s="19"/>
      <c r="M481" s="19"/>
      <c r="N481" s="31"/>
      <c r="O481" s="31"/>
      <c r="P481" s="19"/>
      <c r="Q481" s="19"/>
    </row>
    <row r="482" spans="1:17" ht="46.5" customHeight="1" x14ac:dyDescent="0.7">
      <c r="A482" s="19"/>
      <c r="B482" s="19"/>
      <c r="C482" s="19"/>
      <c r="D482" s="31"/>
      <c r="E482" s="31"/>
      <c r="F482" s="31"/>
      <c r="G482" s="31"/>
      <c r="H482" s="31"/>
      <c r="I482" s="31"/>
      <c r="J482" s="31"/>
      <c r="K482" s="19"/>
      <c r="L482" s="19"/>
      <c r="M482" s="19"/>
      <c r="N482" s="31"/>
      <c r="O482" s="31"/>
      <c r="P482" s="19"/>
      <c r="Q482" s="19"/>
    </row>
    <row r="483" spans="1:17" ht="46.5" customHeight="1" x14ac:dyDescent="0.7">
      <c r="A483" s="19"/>
      <c r="B483" s="19"/>
      <c r="C483" s="19"/>
      <c r="D483" s="31"/>
      <c r="E483" s="31"/>
      <c r="F483" s="31"/>
      <c r="G483" s="31"/>
      <c r="H483" s="31"/>
      <c r="I483" s="31"/>
      <c r="J483" s="31"/>
      <c r="K483" s="19"/>
      <c r="L483" s="19"/>
      <c r="M483" s="19"/>
      <c r="N483" s="31"/>
      <c r="O483" s="31"/>
      <c r="P483" s="19"/>
      <c r="Q483" s="19"/>
    </row>
    <row r="484" spans="1:17" ht="46.5" customHeight="1" x14ac:dyDescent="0.7">
      <c r="A484" s="19"/>
      <c r="B484" s="19"/>
      <c r="C484" s="19"/>
      <c r="D484" s="31"/>
      <c r="E484" s="31"/>
      <c r="F484" s="31"/>
      <c r="G484" s="31"/>
      <c r="H484" s="31"/>
      <c r="I484" s="31"/>
      <c r="J484" s="31"/>
      <c r="K484" s="19"/>
      <c r="L484" s="19"/>
      <c r="M484" s="19"/>
      <c r="N484" s="31"/>
      <c r="O484" s="31"/>
      <c r="P484" s="19"/>
      <c r="Q484" s="19"/>
    </row>
    <row r="485" spans="1:17" ht="46.5" customHeight="1" x14ac:dyDescent="0.7">
      <c r="A485" s="19"/>
      <c r="B485" s="19"/>
      <c r="C485" s="19"/>
      <c r="D485" s="31"/>
      <c r="E485" s="31"/>
      <c r="F485" s="31"/>
      <c r="G485" s="31"/>
      <c r="H485" s="31"/>
      <c r="I485" s="31"/>
      <c r="J485" s="31"/>
      <c r="K485" s="19"/>
      <c r="L485" s="19"/>
      <c r="M485" s="19"/>
      <c r="N485" s="31"/>
      <c r="O485" s="31"/>
      <c r="P485" s="19"/>
      <c r="Q485" s="19"/>
    </row>
    <row r="486" spans="1:17" ht="46.5" customHeight="1" x14ac:dyDescent="0.7">
      <c r="A486" s="19"/>
      <c r="B486" s="19"/>
      <c r="C486" s="19"/>
      <c r="D486" s="31"/>
      <c r="E486" s="31"/>
      <c r="F486" s="31"/>
      <c r="G486" s="31"/>
      <c r="H486" s="31"/>
      <c r="I486" s="31"/>
      <c r="J486" s="31"/>
      <c r="K486" s="19"/>
      <c r="L486" s="19"/>
      <c r="M486" s="19"/>
      <c r="N486" s="31"/>
      <c r="O486" s="31"/>
      <c r="P486" s="19"/>
      <c r="Q486" s="19"/>
    </row>
    <row r="487" spans="1:17" ht="46.5" customHeight="1" x14ac:dyDescent="0.7">
      <c r="A487" s="19"/>
      <c r="B487" s="19"/>
      <c r="C487" s="19"/>
      <c r="D487" s="31"/>
      <c r="E487" s="31"/>
      <c r="F487" s="31"/>
      <c r="G487" s="31"/>
      <c r="H487" s="31"/>
      <c r="I487" s="31"/>
      <c r="J487" s="31"/>
      <c r="K487" s="19"/>
      <c r="L487" s="19"/>
      <c r="M487" s="19"/>
      <c r="N487" s="31"/>
      <c r="O487" s="31"/>
      <c r="P487" s="19"/>
      <c r="Q487" s="19"/>
    </row>
    <row r="488" spans="1:17" ht="46.5" customHeight="1" x14ac:dyDescent="0.7">
      <c r="A488" s="19"/>
      <c r="B488" s="19"/>
      <c r="C488" s="19"/>
      <c r="D488" s="31"/>
      <c r="E488" s="31"/>
      <c r="F488" s="31"/>
      <c r="G488" s="31"/>
      <c r="H488" s="31"/>
      <c r="I488" s="31"/>
      <c r="J488" s="31"/>
      <c r="K488" s="19"/>
      <c r="L488" s="19"/>
      <c r="M488" s="19"/>
      <c r="N488" s="31"/>
      <c r="O488" s="31"/>
      <c r="P488" s="19"/>
      <c r="Q488" s="19"/>
    </row>
    <row r="489" spans="1:17" ht="46.5" customHeight="1" x14ac:dyDescent="0.7">
      <c r="A489" s="19"/>
      <c r="B489" s="19"/>
      <c r="C489" s="19"/>
      <c r="D489" s="31"/>
      <c r="E489" s="31"/>
      <c r="F489" s="31"/>
      <c r="G489" s="31"/>
      <c r="H489" s="31"/>
      <c r="I489" s="31"/>
      <c r="J489" s="31"/>
      <c r="K489" s="19"/>
      <c r="L489" s="19"/>
      <c r="M489" s="19"/>
      <c r="N489" s="31"/>
      <c r="O489" s="31"/>
      <c r="P489" s="19"/>
      <c r="Q489" s="19"/>
    </row>
    <row r="490" spans="1:17" ht="46.5" customHeight="1" x14ac:dyDescent="0.7">
      <c r="A490" s="19"/>
      <c r="B490" s="19"/>
      <c r="C490" s="19"/>
      <c r="D490" s="31"/>
      <c r="E490" s="31"/>
      <c r="F490" s="31"/>
      <c r="G490" s="31"/>
      <c r="H490" s="31"/>
      <c r="I490" s="31"/>
      <c r="J490" s="31"/>
      <c r="K490" s="19"/>
      <c r="L490" s="19"/>
      <c r="M490" s="19"/>
      <c r="N490" s="31"/>
      <c r="O490" s="31"/>
      <c r="P490" s="19"/>
      <c r="Q490" s="19"/>
    </row>
    <row r="491" spans="1:17" ht="46.5" customHeight="1" x14ac:dyDescent="0.7">
      <c r="A491" s="19"/>
      <c r="B491" s="19"/>
      <c r="C491" s="19"/>
      <c r="D491" s="31"/>
      <c r="E491" s="31"/>
      <c r="F491" s="31"/>
      <c r="G491" s="31"/>
      <c r="H491" s="31"/>
      <c r="I491" s="31"/>
      <c r="J491" s="31"/>
      <c r="K491" s="19"/>
      <c r="L491" s="19"/>
      <c r="M491" s="19"/>
      <c r="N491" s="31"/>
      <c r="O491" s="31"/>
      <c r="P491" s="19"/>
      <c r="Q491" s="19"/>
    </row>
    <row r="492" spans="1:17" ht="46.5" customHeight="1" x14ac:dyDescent="0.7">
      <c r="A492" s="19"/>
      <c r="B492" s="19"/>
      <c r="C492" s="19"/>
      <c r="D492" s="31"/>
      <c r="E492" s="31"/>
      <c r="F492" s="31"/>
      <c r="G492" s="31"/>
      <c r="H492" s="31"/>
      <c r="I492" s="31"/>
      <c r="J492" s="31"/>
      <c r="K492" s="19"/>
      <c r="L492" s="19"/>
      <c r="M492" s="19"/>
      <c r="N492" s="31"/>
      <c r="O492" s="31"/>
      <c r="P492" s="19"/>
      <c r="Q492" s="19"/>
    </row>
    <row r="493" spans="1:17" ht="46.5" customHeight="1" x14ac:dyDescent="0.7">
      <c r="A493" s="19"/>
      <c r="B493" s="19"/>
      <c r="C493" s="19"/>
      <c r="D493" s="31"/>
      <c r="E493" s="31"/>
      <c r="F493" s="31"/>
      <c r="G493" s="31"/>
      <c r="H493" s="31"/>
      <c r="I493" s="31"/>
      <c r="J493" s="31"/>
      <c r="K493" s="19"/>
      <c r="L493" s="19"/>
      <c r="M493" s="19"/>
      <c r="N493" s="31"/>
      <c r="O493" s="31"/>
      <c r="P493" s="19"/>
      <c r="Q493" s="19"/>
    </row>
    <row r="494" spans="1:17" ht="46.5" customHeight="1" x14ac:dyDescent="0.7">
      <c r="A494" s="19"/>
      <c r="B494" s="19"/>
      <c r="C494" s="19"/>
      <c r="D494" s="31"/>
      <c r="E494" s="31"/>
      <c r="F494" s="31"/>
      <c r="G494" s="31"/>
      <c r="H494" s="31"/>
      <c r="I494" s="31"/>
      <c r="J494" s="31"/>
      <c r="K494" s="19"/>
      <c r="L494" s="19"/>
      <c r="M494" s="19"/>
      <c r="N494" s="31"/>
      <c r="O494" s="31"/>
      <c r="P494" s="19"/>
      <c r="Q494" s="19"/>
    </row>
    <row r="495" spans="1:17" ht="46.5" customHeight="1" x14ac:dyDescent="0.7">
      <c r="A495" s="19"/>
      <c r="B495" s="19"/>
      <c r="C495" s="19"/>
      <c r="D495" s="31"/>
      <c r="E495" s="31"/>
      <c r="F495" s="31"/>
      <c r="G495" s="31"/>
      <c r="H495" s="31"/>
      <c r="I495" s="31"/>
      <c r="J495" s="31"/>
      <c r="K495" s="19"/>
      <c r="L495" s="19"/>
      <c r="M495" s="19"/>
      <c r="N495" s="31"/>
      <c r="O495" s="31"/>
      <c r="P495" s="19"/>
      <c r="Q495" s="19"/>
    </row>
    <row r="496" spans="1:17" ht="46.5" customHeight="1" x14ac:dyDescent="0.7">
      <c r="A496" s="19"/>
      <c r="B496" s="19"/>
      <c r="C496" s="19"/>
      <c r="D496" s="31"/>
      <c r="E496" s="31"/>
      <c r="F496" s="31"/>
      <c r="G496" s="31"/>
      <c r="H496" s="31"/>
      <c r="I496" s="31"/>
      <c r="J496" s="31"/>
      <c r="K496" s="19"/>
      <c r="L496" s="19"/>
      <c r="M496" s="19"/>
      <c r="N496" s="31"/>
      <c r="O496" s="31"/>
      <c r="P496" s="19"/>
      <c r="Q496" s="19"/>
    </row>
    <row r="497" spans="1:17" ht="46.5" customHeight="1" x14ac:dyDescent="0.7">
      <c r="A497" s="19"/>
      <c r="B497" s="19"/>
      <c r="C497" s="19"/>
      <c r="D497" s="31"/>
      <c r="E497" s="31"/>
      <c r="F497" s="31"/>
      <c r="G497" s="31"/>
      <c r="H497" s="31"/>
      <c r="I497" s="31"/>
      <c r="J497" s="31"/>
      <c r="K497" s="19"/>
      <c r="L497" s="19"/>
      <c r="M497" s="19"/>
      <c r="N497" s="31"/>
      <c r="O497" s="31"/>
      <c r="P497" s="19"/>
      <c r="Q497" s="19"/>
    </row>
    <row r="498" spans="1:17" ht="46.5" customHeight="1" x14ac:dyDescent="0.7">
      <c r="A498" s="19"/>
      <c r="B498" s="19"/>
      <c r="C498" s="19"/>
      <c r="D498" s="31"/>
      <c r="E498" s="31"/>
      <c r="F498" s="31"/>
      <c r="G498" s="31"/>
      <c r="H498" s="31"/>
      <c r="I498" s="31"/>
      <c r="J498" s="31"/>
      <c r="K498" s="19"/>
      <c r="L498" s="19"/>
      <c r="M498" s="19"/>
      <c r="N498" s="31"/>
      <c r="O498" s="31"/>
      <c r="P498" s="19"/>
      <c r="Q498" s="19"/>
    </row>
    <row r="499" spans="1:17" ht="46.5" customHeight="1" x14ac:dyDescent="0.7">
      <c r="A499" s="19"/>
      <c r="B499" s="19"/>
      <c r="C499" s="19"/>
      <c r="D499" s="31"/>
      <c r="E499" s="31"/>
      <c r="F499" s="31"/>
      <c r="G499" s="31"/>
      <c r="H499" s="31"/>
      <c r="I499" s="31"/>
      <c r="J499" s="31"/>
      <c r="K499" s="19"/>
      <c r="L499" s="19"/>
      <c r="M499" s="19"/>
      <c r="N499" s="31"/>
      <c r="O499" s="31"/>
      <c r="P499" s="19"/>
      <c r="Q499" s="19"/>
    </row>
    <row r="500" spans="1:17" ht="46.5" customHeight="1" x14ac:dyDescent="0.7">
      <c r="A500" s="19"/>
      <c r="B500" s="19"/>
      <c r="C500" s="19"/>
      <c r="D500" s="31"/>
      <c r="E500" s="31"/>
      <c r="F500" s="31"/>
      <c r="G500" s="31"/>
      <c r="H500" s="31"/>
      <c r="I500" s="31"/>
      <c r="J500" s="31"/>
      <c r="K500" s="19"/>
      <c r="L500" s="19"/>
      <c r="M500" s="19"/>
      <c r="N500" s="31"/>
      <c r="O500" s="31"/>
      <c r="P500" s="19"/>
      <c r="Q500" s="19"/>
    </row>
    <row r="501" spans="1:17" ht="46.5" customHeight="1" x14ac:dyDescent="0.7">
      <c r="A501" s="19"/>
      <c r="B501" s="19"/>
      <c r="C501" s="19"/>
      <c r="D501" s="31"/>
      <c r="E501" s="31"/>
      <c r="F501" s="31"/>
      <c r="G501" s="31"/>
      <c r="H501" s="31"/>
      <c r="I501" s="31"/>
      <c r="J501" s="31"/>
      <c r="K501" s="19"/>
      <c r="L501" s="19"/>
      <c r="M501" s="19"/>
      <c r="N501" s="31"/>
      <c r="O501" s="31"/>
      <c r="P501" s="19"/>
      <c r="Q501" s="19"/>
    </row>
    <row r="502" spans="1:17" ht="46.5" customHeight="1" x14ac:dyDescent="0.7">
      <c r="A502" s="19"/>
      <c r="B502" s="19"/>
      <c r="C502" s="19"/>
      <c r="D502" s="31"/>
      <c r="E502" s="31"/>
      <c r="F502" s="31"/>
      <c r="G502" s="31"/>
      <c r="H502" s="31"/>
      <c r="I502" s="31"/>
      <c r="J502" s="31"/>
      <c r="K502" s="19"/>
      <c r="L502" s="19"/>
      <c r="M502" s="19"/>
      <c r="N502" s="31"/>
      <c r="O502" s="31"/>
      <c r="P502" s="19"/>
      <c r="Q502" s="19"/>
    </row>
    <row r="503" spans="1:17" ht="46.5" customHeight="1" x14ac:dyDescent="0.7">
      <c r="A503" s="19"/>
      <c r="B503" s="19"/>
      <c r="C503" s="19"/>
      <c r="D503" s="31"/>
      <c r="E503" s="31"/>
      <c r="F503" s="31"/>
      <c r="G503" s="31"/>
      <c r="H503" s="31"/>
      <c r="I503" s="31"/>
      <c r="J503" s="31"/>
      <c r="K503" s="19"/>
      <c r="L503" s="19"/>
      <c r="M503" s="19"/>
      <c r="N503" s="31"/>
      <c r="O503" s="31"/>
      <c r="P503" s="19"/>
      <c r="Q503" s="19"/>
    </row>
    <row r="504" spans="1:17" ht="46.5" customHeight="1" x14ac:dyDescent="0.7">
      <c r="A504" s="19"/>
      <c r="B504" s="19"/>
      <c r="C504" s="19"/>
      <c r="D504" s="31"/>
      <c r="E504" s="31"/>
      <c r="F504" s="31"/>
      <c r="G504" s="31"/>
      <c r="H504" s="31"/>
      <c r="I504" s="31"/>
      <c r="J504" s="31"/>
      <c r="K504" s="19"/>
      <c r="L504" s="19"/>
      <c r="M504" s="19"/>
      <c r="N504" s="31"/>
      <c r="O504" s="31"/>
      <c r="P504" s="19"/>
      <c r="Q504" s="19"/>
    </row>
    <row r="505" spans="1:17" ht="46.5" customHeight="1" x14ac:dyDescent="0.7">
      <c r="A505" s="19"/>
      <c r="B505" s="19"/>
      <c r="C505" s="19"/>
      <c r="D505" s="31"/>
      <c r="E505" s="31"/>
      <c r="F505" s="31"/>
      <c r="G505" s="31"/>
      <c r="H505" s="31"/>
      <c r="I505" s="31"/>
      <c r="J505" s="31"/>
      <c r="K505" s="19"/>
      <c r="L505" s="19"/>
      <c r="M505" s="19"/>
      <c r="N505" s="31"/>
      <c r="O505" s="31"/>
      <c r="P505" s="19"/>
      <c r="Q505" s="19"/>
    </row>
    <row r="506" spans="1:17" ht="46.5" customHeight="1" x14ac:dyDescent="0.7">
      <c r="A506" s="19"/>
      <c r="B506" s="19"/>
      <c r="C506" s="19"/>
      <c r="D506" s="31"/>
      <c r="E506" s="31"/>
      <c r="F506" s="31"/>
      <c r="G506" s="31"/>
      <c r="H506" s="31"/>
      <c r="I506" s="31"/>
      <c r="J506" s="31"/>
      <c r="K506" s="19"/>
      <c r="L506" s="19"/>
      <c r="M506" s="19"/>
      <c r="N506" s="31"/>
      <c r="O506" s="31"/>
      <c r="P506" s="19"/>
      <c r="Q506" s="19"/>
    </row>
    <row r="507" spans="1:17" ht="46.5" customHeight="1" x14ac:dyDescent="0.7">
      <c r="A507" s="19"/>
      <c r="B507" s="19"/>
      <c r="C507" s="19"/>
      <c r="D507" s="31"/>
      <c r="E507" s="31"/>
      <c r="F507" s="31"/>
      <c r="G507" s="31"/>
      <c r="H507" s="31"/>
      <c r="I507" s="31"/>
      <c r="J507" s="31"/>
      <c r="K507" s="19"/>
      <c r="L507" s="19"/>
      <c r="M507" s="19"/>
      <c r="N507" s="31"/>
      <c r="O507" s="31"/>
      <c r="P507" s="19"/>
      <c r="Q507" s="19"/>
    </row>
    <row r="508" spans="1:17" ht="46.5" customHeight="1" x14ac:dyDescent="0.7">
      <c r="A508" s="19"/>
      <c r="B508" s="19"/>
      <c r="C508" s="19"/>
      <c r="D508" s="31"/>
      <c r="E508" s="31"/>
      <c r="F508" s="31"/>
      <c r="G508" s="31"/>
      <c r="H508" s="31"/>
      <c r="I508" s="31"/>
      <c r="J508" s="31"/>
      <c r="K508" s="19"/>
      <c r="L508" s="19"/>
      <c r="M508" s="19"/>
      <c r="N508" s="31"/>
      <c r="O508" s="31"/>
      <c r="P508" s="19"/>
      <c r="Q508" s="19"/>
    </row>
    <row r="509" spans="1:17" ht="46.5" customHeight="1" x14ac:dyDescent="0.7">
      <c r="A509" s="19"/>
      <c r="B509" s="19"/>
      <c r="C509" s="19"/>
      <c r="D509" s="31"/>
      <c r="E509" s="31"/>
      <c r="F509" s="31"/>
      <c r="G509" s="31"/>
      <c r="H509" s="31"/>
      <c r="I509" s="31"/>
      <c r="J509" s="31"/>
      <c r="K509" s="19"/>
      <c r="L509" s="19"/>
      <c r="M509" s="19"/>
      <c r="N509" s="31"/>
      <c r="O509" s="31"/>
      <c r="P509" s="19"/>
      <c r="Q509" s="19"/>
    </row>
    <row r="510" spans="1:17" ht="46.5" customHeight="1" x14ac:dyDescent="0.7">
      <c r="A510" s="19"/>
      <c r="B510" s="19"/>
      <c r="C510" s="19"/>
      <c r="D510" s="31"/>
      <c r="E510" s="31"/>
      <c r="F510" s="31"/>
      <c r="G510" s="31"/>
      <c r="H510" s="31"/>
      <c r="I510" s="31"/>
      <c r="J510" s="31"/>
      <c r="K510" s="19"/>
      <c r="L510" s="19"/>
      <c r="M510" s="19"/>
      <c r="N510" s="31"/>
      <c r="O510" s="31"/>
      <c r="P510" s="19"/>
      <c r="Q510" s="19"/>
    </row>
    <row r="511" spans="1:17" ht="46.5" customHeight="1" x14ac:dyDescent="0.7">
      <c r="A511" s="19"/>
      <c r="B511" s="19"/>
      <c r="C511" s="19"/>
      <c r="D511" s="31"/>
      <c r="E511" s="31"/>
      <c r="F511" s="31"/>
      <c r="G511" s="31"/>
      <c r="H511" s="31"/>
      <c r="I511" s="31"/>
      <c r="J511" s="31"/>
      <c r="K511" s="19"/>
      <c r="L511" s="19"/>
      <c r="M511" s="19"/>
      <c r="N511" s="31"/>
      <c r="O511" s="31"/>
      <c r="P511" s="19"/>
      <c r="Q511" s="19"/>
    </row>
    <row r="512" spans="1:17" ht="46.5" customHeight="1" x14ac:dyDescent="0.7">
      <c r="A512" s="19"/>
      <c r="B512" s="19"/>
      <c r="C512" s="19"/>
      <c r="D512" s="31"/>
      <c r="E512" s="31"/>
      <c r="F512" s="31"/>
      <c r="G512" s="31"/>
      <c r="H512" s="31"/>
      <c r="I512" s="31"/>
      <c r="J512" s="31"/>
      <c r="K512" s="19"/>
      <c r="L512" s="19"/>
      <c r="M512" s="19"/>
      <c r="N512" s="31"/>
      <c r="O512" s="31"/>
      <c r="P512" s="19"/>
      <c r="Q512" s="19"/>
    </row>
    <row r="513" spans="1:17" ht="46.5" customHeight="1" x14ac:dyDescent="0.7">
      <c r="A513" s="19"/>
      <c r="B513" s="19"/>
      <c r="C513" s="19"/>
      <c r="D513" s="31"/>
      <c r="E513" s="31"/>
      <c r="F513" s="31"/>
      <c r="G513" s="31"/>
      <c r="H513" s="31"/>
      <c r="I513" s="31"/>
      <c r="J513" s="31"/>
      <c r="K513" s="19"/>
      <c r="L513" s="19"/>
      <c r="M513" s="19"/>
      <c r="N513" s="31"/>
      <c r="O513" s="31"/>
      <c r="P513" s="19"/>
      <c r="Q513" s="19"/>
    </row>
    <row r="514" spans="1:17" ht="46.5" customHeight="1" x14ac:dyDescent="0.7">
      <c r="A514" s="19"/>
      <c r="B514" s="19"/>
      <c r="C514" s="19"/>
      <c r="D514" s="31"/>
      <c r="E514" s="31"/>
      <c r="F514" s="31"/>
      <c r="G514" s="31"/>
      <c r="H514" s="31"/>
      <c r="I514" s="31"/>
      <c r="J514" s="31"/>
      <c r="K514" s="19"/>
      <c r="L514" s="19"/>
      <c r="M514" s="19"/>
      <c r="N514" s="31"/>
      <c r="O514" s="31"/>
      <c r="P514" s="19"/>
      <c r="Q514" s="19"/>
    </row>
    <row r="515" spans="1:17" ht="46.5" customHeight="1" x14ac:dyDescent="0.7">
      <c r="A515" s="19"/>
      <c r="B515" s="19"/>
      <c r="C515" s="19"/>
      <c r="D515" s="31"/>
      <c r="E515" s="31"/>
      <c r="F515" s="31"/>
      <c r="G515" s="31"/>
      <c r="H515" s="31"/>
      <c r="I515" s="31"/>
      <c r="J515" s="31"/>
      <c r="K515" s="19"/>
      <c r="L515" s="19"/>
      <c r="M515" s="19"/>
      <c r="N515" s="31"/>
      <c r="O515" s="31"/>
      <c r="P515" s="19"/>
      <c r="Q515" s="19"/>
    </row>
    <row r="516" spans="1:17" ht="46.5" customHeight="1" x14ac:dyDescent="0.7">
      <c r="A516" s="19"/>
      <c r="B516" s="19"/>
      <c r="C516" s="19"/>
      <c r="D516" s="31"/>
      <c r="E516" s="31"/>
      <c r="F516" s="31"/>
      <c r="G516" s="31"/>
      <c r="H516" s="31"/>
      <c r="I516" s="31"/>
      <c r="J516" s="31"/>
      <c r="K516" s="19"/>
      <c r="L516" s="19"/>
      <c r="M516" s="19"/>
      <c r="N516" s="31"/>
      <c r="O516" s="31"/>
      <c r="P516" s="19"/>
      <c r="Q516" s="19"/>
    </row>
    <row r="517" spans="1:17" ht="46.5" customHeight="1" x14ac:dyDescent="0.7">
      <c r="A517" s="19"/>
      <c r="B517" s="19"/>
      <c r="C517" s="19"/>
      <c r="D517" s="31"/>
      <c r="E517" s="31"/>
      <c r="F517" s="31"/>
      <c r="G517" s="31"/>
      <c r="H517" s="31"/>
      <c r="I517" s="31"/>
      <c r="J517" s="31"/>
      <c r="K517" s="19"/>
      <c r="L517" s="19"/>
      <c r="M517" s="19"/>
      <c r="N517" s="31"/>
      <c r="O517" s="31"/>
      <c r="P517" s="19"/>
      <c r="Q517" s="19"/>
    </row>
    <row r="518" spans="1:17" ht="46.5" customHeight="1" x14ac:dyDescent="0.7">
      <c r="A518" s="19"/>
      <c r="B518" s="19"/>
      <c r="C518" s="19"/>
      <c r="D518" s="31"/>
      <c r="E518" s="31"/>
      <c r="F518" s="31"/>
      <c r="G518" s="31"/>
      <c r="H518" s="31"/>
      <c r="I518" s="31"/>
      <c r="J518" s="31"/>
      <c r="K518" s="19"/>
      <c r="L518" s="19"/>
      <c r="M518" s="19"/>
      <c r="N518" s="31"/>
      <c r="O518" s="31"/>
      <c r="P518" s="19"/>
      <c r="Q518" s="19"/>
    </row>
    <row r="519" spans="1:17" ht="46.5" customHeight="1" x14ac:dyDescent="0.7">
      <c r="A519" s="19"/>
      <c r="B519" s="19"/>
      <c r="C519" s="19"/>
      <c r="D519" s="31"/>
      <c r="E519" s="31"/>
      <c r="F519" s="31"/>
      <c r="G519" s="31"/>
      <c r="H519" s="31"/>
      <c r="I519" s="31"/>
      <c r="J519" s="31"/>
      <c r="K519" s="19"/>
      <c r="L519" s="19"/>
      <c r="M519" s="19"/>
      <c r="N519" s="31"/>
      <c r="O519" s="31"/>
      <c r="P519" s="19"/>
      <c r="Q519" s="19"/>
    </row>
    <row r="520" spans="1:17" ht="46.5" customHeight="1" x14ac:dyDescent="0.7">
      <c r="A520" s="19"/>
      <c r="B520" s="19"/>
      <c r="C520" s="19"/>
      <c r="D520" s="31"/>
      <c r="E520" s="31"/>
      <c r="F520" s="31"/>
      <c r="G520" s="31"/>
      <c r="H520" s="31"/>
      <c r="I520" s="31"/>
      <c r="J520" s="31"/>
      <c r="K520" s="19"/>
      <c r="L520" s="19"/>
      <c r="M520" s="19"/>
      <c r="N520" s="31"/>
      <c r="O520" s="31"/>
      <c r="P520" s="19"/>
      <c r="Q520" s="19"/>
    </row>
    <row r="521" spans="1:17" ht="46.5" customHeight="1" x14ac:dyDescent="0.7">
      <c r="A521" s="19"/>
      <c r="B521" s="19"/>
      <c r="C521" s="19"/>
      <c r="D521" s="31"/>
      <c r="E521" s="31"/>
      <c r="F521" s="31"/>
      <c r="G521" s="31"/>
      <c r="H521" s="31"/>
      <c r="I521" s="31"/>
      <c r="J521" s="31"/>
      <c r="K521" s="19"/>
      <c r="L521" s="19"/>
      <c r="M521" s="19"/>
      <c r="N521" s="31"/>
      <c r="O521" s="31"/>
      <c r="P521" s="19"/>
      <c r="Q521" s="19"/>
    </row>
    <row r="522" spans="1:17" ht="46.5" customHeight="1" x14ac:dyDescent="0.7">
      <c r="A522" s="19"/>
      <c r="B522" s="19"/>
      <c r="C522" s="19"/>
      <c r="D522" s="31"/>
      <c r="E522" s="31"/>
      <c r="F522" s="31"/>
      <c r="G522" s="31"/>
      <c r="H522" s="31"/>
      <c r="I522" s="31"/>
      <c r="J522" s="31"/>
      <c r="K522" s="19"/>
      <c r="L522" s="19"/>
      <c r="M522" s="19"/>
      <c r="N522" s="31"/>
      <c r="O522" s="31"/>
      <c r="P522" s="19"/>
      <c r="Q522" s="19"/>
    </row>
    <row r="523" spans="1:17" ht="46.5" customHeight="1" x14ac:dyDescent="0.7">
      <c r="A523" s="19"/>
      <c r="B523" s="19"/>
      <c r="C523" s="19"/>
      <c r="D523" s="31"/>
      <c r="E523" s="31"/>
      <c r="F523" s="31"/>
      <c r="G523" s="31"/>
      <c r="H523" s="31"/>
      <c r="I523" s="31"/>
      <c r="J523" s="31"/>
      <c r="K523" s="19"/>
      <c r="L523" s="19"/>
      <c r="M523" s="19"/>
      <c r="N523" s="31"/>
      <c r="O523" s="31"/>
      <c r="P523" s="19"/>
      <c r="Q523" s="19"/>
    </row>
    <row r="524" spans="1:17" ht="46.5" customHeight="1" x14ac:dyDescent="0.7">
      <c r="A524" s="19"/>
      <c r="B524" s="19"/>
      <c r="C524" s="19"/>
      <c r="D524" s="31"/>
      <c r="E524" s="31"/>
      <c r="F524" s="31"/>
      <c r="G524" s="31"/>
      <c r="H524" s="31"/>
      <c r="I524" s="31"/>
      <c r="J524" s="31"/>
      <c r="K524" s="19"/>
      <c r="L524" s="19"/>
      <c r="M524" s="19"/>
      <c r="N524" s="31"/>
      <c r="O524" s="31"/>
      <c r="P524" s="19"/>
      <c r="Q524" s="19"/>
    </row>
    <row r="525" spans="1:17" ht="46.5" customHeight="1" x14ac:dyDescent="0.7">
      <c r="A525" s="19"/>
      <c r="B525" s="19"/>
      <c r="C525" s="19"/>
      <c r="D525" s="31"/>
      <c r="E525" s="31"/>
      <c r="F525" s="31"/>
      <c r="G525" s="31"/>
      <c r="H525" s="31"/>
      <c r="I525" s="31"/>
      <c r="J525" s="31"/>
      <c r="K525" s="19"/>
      <c r="L525" s="19"/>
      <c r="M525" s="19"/>
      <c r="N525" s="31"/>
      <c r="O525" s="31"/>
      <c r="P525" s="19"/>
      <c r="Q525" s="19"/>
    </row>
    <row r="526" spans="1:17" ht="46.5" customHeight="1" x14ac:dyDescent="0.7">
      <c r="A526" s="19"/>
      <c r="B526" s="19"/>
      <c r="C526" s="19"/>
      <c r="D526" s="31"/>
      <c r="E526" s="31"/>
      <c r="F526" s="31"/>
      <c r="G526" s="31"/>
      <c r="H526" s="31"/>
      <c r="I526" s="31"/>
      <c r="J526" s="31"/>
      <c r="K526" s="19"/>
      <c r="L526" s="19"/>
      <c r="M526" s="19"/>
      <c r="N526" s="31"/>
      <c r="O526" s="31"/>
      <c r="P526" s="19"/>
      <c r="Q526" s="19"/>
    </row>
    <row r="527" spans="1:17" ht="46.5" customHeight="1" x14ac:dyDescent="0.7">
      <c r="A527" s="19"/>
      <c r="B527" s="19"/>
      <c r="C527" s="19"/>
      <c r="D527" s="31"/>
      <c r="E527" s="31"/>
      <c r="F527" s="31"/>
      <c r="G527" s="31"/>
      <c r="H527" s="31"/>
      <c r="I527" s="31"/>
      <c r="J527" s="31"/>
      <c r="K527" s="19"/>
      <c r="L527" s="19"/>
      <c r="M527" s="19"/>
      <c r="N527" s="31"/>
      <c r="O527" s="31"/>
      <c r="P527" s="19"/>
      <c r="Q527" s="19"/>
    </row>
    <row r="528" spans="1:17" ht="46.5" customHeight="1" x14ac:dyDescent="0.7">
      <c r="A528" s="19"/>
      <c r="B528" s="19"/>
      <c r="C528" s="19"/>
      <c r="D528" s="31"/>
      <c r="E528" s="31"/>
      <c r="F528" s="31"/>
      <c r="G528" s="31"/>
      <c r="H528" s="31"/>
      <c r="I528" s="31"/>
      <c r="J528" s="31"/>
      <c r="K528" s="19"/>
      <c r="L528" s="19"/>
      <c r="M528" s="19"/>
      <c r="N528" s="31"/>
      <c r="O528" s="31"/>
      <c r="P528" s="19"/>
      <c r="Q528" s="19"/>
    </row>
    <row r="529" spans="1:17" ht="46.5" customHeight="1" x14ac:dyDescent="0.7">
      <c r="A529" s="19"/>
      <c r="B529" s="19"/>
      <c r="C529" s="19"/>
      <c r="D529" s="31"/>
      <c r="E529" s="31"/>
      <c r="F529" s="31"/>
      <c r="G529" s="31"/>
      <c r="H529" s="31"/>
      <c r="I529" s="31"/>
      <c r="J529" s="31"/>
      <c r="K529" s="19"/>
      <c r="L529" s="19"/>
      <c r="M529" s="19"/>
      <c r="N529" s="31"/>
      <c r="O529" s="31"/>
      <c r="P529" s="19"/>
      <c r="Q529" s="19"/>
    </row>
    <row r="530" spans="1:17" ht="46.5" customHeight="1" x14ac:dyDescent="0.7">
      <c r="A530" s="19"/>
      <c r="B530" s="19"/>
      <c r="C530" s="19"/>
      <c r="D530" s="31"/>
      <c r="E530" s="31"/>
      <c r="F530" s="31"/>
      <c r="G530" s="31"/>
      <c r="H530" s="31"/>
      <c r="I530" s="31"/>
      <c r="J530" s="31"/>
      <c r="K530" s="19"/>
      <c r="L530" s="19"/>
      <c r="M530" s="19"/>
      <c r="N530" s="31"/>
      <c r="O530" s="31"/>
      <c r="P530" s="19"/>
      <c r="Q530" s="19"/>
    </row>
    <row r="531" spans="1:17" ht="46.5" customHeight="1" x14ac:dyDescent="0.7">
      <c r="A531" s="19"/>
      <c r="B531" s="19"/>
      <c r="C531" s="19"/>
      <c r="D531" s="31"/>
      <c r="E531" s="31"/>
      <c r="F531" s="31"/>
      <c r="G531" s="31"/>
      <c r="H531" s="31"/>
      <c r="I531" s="31"/>
      <c r="J531" s="31"/>
      <c r="K531" s="19"/>
      <c r="L531" s="19"/>
      <c r="M531" s="19"/>
      <c r="N531" s="31"/>
      <c r="O531" s="31"/>
      <c r="P531" s="19"/>
      <c r="Q531" s="19"/>
    </row>
    <row r="532" spans="1:17" ht="46.5" customHeight="1" x14ac:dyDescent="0.7">
      <c r="A532" s="19"/>
      <c r="B532" s="19"/>
      <c r="C532" s="19"/>
      <c r="D532" s="31"/>
      <c r="E532" s="31"/>
      <c r="F532" s="31"/>
      <c r="G532" s="31"/>
      <c r="H532" s="31"/>
      <c r="I532" s="31"/>
      <c r="J532" s="31"/>
      <c r="K532" s="19"/>
      <c r="L532" s="19"/>
      <c r="M532" s="19"/>
      <c r="N532" s="31"/>
      <c r="O532" s="31"/>
      <c r="P532" s="19"/>
      <c r="Q532" s="19"/>
    </row>
    <row r="533" spans="1:17" ht="46.5" customHeight="1" x14ac:dyDescent="0.7">
      <c r="A533" s="19"/>
      <c r="B533" s="19"/>
      <c r="C533" s="19"/>
      <c r="D533" s="31"/>
      <c r="E533" s="31"/>
      <c r="F533" s="31"/>
      <c r="G533" s="31"/>
      <c r="H533" s="31"/>
      <c r="I533" s="31"/>
      <c r="J533" s="31"/>
      <c r="K533" s="19"/>
      <c r="L533" s="19"/>
      <c r="M533" s="19"/>
      <c r="N533" s="31"/>
      <c r="O533" s="31"/>
      <c r="P533" s="19"/>
      <c r="Q533" s="19"/>
    </row>
    <row r="534" spans="1:17" ht="46.5" customHeight="1" x14ac:dyDescent="0.7">
      <c r="A534" s="19"/>
      <c r="B534" s="19"/>
      <c r="C534" s="19"/>
      <c r="D534" s="31"/>
      <c r="E534" s="31"/>
      <c r="F534" s="31"/>
      <c r="G534" s="31"/>
      <c r="H534" s="31"/>
      <c r="I534" s="31"/>
      <c r="J534" s="31"/>
      <c r="K534" s="19"/>
      <c r="L534" s="19"/>
      <c r="M534" s="19"/>
      <c r="N534" s="31"/>
      <c r="O534" s="31"/>
      <c r="P534" s="19"/>
      <c r="Q534" s="19"/>
    </row>
    <row r="535" spans="1:17" ht="46.5" customHeight="1" x14ac:dyDescent="0.7">
      <c r="A535" s="19"/>
      <c r="B535" s="19"/>
      <c r="C535" s="19"/>
      <c r="D535" s="31"/>
      <c r="E535" s="31"/>
      <c r="F535" s="31"/>
      <c r="G535" s="31"/>
      <c r="H535" s="31"/>
      <c r="I535" s="31"/>
      <c r="J535" s="31"/>
      <c r="K535" s="19"/>
      <c r="L535" s="19"/>
      <c r="M535" s="19"/>
      <c r="N535" s="31"/>
      <c r="O535" s="31"/>
      <c r="P535" s="19"/>
      <c r="Q535" s="19"/>
    </row>
    <row r="536" spans="1:17" ht="46.5" customHeight="1" x14ac:dyDescent="0.7">
      <c r="A536" s="19"/>
      <c r="B536" s="19"/>
      <c r="C536" s="19"/>
      <c r="D536" s="31"/>
      <c r="E536" s="31"/>
      <c r="F536" s="31"/>
      <c r="G536" s="31"/>
      <c r="H536" s="31"/>
      <c r="I536" s="31"/>
      <c r="J536" s="31"/>
      <c r="K536" s="19"/>
      <c r="L536" s="19"/>
      <c r="M536" s="19"/>
      <c r="N536" s="31"/>
      <c r="O536" s="31"/>
      <c r="P536" s="19"/>
      <c r="Q536" s="19"/>
    </row>
    <row r="537" spans="1:17" ht="46.5" customHeight="1" x14ac:dyDescent="0.7">
      <c r="A537" s="19"/>
      <c r="B537" s="19"/>
      <c r="C537" s="19"/>
      <c r="D537" s="31"/>
      <c r="E537" s="31"/>
      <c r="F537" s="31"/>
      <c r="G537" s="31"/>
      <c r="H537" s="31"/>
      <c r="I537" s="31"/>
      <c r="J537" s="31"/>
      <c r="K537" s="19"/>
      <c r="L537" s="19"/>
      <c r="M537" s="19"/>
      <c r="N537" s="31"/>
      <c r="O537" s="31"/>
      <c r="P537" s="19"/>
      <c r="Q537" s="19"/>
    </row>
    <row r="538" spans="1:17" ht="46.5" customHeight="1" x14ac:dyDescent="0.7">
      <c r="A538" s="19"/>
      <c r="B538" s="19"/>
      <c r="C538" s="19"/>
      <c r="D538" s="31"/>
      <c r="E538" s="31"/>
      <c r="F538" s="31"/>
      <c r="G538" s="31"/>
      <c r="H538" s="31"/>
      <c r="I538" s="31"/>
      <c r="J538" s="31"/>
      <c r="K538" s="19"/>
      <c r="L538" s="19"/>
      <c r="M538" s="19"/>
      <c r="N538" s="31"/>
      <c r="O538" s="31"/>
      <c r="P538" s="19"/>
      <c r="Q538" s="19"/>
    </row>
    <row r="539" spans="1:17" ht="46.5" customHeight="1" x14ac:dyDescent="0.7">
      <c r="A539" s="19"/>
      <c r="B539" s="19"/>
      <c r="C539" s="19"/>
      <c r="D539" s="31"/>
      <c r="E539" s="31"/>
      <c r="F539" s="31"/>
      <c r="G539" s="31"/>
      <c r="H539" s="31"/>
      <c r="I539" s="31"/>
      <c r="J539" s="31"/>
      <c r="K539" s="19"/>
      <c r="L539" s="19"/>
      <c r="M539" s="19"/>
      <c r="N539" s="31"/>
      <c r="O539" s="31"/>
      <c r="P539" s="19"/>
      <c r="Q539" s="19"/>
    </row>
    <row r="540" spans="1:17" ht="46.5" customHeight="1" x14ac:dyDescent="0.7">
      <c r="A540" s="19"/>
      <c r="B540" s="19"/>
      <c r="C540" s="19"/>
      <c r="D540" s="31"/>
      <c r="E540" s="31"/>
      <c r="F540" s="31"/>
      <c r="G540" s="31"/>
      <c r="H540" s="31"/>
      <c r="I540" s="31"/>
      <c r="J540" s="31"/>
      <c r="K540" s="19"/>
      <c r="L540" s="19"/>
      <c r="M540" s="19"/>
      <c r="N540" s="31"/>
      <c r="O540" s="31"/>
      <c r="P540" s="19"/>
      <c r="Q540" s="19"/>
    </row>
    <row r="541" spans="1:17" ht="46.5" customHeight="1" x14ac:dyDescent="0.7">
      <c r="A541" s="19"/>
      <c r="B541" s="19"/>
      <c r="C541" s="19"/>
      <c r="D541" s="31"/>
      <c r="E541" s="31"/>
      <c r="F541" s="31"/>
      <c r="G541" s="31"/>
      <c r="H541" s="31"/>
      <c r="I541" s="31"/>
      <c r="J541" s="31"/>
      <c r="K541" s="19"/>
      <c r="L541" s="19"/>
      <c r="M541" s="19"/>
      <c r="N541" s="31"/>
      <c r="O541" s="31"/>
      <c r="P541" s="19"/>
      <c r="Q541" s="19"/>
    </row>
    <row r="542" spans="1:17" ht="46.5" customHeight="1" x14ac:dyDescent="0.7">
      <c r="A542" s="19"/>
      <c r="B542" s="19"/>
      <c r="C542" s="19"/>
      <c r="D542" s="31"/>
      <c r="E542" s="31"/>
      <c r="F542" s="31"/>
      <c r="G542" s="31"/>
      <c r="H542" s="31"/>
      <c r="I542" s="31"/>
      <c r="J542" s="31"/>
      <c r="K542" s="19"/>
      <c r="L542" s="19"/>
      <c r="M542" s="19"/>
      <c r="N542" s="31"/>
      <c r="O542" s="31"/>
      <c r="P542" s="19"/>
      <c r="Q542" s="19"/>
    </row>
    <row r="543" spans="1:17" ht="46.5" customHeight="1" x14ac:dyDescent="0.7">
      <c r="A543" s="19"/>
      <c r="B543" s="19"/>
      <c r="C543" s="19"/>
      <c r="D543" s="31"/>
      <c r="E543" s="31"/>
      <c r="F543" s="31"/>
      <c r="G543" s="31"/>
      <c r="H543" s="31"/>
      <c r="I543" s="31"/>
      <c r="J543" s="31"/>
      <c r="K543" s="19"/>
      <c r="L543" s="19"/>
      <c r="M543" s="19"/>
      <c r="N543" s="31"/>
      <c r="O543" s="31"/>
      <c r="P543" s="19"/>
      <c r="Q543" s="19"/>
    </row>
    <row r="544" spans="1:17" ht="46.5" customHeight="1" x14ac:dyDescent="0.7">
      <c r="A544" s="19"/>
      <c r="B544" s="19"/>
      <c r="C544" s="19"/>
      <c r="D544" s="31"/>
      <c r="E544" s="31"/>
      <c r="F544" s="31"/>
      <c r="G544" s="31"/>
      <c r="H544" s="31"/>
      <c r="I544" s="31"/>
      <c r="J544" s="31"/>
      <c r="K544" s="19"/>
      <c r="L544" s="19"/>
      <c r="M544" s="19"/>
      <c r="N544" s="31"/>
      <c r="O544" s="31"/>
      <c r="P544" s="19"/>
      <c r="Q544" s="19"/>
    </row>
    <row r="545" spans="1:17" ht="46.5" customHeight="1" x14ac:dyDescent="0.7">
      <c r="A545" s="19"/>
      <c r="B545" s="19"/>
      <c r="C545" s="19"/>
      <c r="D545" s="31"/>
      <c r="E545" s="31"/>
      <c r="F545" s="31"/>
      <c r="G545" s="31"/>
      <c r="H545" s="31"/>
      <c r="I545" s="31"/>
      <c r="J545" s="31"/>
      <c r="K545" s="19"/>
      <c r="L545" s="19"/>
      <c r="M545" s="19"/>
      <c r="N545" s="31"/>
      <c r="O545" s="31"/>
      <c r="P545" s="19"/>
      <c r="Q545" s="19"/>
    </row>
    <row r="546" spans="1:17" ht="46.5" customHeight="1" x14ac:dyDescent="0.7">
      <c r="A546" s="19"/>
      <c r="B546" s="19"/>
      <c r="C546" s="19"/>
      <c r="D546" s="31"/>
      <c r="E546" s="31"/>
      <c r="F546" s="31"/>
      <c r="G546" s="31"/>
      <c r="H546" s="31"/>
      <c r="I546" s="31"/>
      <c r="J546" s="31"/>
      <c r="K546" s="19"/>
      <c r="L546" s="19"/>
      <c r="M546" s="19"/>
      <c r="N546" s="31"/>
      <c r="O546" s="31"/>
      <c r="P546" s="19"/>
      <c r="Q546" s="19"/>
    </row>
    <row r="547" spans="1:17" ht="46.5" customHeight="1" x14ac:dyDescent="0.7">
      <c r="A547" s="19"/>
      <c r="B547" s="19"/>
      <c r="C547" s="19"/>
      <c r="D547" s="31"/>
      <c r="E547" s="31"/>
      <c r="F547" s="31"/>
      <c r="G547" s="31"/>
      <c r="H547" s="31"/>
      <c r="I547" s="31"/>
      <c r="J547" s="31"/>
      <c r="K547" s="19"/>
      <c r="L547" s="19"/>
      <c r="M547" s="19"/>
      <c r="N547" s="31"/>
      <c r="O547" s="31"/>
      <c r="P547" s="19"/>
      <c r="Q547" s="19"/>
    </row>
    <row r="548" spans="1:17" ht="46.5" customHeight="1" x14ac:dyDescent="0.7">
      <c r="A548" s="19"/>
      <c r="B548" s="19"/>
      <c r="C548" s="19"/>
      <c r="D548" s="31"/>
      <c r="E548" s="31"/>
      <c r="F548" s="31"/>
      <c r="G548" s="31"/>
      <c r="H548" s="31"/>
      <c r="I548" s="31"/>
      <c r="J548" s="31"/>
      <c r="K548" s="19"/>
      <c r="L548" s="19"/>
      <c r="M548" s="19"/>
      <c r="N548" s="31"/>
      <c r="O548" s="31"/>
      <c r="P548" s="19"/>
      <c r="Q548" s="19"/>
    </row>
    <row r="549" spans="1:17" ht="46.5" customHeight="1" x14ac:dyDescent="0.7">
      <c r="A549" s="19"/>
      <c r="B549" s="19"/>
      <c r="C549" s="19"/>
      <c r="D549" s="31"/>
      <c r="E549" s="31"/>
      <c r="F549" s="31"/>
      <c r="G549" s="31"/>
      <c r="H549" s="31"/>
      <c r="I549" s="31"/>
      <c r="J549" s="31"/>
      <c r="K549" s="19"/>
      <c r="L549" s="19"/>
      <c r="M549" s="19"/>
      <c r="N549" s="31"/>
      <c r="O549" s="31"/>
      <c r="P549" s="19"/>
      <c r="Q549" s="19"/>
    </row>
    <row r="550" spans="1:17" ht="46.5" customHeight="1" x14ac:dyDescent="0.7">
      <c r="A550" s="19"/>
      <c r="B550" s="19"/>
      <c r="C550" s="19"/>
      <c r="D550" s="31"/>
      <c r="E550" s="31"/>
      <c r="F550" s="31"/>
      <c r="G550" s="31"/>
      <c r="H550" s="31"/>
      <c r="I550" s="31"/>
      <c r="J550" s="31"/>
      <c r="K550" s="19"/>
      <c r="L550" s="19"/>
      <c r="M550" s="19"/>
      <c r="N550" s="31"/>
      <c r="O550" s="31"/>
      <c r="P550" s="19"/>
      <c r="Q550" s="19"/>
    </row>
    <row r="551" spans="1:17" ht="46.5" customHeight="1" x14ac:dyDescent="0.7">
      <c r="A551" s="19"/>
      <c r="B551" s="19"/>
      <c r="C551" s="19"/>
      <c r="D551" s="31"/>
      <c r="E551" s="31"/>
      <c r="F551" s="31"/>
      <c r="G551" s="31"/>
      <c r="H551" s="31"/>
      <c r="I551" s="31"/>
      <c r="J551" s="31"/>
      <c r="K551" s="19"/>
      <c r="L551" s="19"/>
      <c r="M551" s="19"/>
      <c r="N551" s="31"/>
      <c r="O551" s="31"/>
      <c r="P551" s="19"/>
      <c r="Q551" s="19"/>
    </row>
    <row r="552" spans="1:17" ht="46.5" customHeight="1" x14ac:dyDescent="0.7">
      <c r="A552" s="19"/>
      <c r="B552" s="19"/>
      <c r="C552" s="19"/>
      <c r="D552" s="31"/>
      <c r="E552" s="31"/>
      <c r="F552" s="31"/>
      <c r="G552" s="31"/>
      <c r="H552" s="31"/>
      <c r="I552" s="31"/>
      <c r="J552" s="31"/>
      <c r="K552" s="19"/>
      <c r="L552" s="19"/>
      <c r="M552" s="19"/>
      <c r="N552" s="31"/>
      <c r="O552" s="31"/>
      <c r="P552" s="19"/>
      <c r="Q552" s="19"/>
    </row>
    <row r="553" spans="1:17" ht="46.5" customHeight="1" x14ac:dyDescent="0.7">
      <c r="A553" s="19"/>
      <c r="B553" s="19"/>
      <c r="C553" s="19"/>
      <c r="D553" s="31"/>
      <c r="E553" s="31"/>
      <c r="F553" s="31"/>
      <c r="G553" s="31"/>
      <c r="H553" s="31"/>
      <c r="I553" s="31"/>
      <c r="J553" s="31"/>
      <c r="K553" s="19"/>
      <c r="L553" s="19"/>
      <c r="M553" s="19"/>
      <c r="N553" s="31"/>
      <c r="O553" s="31"/>
      <c r="P553" s="19"/>
      <c r="Q553" s="19"/>
    </row>
    <row r="554" spans="1:17" ht="46.5" customHeight="1" x14ac:dyDescent="0.7">
      <c r="A554" s="19"/>
      <c r="B554" s="19"/>
      <c r="C554" s="19"/>
      <c r="D554" s="31"/>
      <c r="E554" s="31"/>
      <c r="F554" s="31"/>
      <c r="G554" s="31"/>
      <c r="H554" s="31"/>
      <c r="I554" s="31"/>
      <c r="J554" s="31"/>
      <c r="K554" s="19"/>
      <c r="L554" s="19"/>
      <c r="M554" s="19"/>
      <c r="N554" s="31"/>
      <c r="O554" s="31"/>
      <c r="P554" s="19"/>
      <c r="Q554" s="19"/>
    </row>
    <row r="555" spans="1:17" ht="46.5" customHeight="1" x14ac:dyDescent="0.7">
      <c r="A555" s="19"/>
      <c r="B555" s="19"/>
      <c r="C555" s="19"/>
      <c r="D555" s="31"/>
      <c r="E555" s="31"/>
      <c r="F555" s="31"/>
      <c r="G555" s="31"/>
      <c r="H555" s="31"/>
      <c r="I555" s="31"/>
      <c r="J555" s="31"/>
      <c r="K555" s="19"/>
      <c r="L555" s="19"/>
      <c r="M555" s="19"/>
      <c r="N555" s="31"/>
      <c r="O555" s="31"/>
      <c r="P555" s="19"/>
      <c r="Q555" s="19"/>
    </row>
    <row r="556" spans="1:17" ht="46.5" customHeight="1" x14ac:dyDescent="0.7">
      <c r="A556" s="19"/>
      <c r="B556" s="19"/>
      <c r="C556" s="19"/>
      <c r="D556" s="31"/>
      <c r="E556" s="31"/>
      <c r="F556" s="31"/>
      <c r="G556" s="31"/>
      <c r="H556" s="31"/>
      <c r="I556" s="31"/>
      <c r="J556" s="31"/>
      <c r="K556" s="19"/>
      <c r="L556" s="19"/>
      <c r="M556" s="19"/>
      <c r="N556" s="31"/>
      <c r="O556" s="31"/>
      <c r="P556" s="19"/>
      <c r="Q556" s="19"/>
    </row>
    <row r="557" spans="1:17" ht="46.5" customHeight="1" x14ac:dyDescent="0.7">
      <c r="A557" s="19"/>
      <c r="B557" s="19"/>
      <c r="C557" s="19"/>
      <c r="D557" s="31"/>
      <c r="E557" s="31"/>
      <c r="F557" s="31"/>
      <c r="G557" s="31"/>
      <c r="H557" s="31"/>
      <c r="I557" s="31"/>
      <c r="J557" s="31"/>
      <c r="K557" s="19"/>
      <c r="L557" s="19"/>
      <c r="M557" s="19"/>
      <c r="N557" s="31"/>
      <c r="O557" s="31"/>
      <c r="P557" s="19"/>
      <c r="Q557" s="19"/>
    </row>
    <row r="558" spans="1:17" ht="46.5" customHeight="1" x14ac:dyDescent="0.7">
      <c r="A558" s="19"/>
      <c r="B558" s="19"/>
      <c r="C558" s="19"/>
      <c r="D558" s="31"/>
      <c r="E558" s="31"/>
      <c r="F558" s="31"/>
      <c r="G558" s="31"/>
      <c r="H558" s="31"/>
      <c r="I558" s="31"/>
      <c r="J558" s="31"/>
      <c r="K558" s="19"/>
      <c r="L558" s="19"/>
      <c r="M558" s="19"/>
      <c r="N558" s="31"/>
      <c r="O558" s="31"/>
      <c r="P558" s="19"/>
      <c r="Q558" s="19"/>
    </row>
    <row r="559" spans="1:17" ht="46.5" customHeight="1" x14ac:dyDescent="0.7">
      <c r="A559" s="19"/>
      <c r="B559" s="19"/>
      <c r="C559" s="19"/>
      <c r="D559" s="31"/>
      <c r="E559" s="31"/>
      <c r="F559" s="31"/>
      <c r="G559" s="31"/>
      <c r="H559" s="31"/>
      <c r="I559" s="31"/>
      <c r="J559" s="31"/>
      <c r="K559" s="19"/>
      <c r="L559" s="19"/>
      <c r="M559" s="19"/>
      <c r="N559" s="31"/>
      <c r="O559" s="31"/>
      <c r="P559" s="19"/>
      <c r="Q559" s="19"/>
    </row>
    <row r="560" spans="1:17" ht="46.5" customHeight="1" x14ac:dyDescent="0.7">
      <c r="A560" s="19"/>
      <c r="B560" s="19"/>
      <c r="C560" s="19"/>
      <c r="D560" s="31"/>
      <c r="E560" s="31"/>
      <c r="F560" s="31"/>
      <c r="G560" s="31"/>
      <c r="H560" s="31"/>
      <c r="I560" s="31"/>
      <c r="J560" s="31"/>
      <c r="K560" s="19"/>
      <c r="L560" s="19"/>
      <c r="M560" s="19"/>
      <c r="N560" s="31"/>
      <c r="O560" s="31"/>
      <c r="P560" s="19"/>
      <c r="Q560" s="19"/>
    </row>
    <row r="561" spans="1:17" ht="46.5" customHeight="1" x14ac:dyDescent="0.7">
      <c r="A561" s="19"/>
      <c r="B561" s="19"/>
      <c r="C561" s="19"/>
      <c r="D561" s="31"/>
      <c r="E561" s="31"/>
      <c r="F561" s="31"/>
      <c r="G561" s="31"/>
      <c r="H561" s="31"/>
      <c r="I561" s="31"/>
      <c r="J561" s="31"/>
      <c r="K561" s="19"/>
      <c r="L561" s="19"/>
      <c r="M561" s="19"/>
      <c r="N561" s="31"/>
      <c r="O561" s="31"/>
      <c r="P561" s="19"/>
      <c r="Q561" s="19"/>
    </row>
    <row r="562" spans="1:17" ht="46.5" customHeight="1" x14ac:dyDescent="0.7">
      <c r="A562" s="19"/>
      <c r="B562" s="19"/>
      <c r="C562" s="19"/>
      <c r="D562" s="31"/>
      <c r="E562" s="31"/>
      <c r="F562" s="31"/>
      <c r="G562" s="31"/>
      <c r="H562" s="31"/>
      <c r="I562" s="31"/>
      <c r="J562" s="31"/>
      <c r="K562" s="19"/>
      <c r="L562" s="19"/>
      <c r="M562" s="19"/>
      <c r="N562" s="31"/>
      <c r="O562" s="31"/>
      <c r="P562" s="19"/>
      <c r="Q562" s="19"/>
    </row>
    <row r="563" spans="1:17" ht="46.5" customHeight="1" x14ac:dyDescent="0.7">
      <c r="A563" s="19"/>
      <c r="B563" s="19"/>
      <c r="C563" s="19"/>
      <c r="D563" s="31"/>
      <c r="E563" s="31"/>
      <c r="F563" s="31"/>
      <c r="G563" s="31"/>
      <c r="H563" s="31"/>
      <c r="I563" s="31"/>
      <c r="J563" s="31"/>
      <c r="K563" s="19"/>
      <c r="L563" s="19"/>
      <c r="M563" s="19"/>
      <c r="N563" s="31"/>
      <c r="O563" s="31"/>
      <c r="P563" s="19"/>
      <c r="Q563" s="19"/>
    </row>
    <row r="564" spans="1:17" ht="46.5" customHeight="1" x14ac:dyDescent="0.7">
      <c r="A564" s="19"/>
      <c r="B564" s="19"/>
      <c r="C564" s="19"/>
      <c r="D564" s="31"/>
      <c r="E564" s="31"/>
      <c r="F564" s="31"/>
      <c r="G564" s="31"/>
      <c r="H564" s="31"/>
      <c r="I564" s="31"/>
      <c r="J564" s="31"/>
      <c r="K564" s="19"/>
      <c r="L564" s="19"/>
      <c r="M564" s="19"/>
      <c r="N564" s="31"/>
      <c r="O564" s="31"/>
      <c r="P564" s="19"/>
      <c r="Q564" s="19"/>
    </row>
    <row r="565" spans="1:17" ht="46.5" customHeight="1" x14ac:dyDescent="0.7">
      <c r="A565" s="19"/>
      <c r="B565" s="19"/>
      <c r="C565" s="19"/>
      <c r="D565" s="31"/>
      <c r="E565" s="31"/>
      <c r="F565" s="31"/>
      <c r="G565" s="31"/>
      <c r="H565" s="31"/>
      <c r="I565" s="31"/>
      <c r="J565" s="31"/>
      <c r="K565" s="19"/>
      <c r="L565" s="19"/>
      <c r="M565" s="19"/>
      <c r="N565" s="31"/>
      <c r="O565" s="31"/>
      <c r="P565" s="19"/>
      <c r="Q565" s="19"/>
    </row>
    <row r="566" spans="1:17" ht="46.5" customHeight="1" x14ac:dyDescent="0.7">
      <c r="A566" s="19"/>
      <c r="B566" s="19"/>
      <c r="C566" s="19"/>
      <c r="D566" s="31"/>
      <c r="E566" s="31"/>
      <c r="F566" s="31"/>
      <c r="G566" s="31"/>
      <c r="H566" s="31"/>
      <c r="I566" s="31"/>
      <c r="J566" s="31"/>
      <c r="K566" s="19"/>
      <c r="L566" s="19"/>
      <c r="M566" s="19"/>
      <c r="N566" s="31"/>
      <c r="O566" s="31"/>
      <c r="P566" s="19"/>
      <c r="Q566" s="19"/>
    </row>
    <row r="567" spans="1:17" ht="46.5" customHeight="1" x14ac:dyDescent="0.7">
      <c r="A567" s="19"/>
      <c r="B567" s="19"/>
      <c r="C567" s="19"/>
      <c r="D567" s="31"/>
      <c r="E567" s="31"/>
      <c r="F567" s="31"/>
      <c r="G567" s="31"/>
      <c r="H567" s="31"/>
      <c r="I567" s="31"/>
      <c r="J567" s="31"/>
      <c r="K567" s="19"/>
      <c r="L567" s="19"/>
      <c r="M567" s="19"/>
      <c r="N567" s="31"/>
      <c r="O567" s="31"/>
      <c r="P567" s="19"/>
      <c r="Q567" s="19"/>
    </row>
    <row r="568" spans="1:17" ht="46.5" customHeight="1" x14ac:dyDescent="0.7">
      <c r="A568" s="19"/>
      <c r="B568" s="19"/>
      <c r="C568" s="19"/>
      <c r="D568" s="31"/>
      <c r="E568" s="31"/>
      <c r="F568" s="31"/>
      <c r="G568" s="31"/>
      <c r="H568" s="31"/>
      <c r="I568" s="31"/>
      <c r="J568" s="31"/>
      <c r="K568" s="19"/>
      <c r="L568" s="19"/>
      <c r="M568" s="19"/>
      <c r="N568" s="31"/>
      <c r="O568" s="31"/>
      <c r="P568" s="19"/>
      <c r="Q568" s="19"/>
    </row>
    <row r="569" spans="1:17" ht="46.5" customHeight="1" x14ac:dyDescent="0.7">
      <c r="A569" s="19"/>
      <c r="B569" s="19"/>
      <c r="C569" s="19"/>
      <c r="D569" s="31"/>
      <c r="E569" s="31"/>
      <c r="F569" s="31"/>
      <c r="G569" s="31"/>
      <c r="H569" s="31"/>
      <c r="I569" s="31"/>
      <c r="J569" s="31"/>
      <c r="K569" s="19"/>
      <c r="L569" s="19"/>
      <c r="M569" s="19"/>
      <c r="N569" s="31"/>
      <c r="O569" s="31"/>
      <c r="P569" s="19"/>
      <c r="Q569" s="19"/>
    </row>
    <row r="570" spans="1:17" ht="46.5" customHeight="1" x14ac:dyDescent="0.7">
      <c r="A570" s="19"/>
      <c r="B570" s="19"/>
      <c r="C570" s="19"/>
      <c r="D570" s="31"/>
      <c r="E570" s="31"/>
      <c r="F570" s="31"/>
      <c r="G570" s="31"/>
      <c r="H570" s="31"/>
      <c r="I570" s="31"/>
      <c r="J570" s="31"/>
      <c r="K570" s="19"/>
      <c r="L570" s="19"/>
      <c r="M570" s="19"/>
      <c r="N570" s="31"/>
      <c r="O570" s="31"/>
      <c r="P570" s="19"/>
      <c r="Q570" s="19"/>
    </row>
    <row r="571" spans="1:17" ht="46.5" customHeight="1" x14ac:dyDescent="0.7">
      <c r="A571" s="19"/>
      <c r="B571" s="19"/>
      <c r="C571" s="19"/>
      <c r="D571" s="31"/>
      <c r="E571" s="31"/>
      <c r="F571" s="31"/>
      <c r="G571" s="31"/>
      <c r="H571" s="31"/>
      <c r="I571" s="31"/>
      <c r="J571" s="31"/>
      <c r="K571" s="19"/>
      <c r="L571" s="19"/>
      <c r="M571" s="19"/>
      <c r="N571" s="31"/>
      <c r="O571" s="31"/>
      <c r="P571" s="19"/>
      <c r="Q571" s="19"/>
    </row>
    <row r="572" spans="1:17" ht="46.5" customHeight="1" x14ac:dyDescent="0.7">
      <c r="A572" s="19"/>
      <c r="B572" s="19"/>
      <c r="C572" s="19"/>
      <c r="D572" s="31"/>
      <c r="E572" s="31"/>
      <c r="F572" s="31"/>
      <c r="G572" s="31"/>
      <c r="H572" s="31"/>
      <c r="I572" s="31"/>
      <c r="J572" s="31"/>
      <c r="K572" s="19"/>
      <c r="L572" s="19"/>
      <c r="M572" s="19"/>
      <c r="N572" s="31"/>
      <c r="O572" s="31"/>
      <c r="P572" s="19"/>
      <c r="Q572" s="19"/>
    </row>
    <row r="573" spans="1:17" ht="46.5" customHeight="1" x14ac:dyDescent="0.7">
      <c r="A573" s="19"/>
      <c r="B573" s="19"/>
      <c r="C573" s="19"/>
      <c r="D573" s="31"/>
      <c r="E573" s="31"/>
      <c r="F573" s="31"/>
      <c r="G573" s="31"/>
      <c r="H573" s="31"/>
      <c r="I573" s="31"/>
      <c r="J573" s="31"/>
      <c r="K573" s="19"/>
      <c r="L573" s="19"/>
      <c r="M573" s="19"/>
      <c r="N573" s="31"/>
      <c r="O573" s="31"/>
      <c r="P573" s="19"/>
      <c r="Q573" s="19"/>
    </row>
    <row r="574" spans="1:17" ht="46.5" customHeight="1" x14ac:dyDescent="0.7">
      <c r="A574" s="19"/>
      <c r="B574" s="19"/>
      <c r="C574" s="19"/>
      <c r="D574" s="31"/>
      <c r="E574" s="31"/>
      <c r="F574" s="31"/>
      <c r="G574" s="31"/>
      <c r="H574" s="31"/>
      <c r="I574" s="31"/>
      <c r="J574" s="31"/>
      <c r="K574" s="19"/>
      <c r="L574" s="19"/>
      <c r="M574" s="19"/>
      <c r="N574" s="31"/>
      <c r="O574" s="31"/>
      <c r="P574" s="19"/>
      <c r="Q574" s="19"/>
    </row>
    <row r="575" spans="1:17" ht="46.5" customHeight="1" x14ac:dyDescent="0.7">
      <c r="A575" s="19"/>
      <c r="B575" s="19"/>
      <c r="C575" s="19"/>
      <c r="D575" s="31"/>
      <c r="E575" s="31"/>
      <c r="F575" s="31"/>
      <c r="G575" s="31"/>
      <c r="H575" s="31"/>
      <c r="I575" s="31"/>
      <c r="J575" s="31"/>
      <c r="K575" s="19"/>
      <c r="L575" s="19"/>
      <c r="M575" s="19"/>
      <c r="N575" s="31"/>
      <c r="O575" s="31"/>
      <c r="P575" s="19"/>
      <c r="Q575" s="19"/>
    </row>
    <row r="576" spans="1:17" ht="46.5" customHeight="1" x14ac:dyDescent="0.7">
      <c r="A576" s="19"/>
      <c r="B576" s="19"/>
      <c r="C576" s="19"/>
      <c r="D576" s="31"/>
      <c r="E576" s="31"/>
      <c r="F576" s="31"/>
      <c r="G576" s="31"/>
      <c r="H576" s="31"/>
      <c r="I576" s="31"/>
      <c r="J576" s="31"/>
      <c r="K576" s="19"/>
      <c r="L576" s="19"/>
      <c r="M576" s="19"/>
      <c r="N576" s="31"/>
      <c r="O576" s="31"/>
      <c r="P576" s="19"/>
      <c r="Q576" s="19"/>
    </row>
    <row r="577" spans="1:17" ht="46.5" customHeight="1" x14ac:dyDescent="0.7">
      <c r="A577" s="19"/>
      <c r="B577" s="19"/>
      <c r="C577" s="19"/>
      <c r="D577" s="31"/>
      <c r="E577" s="31"/>
      <c r="F577" s="31"/>
      <c r="G577" s="31"/>
      <c r="H577" s="31"/>
      <c r="I577" s="31"/>
      <c r="J577" s="31"/>
      <c r="K577" s="19"/>
      <c r="L577" s="19"/>
      <c r="M577" s="19"/>
      <c r="N577" s="31"/>
      <c r="O577" s="31"/>
      <c r="P577" s="19"/>
      <c r="Q577" s="19"/>
    </row>
    <row r="578" spans="1:17" ht="46.5" customHeight="1" x14ac:dyDescent="0.7">
      <c r="A578" s="19"/>
      <c r="B578" s="19"/>
      <c r="C578" s="19"/>
      <c r="D578" s="31"/>
      <c r="E578" s="31"/>
      <c r="F578" s="31"/>
      <c r="G578" s="31"/>
      <c r="H578" s="31"/>
      <c r="I578" s="31"/>
      <c r="J578" s="31"/>
      <c r="K578" s="19"/>
      <c r="L578" s="19"/>
      <c r="M578" s="19"/>
      <c r="N578" s="31"/>
      <c r="O578" s="31"/>
      <c r="P578" s="19"/>
      <c r="Q578" s="19"/>
    </row>
    <row r="579" spans="1:17" ht="46.5" customHeight="1" x14ac:dyDescent="0.7">
      <c r="A579" s="19"/>
      <c r="B579" s="19"/>
      <c r="C579" s="19"/>
      <c r="D579" s="31"/>
      <c r="E579" s="31"/>
      <c r="F579" s="31"/>
      <c r="G579" s="31"/>
      <c r="H579" s="31"/>
      <c r="I579" s="31"/>
      <c r="J579" s="31"/>
      <c r="K579" s="19"/>
      <c r="L579" s="19"/>
      <c r="M579" s="19"/>
      <c r="N579" s="31"/>
      <c r="O579" s="31"/>
      <c r="P579" s="19"/>
      <c r="Q579" s="19"/>
    </row>
    <row r="580" spans="1:17" ht="46.5" customHeight="1" x14ac:dyDescent="0.7">
      <c r="A580" s="19"/>
      <c r="B580" s="19"/>
      <c r="C580" s="19"/>
      <c r="D580" s="31"/>
      <c r="E580" s="31"/>
      <c r="F580" s="31"/>
      <c r="G580" s="31"/>
      <c r="H580" s="31"/>
      <c r="I580" s="31"/>
      <c r="J580" s="31"/>
      <c r="K580" s="19"/>
      <c r="L580" s="19"/>
      <c r="M580" s="19"/>
      <c r="N580" s="31"/>
      <c r="O580" s="31"/>
      <c r="P580" s="19"/>
      <c r="Q580" s="19"/>
    </row>
    <row r="581" spans="1:17" ht="46.5" customHeight="1" x14ac:dyDescent="0.7">
      <c r="A581" s="19"/>
      <c r="B581" s="19"/>
      <c r="C581" s="19"/>
      <c r="D581" s="31"/>
      <c r="E581" s="31"/>
      <c r="F581" s="31"/>
      <c r="G581" s="31"/>
      <c r="H581" s="31"/>
      <c r="I581" s="31"/>
      <c r="J581" s="31"/>
      <c r="K581" s="19"/>
      <c r="L581" s="19"/>
      <c r="M581" s="19"/>
      <c r="N581" s="31"/>
      <c r="O581" s="31"/>
      <c r="P581" s="19"/>
      <c r="Q581" s="19"/>
    </row>
    <row r="582" spans="1:17" ht="46.5" customHeight="1" x14ac:dyDescent="0.7">
      <c r="A582" s="19"/>
      <c r="B582" s="19"/>
      <c r="C582" s="19"/>
      <c r="D582" s="31"/>
      <c r="E582" s="31"/>
      <c r="F582" s="31"/>
      <c r="G582" s="31"/>
      <c r="H582" s="31"/>
      <c r="I582" s="31"/>
      <c r="J582" s="31"/>
      <c r="K582" s="19"/>
      <c r="L582" s="19"/>
      <c r="M582" s="19"/>
      <c r="N582" s="31"/>
      <c r="O582" s="31"/>
      <c r="P582" s="19"/>
      <c r="Q582" s="19"/>
    </row>
    <row r="583" spans="1:17" ht="46.5" customHeight="1" x14ac:dyDescent="0.7">
      <c r="A583" s="19"/>
      <c r="B583" s="19"/>
      <c r="C583" s="19"/>
      <c r="D583" s="31"/>
      <c r="E583" s="31"/>
      <c r="F583" s="31"/>
      <c r="G583" s="31"/>
      <c r="H583" s="31"/>
      <c r="I583" s="31"/>
      <c r="J583" s="31"/>
      <c r="K583" s="19"/>
      <c r="L583" s="19"/>
      <c r="M583" s="19"/>
      <c r="N583" s="31"/>
      <c r="O583" s="31"/>
      <c r="P583" s="19"/>
      <c r="Q583" s="19"/>
    </row>
    <row r="584" spans="1:17" ht="46.5" customHeight="1" x14ac:dyDescent="0.7">
      <c r="A584" s="19"/>
      <c r="B584" s="19"/>
      <c r="C584" s="19"/>
      <c r="D584" s="31"/>
      <c r="E584" s="31"/>
      <c r="F584" s="31"/>
      <c r="G584" s="31"/>
      <c r="H584" s="31"/>
      <c r="I584" s="31"/>
      <c r="J584" s="31"/>
      <c r="K584" s="19"/>
      <c r="L584" s="19"/>
      <c r="M584" s="19"/>
      <c r="N584" s="31"/>
      <c r="O584" s="31"/>
      <c r="P584" s="19"/>
      <c r="Q584" s="19"/>
    </row>
    <row r="585" spans="1:17" ht="46.5" customHeight="1" x14ac:dyDescent="0.7">
      <c r="A585" s="19"/>
      <c r="B585" s="19"/>
      <c r="C585" s="19"/>
      <c r="D585" s="31"/>
      <c r="E585" s="31"/>
      <c r="F585" s="31"/>
      <c r="G585" s="31"/>
      <c r="H585" s="31"/>
      <c r="I585" s="31"/>
      <c r="J585" s="31"/>
      <c r="K585" s="19"/>
      <c r="L585" s="19"/>
      <c r="M585" s="19"/>
      <c r="N585" s="31"/>
      <c r="O585" s="31"/>
      <c r="P585" s="19"/>
      <c r="Q585" s="19"/>
    </row>
    <row r="586" spans="1:17" ht="46.5" customHeight="1" x14ac:dyDescent="0.7">
      <c r="A586" s="19"/>
      <c r="B586" s="19"/>
      <c r="C586" s="19"/>
      <c r="D586" s="31"/>
      <c r="E586" s="31"/>
      <c r="F586" s="31"/>
      <c r="G586" s="31"/>
      <c r="H586" s="31"/>
      <c r="I586" s="31"/>
      <c r="J586" s="31"/>
      <c r="K586" s="19"/>
      <c r="L586" s="19"/>
      <c r="M586" s="19"/>
      <c r="N586" s="31"/>
      <c r="O586" s="31"/>
      <c r="P586" s="19"/>
      <c r="Q586" s="19"/>
    </row>
    <row r="587" spans="1:17" ht="46.5" customHeight="1" x14ac:dyDescent="0.7">
      <c r="A587" s="19"/>
      <c r="B587" s="19"/>
      <c r="C587" s="19"/>
      <c r="D587" s="31"/>
      <c r="E587" s="31"/>
      <c r="F587" s="31"/>
      <c r="G587" s="31"/>
      <c r="H587" s="31"/>
      <c r="I587" s="31"/>
      <c r="J587" s="31"/>
      <c r="K587" s="19"/>
      <c r="L587" s="19"/>
      <c r="M587" s="19"/>
      <c r="N587" s="31"/>
      <c r="O587" s="31"/>
      <c r="P587" s="19"/>
      <c r="Q587" s="19"/>
    </row>
    <row r="588" spans="1:17" ht="46.5" customHeight="1" x14ac:dyDescent="0.7">
      <c r="A588" s="19"/>
      <c r="B588" s="19"/>
      <c r="C588" s="19"/>
      <c r="D588" s="31"/>
      <c r="E588" s="31"/>
      <c r="F588" s="31"/>
      <c r="G588" s="31"/>
      <c r="H588" s="31"/>
      <c r="I588" s="31"/>
      <c r="J588" s="31"/>
      <c r="K588" s="19"/>
      <c r="L588" s="19"/>
      <c r="M588" s="19"/>
      <c r="N588" s="31"/>
      <c r="O588" s="31"/>
      <c r="P588" s="19"/>
      <c r="Q588" s="19"/>
    </row>
    <row r="589" spans="1:17" ht="46.5" customHeight="1" x14ac:dyDescent="0.7">
      <c r="A589" s="19"/>
      <c r="B589" s="19"/>
      <c r="C589" s="19"/>
      <c r="D589" s="31"/>
      <c r="E589" s="31"/>
      <c r="F589" s="31"/>
      <c r="G589" s="31"/>
      <c r="H589" s="31"/>
      <c r="I589" s="31"/>
      <c r="J589" s="31"/>
      <c r="K589" s="19"/>
      <c r="L589" s="19"/>
      <c r="M589" s="19"/>
      <c r="N589" s="31"/>
      <c r="O589" s="31"/>
      <c r="P589" s="19"/>
      <c r="Q589" s="19"/>
    </row>
    <row r="590" spans="1:17" ht="46.5" customHeight="1" x14ac:dyDescent="0.7">
      <c r="A590" s="19"/>
      <c r="B590" s="19"/>
      <c r="C590" s="19"/>
      <c r="D590" s="31"/>
      <c r="E590" s="31"/>
      <c r="F590" s="31"/>
      <c r="G590" s="31"/>
      <c r="H590" s="31"/>
      <c r="I590" s="31"/>
      <c r="J590" s="31"/>
      <c r="K590" s="19"/>
      <c r="L590" s="19"/>
      <c r="M590" s="19"/>
      <c r="N590" s="31"/>
      <c r="O590" s="31"/>
      <c r="P590" s="19"/>
      <c r="Q590" s="19"/>
    </row>
    <row r="591" spans="1:17" ht="46.5" customHeight="1" x14ac:dyDescent="0.7">
      <c r="A591" s="19"/>
      <c r="B591" s="19"/>
      <c r="C591" s="19"/>
      <c r="D591" s="31"/>
      <c r="E591" s="31"/>
      <c r="F591" s="31"/>
      <c r="G591" s="31"/>
      <c r="H591" s="31"/>
      <c r="I591" s="31"/>
      <c r="J591" s="31"/>
      <c r="K591" s="19"/>
      <c r="L591" s="19"/>
      <c r="M591" s="19"/>
      <c r="N591" s="31"/>
      <c r="O591" s="31"/>
      <c r="P591" s="19"/>
      <c r="Q591" s="19"/>
    </row>
    <row r="592" spans="1:17" ht="46.5" customHeight="1" x14ac:dyDescent="0.7">
      <c r="A592" s="19"/>
      <c r="B592" s="19"/>
      <c r="C592" s="19"/>
      <c r="D592" s="31"/>
      <c r="E592" s="31"/>
      <c r="F592" s="31"/>
      <c r="G592" s="31"/>
      <c r="H592" s="31"/>
      <c r="I592" s="31"/>
      <c r="J592" s="31"/>
      <c r="K592" s="19"/>
      <c r="L592" s="19"/>
      <c r="M592" s="19"/>
      <c r="N592" s="31"/>
      <c r="O592" s="31"/>
      <c r="P592" s="19"/>
      <c r="Q592" s="19"/>
    </row>
    <row r="593" spans="1:17" ht="46.5" customHeight="1" x14ac:dyDescent="0.7">
      <c r="A593" s="19"/>
      <c r="B593" s="19"/>
      <c r="C593" s="19"/>
      <c r="D593" s="31"/>
      <c r="E593" s="31"/>
      <c r="F593" s="31"/>
      <c r="G593" s="31"/>
      <c r="H593" s="31"/>
      <c r="I593" s="31"/>
      <c r="J593" s="31"/>
      <c r="K593" s="19"/>
      <c r="L593" s="19"/>
      <c r="M593" s="19"/>
      <c r="N593" s="31"/>
      <c r="O593" s="31"/>
      <c r="P593" s="19"/>
      <c r="Q593" s="19"/>
    </row>
    <row r="594" spans="1:17" ht="46.5" customHeight="1" x14ac:dyDescent="0.7">
      <c r="A594" s="19"/>
      <c r="B594" s="19"/>
      <c r="C594" s="19"/>
      <c r="D594" s="31"/>
      <c r="E594" s="31"/>
      <c r="F594" s="31"/>
      <c r="G594" s="31"/>
      <c r="H594" s="31"/>
      <c r="I594" s="31"/>
      <c r="J594" s="31"/>
      <c r="K594" s="19"/>
      <c r="L594" s="19"/>
      <c r="M594" s="19"/>
      <c r="N594" s="31"/>
      <c r="O594" s="31"/>
      <c r="P594" s="19"/>
      <c r="Q594" s="19"/>
    </row>
    <row r="595" spans="1:17" ht="46.5" customHeight="1" x14ac:dyDescent="0.7">
      <c r="A595" s="19"/>
      <c r="B595" s="19"/>
      <c r="C595" s="19"/>
      <c r="D595" s="31"/>
      <c r="E595" s="31"/>
      <c r="F595" s="31"/>
      <c r="G595" s="31"/>
      <c r="H595" s="31"/>
      <c r="I595" s="31"/>
      <c r="J595" s="31"/>
      <c r="K595" s="19"/>
      <c r="L595" s="19"/>
      <c r="M595" s="19"/>
      <c r="N595" s="31"/>
      <c r="O595" s="31"/>
      <c r="P595" s="19"/>
      <c r="Q595" s="19"/>
    </row>
    <row r="596" spans="1:17" ht="46.5" customHeight="1" x14ac:dyDescent="0.7">
      <c r="A596" s="19"/>
      <c r="B596" s="19"/>
      <c r="C596" s="19"/>
      <c r="D596" s="31"/>
      <c r="E596" s="31"/>
      <c r="F596" s="31"/>
      <c r="G596" s="31"/>
      <c r="H596" s="31"/>
      <c r="I596" s="31"/>
      <c r="J596" s="31"/>
      <c r="K596" s="19"/>
      <c r="L596" s="19"/>
      <c r="M596" s="19"/>
      <c r="N596" s="31"/>
      <c r="O596" s="31"/>
      <c r="P596" s="19"/>
      <c r="Q596" s="19"/>
    </row>
    <row r="597" spans="1:17" ht="46.5" customHeight="1" x14ac:dyDescent="0.7">
      <c r="A597" s="19"/>
      <c r="B597" s="19"/>
      <c r="C597" s="19"/>
      <c r="D597" s="31"/>
      <c r="E597" s="31"/>
      <c r="F597" s="31"/>
      <c r="G597" s="31"/>
      <c r="H597" s="31"/>
      <c r="I597" s="31"/>
      <c r="J597" s="31"/>
      <c r="K597" s="19"/>
      <c r="L597" s="19"/>
      <c r="M597" s="19"/>
      <c r="N597" s="31"/>
      <c r="O597" s="31"/>
      <c r="P597" s="19"/>
      <c r="Q597" s="19"/>
    </row>
    <row r="598" spans="1:17" ht="46.5" customHeight="1" x14ac:dyDescent="0.7">
      <c r="A598" s="19"/>
      <c r="B598" s="19"/>
      <c r="C598" s="19"/>
      <c r="D598" s="31"/>
      <c r="E598" s="31"/>
      <c r="F598" s="31"/>
      <c r="G598" s="31"/>
      <c r="H598" s="31"/>
      <c r="I598" s="31"/>
      <c r="J598" s="31"/>
      <c r="K598" s="19"/>
      <c r="L598" s="19"/>
      <c r="M598" s="19"/>
      <c r="N598" s="31"/>
      <c r="O598" s="31"/>
      <c r="P598" s="19"/>
      <c r="Q598" s="19"/>
    </row>
    <row r="599" spans="1:17" ht="46.5" customHeight="1" x14ac:dyDescent="0.7">
      <c r="A599" s="19"/>
      <c r="B599" s="19"/>
      <c r="C599" s="19"/>
      <c r="D599" s="31"/>
      <c r="E599" s="31"/>
      <c r="F599" s="31"/>
      <c r="G599" s="31"/>
      <c r="H599" s="31"/>
      <c r="I599" s="31"/>
      <c r="J599" s="31"/>
      <c r="K599" s="19"/>
      <c r="L599" s="19"/>
      <c r="M599" s="19"/>
      <c r="N599" s="31"/>
      <c r="O599" s="31"/>
      <c r="P599" s="19"/>
      <c r="Q599" s="19"/>
    </row>
    <row r="600" spans="1:17" ht="46.5" customHeight="1" x14ac:dyDescent="0.7">
      <c r="A600" s="19"/>
      <c r="B600" s="19"/>
      <c r="C600" s="19"/>
      <c r="D600" s="31"/>
      <c r="E600" s="31"/>
      <c r="F600" s="31"/>
      <c r="G600" s="31"/>
      <c r="H600" s="31"/>
      <c r="I600" s="31"/>
      <c r="J600" s="31"/>
      <c r="K600" s="19"/>
      <c r="L600" s="19"/>
      <c r="M600" s="19"/>
      <c r="N600" s="31"/>
      <c r="O600" s="31"/>
      <c r="P600" s="19"/>
      <c r="Q600" s="19"/>
    </row>
    <row r="601" spans="1:17" ht="46.5" customHeight="1" x14ac:dyDescent="0.7">
      <c r="A601" s="19"/>
      <c r="B601" s="19"/>
      <c r="C601" s="19"/>
      <c r="D601" s="31"/>
      <c r="E601" s="31"/>
      <c r="F601" s="31"/>
      <c r="G601" s="31"/>
      <c r="H601" s="31"/>
      <c r="I601" s="31"/>
      <c r="J601" s="31"/>
      <c r="K601" s="19"/>
      <c r="L601" s="19"/>
      <c r="M601" s="19"/>
      <c r="N601" s="31"/>
      <c r="O601" s="31"/>
      <c r="P601" s="19"/>
      <c r="Q601" s="19"/>
    </row>
    <row r="602" spans="1:17" ht="46.5" customHeight="1" x14ac:dyDescent="0.7">
      <c r="A602" s="19"/>
      <c r="B602" s="19"/>
      <c r="C602" s="19"/>
      <c r="D602" s="31"/>
      <c r="E602" s="31"/>
      <c r="F602" s="31"/>
      <c r="G602" s="31"/>
      <c r="H602" s="31"/>
      <c r="I602" s="31"/>
      <c r="J602" s="31"/>
      <c r="K602" s="19"/>
      <c r="L602" s="19"/>
      <c r="M602" s="19"/>
      <c r="N602" s="31"/>
      <c r="O602" s="31"/>
      <c r="P602" s="19"/>
      <c r="Q602" s="19"/>
    </row>
    <row r="603" spans="1:17" ht="46.5" customHeight="1" x14ac:dyDescent="0.7">
      <c r="A603" s="19"/>
      <c r="B603" s="19"/>
      <c r="C603" s="19"/>
      <c r="D603" s="31"/>
      <c r="E603" s="31"/>
      <c r="F603" s="31"/>
      <c r="G603" s="31"/>
      <c r="H603" s="31"/>
      <c r="I603" s="31"/>
      <c r="J603" s="31"/>
      <c r="K603" s="19"/>
      <c r="L603" s="19"/>
      <c r="M603" s="19"/>
      <c r="N603" s="31"/>
      <c r="O603" s="31"/>
      <c r="P603" s="19"/>
      <c r="Q603" s="19"/>
    </row>
    <row r="604" spans="1:17" ht="46.5" customHeight="1" x14ac:dyDescent="0.7">
      <c r="A604" s="19"/>
      <c r="B604" s="19"/>
      <c r="C604" s="19"/>
      <c r="D604" s="31"/>
      <c r="E604" s="31"/>
      <c r="F604" s="31"/>
      <c r="G604" s="31"/>
      <c r="H604" s="31"/>
      <c r="I604" s="31"/>
      <c r="J604" s="31"/>
      <c r="K604" s="19"/>
      <c r="L604" s="19"/>
      <c r="M604" s="19"/>
      <c r="N604" s="31"/>
      <c r="O604" s="31"/>
      <c r="P604" s="19"/>
      <c r="Q604" s="19"/>
    </row>
    <row r="605" spans="1:17" ht="46.5" customHeight="1" x14ac:dyDescent="0.7">
      <c r="A605" s="19"/>
      <c r="B605" s="19"/>
      <c r="C605" s="19"/>
      <c r="D605" s="31"/>
      <c r="E605" s="31"/>
      <c r="F605" s="31"/>
      <c r="G605" s="31"/>
      <c r="H605" s="31"/>
      <c r="I605" s="31"/>
      <c r="J605" s="31"/>
      <c r="K605" s="19"/>
      <c r="L605" s="19"/>
      <c r="M605" s="19"/>
      <c r="N605" s="31"/>
      <c r="O605" s="31"/>
      <c r="P605" s="19"/>
      <c r="Q605" s="19"/>
    </row>
    <row r="606" spans="1:17" ht="46.5" customHeight="1" x14ac:dyDescent="0.7">
      <c r="A606" s="19"/>
      <c r="B606" s="19"/>
      <c r="C606" s="19"/>
      <c r="D606" s="31"/>
      <c r="E606" s="31"/>
      <c r="F606" s="31"/>
      <c r="G606" s="31"/>
      <c r="H606" s="31"/>
      <c r="I606" s="31"/>
      <c r="J606" s="31"/>
      <c r="K606" s="19"/>
      <c r="L606" s="19"/>
      <c r="M606" s="19"/>
      <c r="N606" s="31"/>
      <c r="O606" s="31"/>
      <c r="P606" s="19"/>
      <c r="Q606" s="19"/>
    </row>
    <row r="607" spans="1:17" ht="46.5" customHeight="1" x14ac:dyDescent="0.7">
      <c r="A607" s="19"/>
      <c r="B607" s="19"/>
      <c r="C607" s="19"/>
      <c r="D607" s="31"/>
      <c r="E607" s="31"/>
      <c r="F607" s="31"/>
      <c r="G607" s="31"/>
      <c r="H607" s="31"/>
      <c r="I607" s="31"/>
      <c r="J607" s="31"/>
      <c r="K607" s="19"/>
      <c r="L607" s="19"/>
      <c r="M607" s="19"/>
      <c r="N607" s="31"/>
      <c r="O607" s="31"/>
      <c r="P607" s="19"/>
      <c r="Q607" s="19"/>
    </row>
    <row r="608" spans="1:17" ht="46.5" customHeight="1" x14ac:dyDescent="0.7">
      <c r="A608" s="19"/>
      <c r="B608" s="19"/>
      <c r="C608" s="19"/>
      <c r="D608" s="31"/>
      <c r="E608" s="31"/>
      <c r="F608" s="31"/>
      <c r="G608" s="31"/>
      <c r="H608" s="31"/>
      <c r="I608" s="31"/>
      <c r="J608" s="31"/>
      <c r="K608" s="19"/>
      <c r="L608" s="19"/>
      <c r="M608" s="19"/>
      <c r="N608" s="31"/>
      <c r="O608" s="31"/>
      <c r="P608" s="19"/>
      <c r="Q608" s="19"/>
    </row>
    <row r="609" spans="1:17" ht="46.5" customHeight="1" x14ac:dyDescent="0.7">
      <c r="A609" s="19"/>
      <c r="B609" s="19"/>
      <c r="C609" s="19"/>
      <c r="D609" s="31"/>
      <c r="E609" s="31"/>
      <c r="F609" s="31"/>
      <c r="G609" s="31"/>
      <c r="H609" s="31"/>
      <c r="I609" s="31"/>
      <c r="J609" s="31"/>
      <c r="K609" s="19"/>
      <c r="L609" s="19"/>
      <c r="M609" s="19"/>
      <c r="N609" s="31"/>
      <c r="O609" s="31"/>
      <c r="P609" s="19"/>
      <c r="Q609" s="19"/>
    </row>
    <row r="610" spans="1:17" ht="46.5" customHeight="1" x14ac:dyDescent="0.7">
      <c r="A610" s="19"/>
      <c r="B610" s="19"/>
      <c r="C610" s="19"/>
      <c r="D610" s="31"/>
      <c r="E610" s="31"/>
      <c r="F610" s="31"/>
      <c r="G610" s="31"/>
      <c r="H610" s="31"/>
      <c r="I610" s="31"/>
      <c r="J610" s="31"/>
      <c r="K610" s="19"/>
      <c r="L610" s="19"/>
      <c r="M610" s="19"/>
      <c r="N610" s="31"/>
      <c r="O610" s="31"/>
      <c r="P610" s="19"/>
      <c r="Q610" s="19"/>
    </row>
    <row r="611" spans="1:17" ht="46.5" customHeight="1" x14ac:dyDescent="0.7">
      <c r="A611" s="19"/>
      <c r="B611" s="19"/>
      <c r="C611" s="19"/>
      <c r="D611" s="31"/>
      <c r="E611" s="31"/>
      <c r="F611" s="31"/>
      <c r="G611" s="31"/>
      <c r="H611" s="31"/>
      <c r="I611" s="31"/>
      <c r="J611" s="31"/>
      <c r="K611" s="19"/>
      <c r="L611" s="19"/>
      <c r="M611" s="19"/>
      <c r="N611" s="31"/>
      <c r="O611" s="31"/>
      <c r="P611" s="19"/>
      <c r="Q611" s="19"/>
    </row>
    <row r="612" spans="1:17" ht="46.5" customHeight="1" x14ac:dyDescent="0.7">
      <c r="A612" s="19"/>
      <c r="B612" s="19"/>
      <c r="C612" s="19"/>
      <c r="D612" s="31"/>
      <c r="E612" s="31"/>
      <c r="F612" s="31"/>
      <c r="G612" s="31"/>
      <c r="H612" s="31"/>
      <c r="I612" s="31"/>
      <c r="J612" s="31"/>
      <c r="K612" s="19"/>
      <c r="L612" s="19"/>
      <c r="M612" s="19"/>
      <c r="N612" s="31"/>
      <c r="O612" s="31"/>
      <c r="P612" s="19"/>
      <c r="Q612" s="19"/>
    </row>
    <row r="613" spans="1:17" ht="46.5" customHeight="1" x14ac:dyDescent="0.7">
      <c r="A613" s="19"/>
      <c r="B613" s="19"/>
      <c r="C613" s="19"/>
      <c r="D613" s="31"/>
      <c r="E613" s="31"/>
      <c r="F613" s="31"/>
      <c r="G613" s="31"/>
      <c r="H613" s="31"/>
      <c r="I613" s="31"/>
      <c r="J613" s="31"/>
      <c r="K613" s="19"/>
      <c r="L613" s="19"/>
      <c r="M613" s="19"/>
      <c r="N613" s="31"/>
      <c r="O613" s="31"/>
      <c r="P613" s="19"/>
      <c r="Q613" s="19"/>
    </row>
    <row r="614" spans="1:17" ht="46.5" customHeight="1" x14ac:dyDescent="0.7">
      <c r="A614" s="19"/>
      <c r="B614" s="19"/>
      <c r="C614" s="19"/>
      <c r="D614" s="31"/>
      <c r="E614" s="31"/>
      <c r="F614" s="31"/>
      <c r="G614" s="31"/>
      <c r="H614" s="31"/>
      <c r="I614" s="31"/>
      <c r="J614" s="31"/>
      <c r="K614" s="19"/>
      <c r="L614" s="19"/>
      <c r="M614" s="19"/>
      <c r="N614" s="31"/>
      <c r="O614" s="31"/>
      <c r="P614" s="19"/>
      <c r="Q614" s="19"/>
    </row>
    <row r="615" spans="1:17" ht="46.5" customHeight="1" x14ac:dyDescent="0.7">
      <c r="A615" s="19"/>
      <c r="B615" s="19"/>
      <c r="C615" s="19"/>
      <c r="D615" s="31"/>
      <c r="E615" s="31"/>
      <c r="F615" s="31"/>
      <c r="G615" s="31"/>
      <c r="H615" s="31"/>
      <c r="I615" s="31"/>
      <c r="J615" s="31"/>
      <c r="K615" s="19"/>
      <c r="L615" s="19"/>
      <c r="M615" s="19"/>
      <c r="N615" s="31"/>
      <c r="O615" s="31"/>
      <c r="P615" s="19"/>
      <c r="Q615" s="19"/>
    </row>
    <row r="616" spans="1:17" ht="46.5" customHeight="1" x14ac:dyDescent="0.7">
      <c r="A616" s="19"/>
      <c r="B616" s="19"/>
      <c r="C616" s="19"/>
      <c r="D616" s="31"/>
      <c r="E616" s="31"/>
      <c r="F616" s="31"/>
      <c r="G616" s="31"/>
      <c r="H616" s="31"/>
      <c r="I616" s="31"/>
      <c r="J616" s="31"/>
      <c r="K616" s="19"/>
      <c r="L616" s="19"/>
      <c r="M616" s="19"/>
      <c r="N616" s="31"/>
      <c r="O616" s="31"/>
      <c r="P616" s="19"/>
      <c r="Q616" s="19"/>
    </row>
    <row r="617" spans="1:17" ht="46.5" customHeight="1" x14ac:dyDescent="0.7">
      <c r="A617" s="19"/>
      <c r="B617" s="19"/>
      <c r="C617" s="19"/>
      <c r="D617" s="31"/>
      <c r="E617" s="31"/>
      <c r="F617" s="31"/>
      <c r="G617" s="31"/>
      <c r="H617" s="31"/>
      <c r="I617" s="31"/>
      <c r="J617" s="31"/>
      <c r="K617" s="19"/>
      <c r="L617" s="19"/>
      <c r="M617" s="19"/>
      <c r="N617" s="31"/>
      <c r="O617" s="31"/>
      <c r="P617" s="19"/>
      <c r="Q617" s="19"/>
    </row>
    <row r="618" spans="1:17" ht="46.5" customHeight="1" x14ac:dyDescent="0.7">
      <c r="A618" s="19"/>
      <c r="B618" s="19"/>
      <c r="C618" s="19"/>
      <c r="D618" s="31"/>
      <c r="E618" s="31"/>
      <c r="F618" s="31"/>
      <c r="G618" s="31"/>
      <c r="H618" s="31"/>
      <c r="I618" s="31"/>
      <c r="J618" s="31"/>
      <c r="K618" s="19"/>
      <c r="L618" s="19"/>
      <c r="M618" s="19"/>
      <c r="N618" s="31"/>
      <c r="O618" s="31"/>
      <c r="P618" s="19"/>
      <c r="Q618" s="19"/>
    </row>
    <row r="619" spans="1:17" ht="46.5" customHeight="1" x14ac:dyDescent="0.7">
      <c r="A619" s="19"/>
      <c r="B619" s="19"/>
      <c r="C619" s="19"/>
      <c r="D619" s="31"/>
      <c r="E619" s="31"/>
      <c r="F619" s="31"/>
      <c r="G619" s="31"/>
      <c r="H619" s="31"/>
      <c r="I619" s="31"/>
      <c r="J619" s="31"/>
      <c r="K619" s="19"/>
      <c r="L619" s="19"/>
      <c r="M619" s="19"/>
      <c r="N619" s="31"/>
      <c r="O619" s="31"/>
      <c r="P619" s="19"/>
      <c r="Q619" s="19"/>
    </row>
    <row r="620" spans="1:17" ht="46.5" customHeight="1" x14ac:dyDescent="0.7">
      <c r="A620" s="19"/>
      <c r="B620" s="19"/>
      <c r="C620" s="19"/>
      <c r="D620" s="31"/>
      <c r="E620" s="31"/>
      <c r="F620" s="31"/>
      <c r="G620" s="31"/>
      <c r="H620" s="31"/>
      <c r="I620" s="31"/>
      <c r="J620" s="31"/>
      <c r="K620" s="19"/>
      <c r="L620" s="19"/>
      <c r="M620" s="19"/>
      <c r="N620" s="31"/>
      <c r="O620" s="31"/>
      <c r="P620" s="19"/>
      <c r="Q620" s="19"/>
    </row>
    <row r="621" spans="1:17" ht="46.5" customHeight="1" x14ac:dyDescent="0.7">
      <c r="A621" s="19"/>
      <c r="B621" s="19"/>
      <c r="C621" s="19"/>
      <c r="D621" s="31"/>
      <c r="E621" s="31"/>
      <c r="F621" s="31"/>
      <c r="G621" s="31"/>
      <c r="H621" s="31"/>
      <c r="I621" s="31"/>
      <c r="J621" s="31"/>
      <c r="K621" s="19"/>
      <c r="L621" s="19"/>
      <c r="M621" s="19"/>
      <c r="N621" s="31"/>
      <c r="O621" s="31"/>
      <c r="P621" s="19"/>
      <c r="Q621" s="19"/>
    </row>
    <row r="622" spans="1:17" ht="46.5" customHeight="1" x14ac:dyDescent="0.7">
      <c r="A622" s="19"/>
      <c r="B622" s="19"/>
      <c r="C622" s="19"/>
      <c r="D622" s="31"/>
      <c r="E622" s="31"/>
      <c r="F622" s="31"/>
      <c r="G622" s="31"/>
      <c r="H622" s="31"/>
      <c r="I622" s="31"/>
      <c r="J622" s="31"/>
      <c r="K622" s="19"/>
      <c r="L622" s="19"/>
      <c r="M622" s="19"/>
      <c r="N622" s="31"/>
      <c r="O622" s="31"/>
      <c r="P622" s="19"/>
      <c r="Q622" s="19"/>
    </row>
    <row r="623" spans="1:17" ht="46.5" customHeight="1" x14ac:dyDescent="0.7">
      <c r="A623" s="19"/>
      <c r="B623" s="19"/>
      <c r="C623" s="19"/>
      <c r="D623" s="31"/>
      <c r="E623" s="31"/>
      <c r="F623" s="31"/>
      <c r="G623" s="31"/>
      <c r="H623" s="31"/>
      <c r="I623" s="31"/>
      <c r="J623" s="31"/>
      <c r="K623" s="19"/>
      <c r="L623" s="19"/>
      <c r="M623" s="19"/>
      <c r="N623" s="31"/>
      <c r="O623" s="31"/>
      <c r="P623" s="19"/>
      <c r="Q623" s="19"/>
    </row>
    <row r="624" spans="1:17" ht="46.5" customHeight="1" x14ac:dyDescent="0.7">
      <c r="A624" s="19"/>
      <c r="B624" s="19"/>
      <c r="C624" s="19"/>
      <c r="D624" s="31"/>
      <c r="E624" s="31"/>
      <c r="F624" s="31"/>
      <c r="G624" s="31"/>
      <c r="H624" s="31"/>
      <c r="I624" s="31"/>
      <c r="J624" s="31"/>
      <c r="K624" s="19"/>
      <c r="L624" s="19"/>
      <c r="M624" s="19"/>
      <c r="N624" s="31"/>
      <c r="O624" s="31"/>
      <c r="P624" s="19"/>
      <c r="Q624" s="19"/>
    </row>
    <row r="625" spans="1:17" ht="46.5" customHeight="1" x14ac:dyDescent="0.7">
      <c r="A625" s="19"/>
      <c r="B625" s="19"/>
      <c r="C625" s="19"/>
      <c r="D625" s="31"/>
      <c r="E625" s="31"/>
      <c r="F625" s="31"/>
      <c r="G625" s="31"/>
      <c r="H625" s="31"/>
      <c r="I625" s="31"/>
      <c r="J625" s="31"/>
      <c r="K625" s="19"/>
      <c r="L625" s="19"/>
      <c r="M625" s="19"/>
      <c r="N625" s="31"/>
      <c r="O625" s="31"/>
      <c r="P625" s="19"/>
      <c r="Q625" s="19"/>
    </row>
    <row r="626" spans="1:17" ht="46.5" customHeight="1" x14ac:dyDescent="0.7">
      <c r="A626" s="19"/>
      <c r="B626" s="19"/>
      <c r="C626" s="19"/>
      <c r="D626" s="31"/>
      <c r="E626" s="31"/>
      <c r="F626" s="31"/>
      <c r="G626" s="31"/>
      <c r="H626" s="31"/>
      <c r="I626" s="31"/>
      <c r="J626" s="31"/>
      <c r="K626" s="19"/>
      <c r="L626" s="19"/>
      <c r="M626" s="19"/>
      <c r="N626" s="31"/>
      <c r="O626" s="31"/>
      <c r="P626" s="19"/>
      <c r="Q626" s="19"/>
    </row>
    <row r="627" spans="1:17" ht="46.5" customHeight="1" x14ac:dyDescent="0.7">
      <c r="A627" s="19"/>
      <c r="B627" s="19"/>
      <c r="C627" s="19"/>
      <c r="D627" s="31"/>
      <c r="E627" s="31"/>
      <c r="F627" s="31"/>
      <c r="G627" s="31"/>
      <c r="H627" s="31"/>
      <c r="I627" s="31"/>
      <c r="J627" s="31"/>
      <c r="K627" s="19"/>
      <c r="L627" s="19"/>
      <c r="M627" s="19"/>
      <c r="N627" s="31"/>
      <c r="O627" s="31"/>
      <c r="P627" s="19"/>
      <c r="Q627" s="19"/>
    </row>
    <row r="628" spans="1:17" ht="46.5" customHeight="1" x14ac:dyDescent="0.7">
      <c r="A628" s="19"/>
      <c r="B628" s="19"/>
      <c r="C628" s="19"/>
      <c r="D628" s="31"/>
      <c r="E628" s="31"/>
      <c r="F628" s="31"/>
      <c r="G628" s="31"/>
      <c r="H628" s="31"/>
      <c r="I628" s="31"/>
      <c r="J628" s="31"/>
      <c r="K628" s="19"/>
      <c r="L628" s="19"/>
      <c r="M628" s="19"/>
      <c r="N628" s="31"/>
      <c r="O628" s="31"/>
      <c r="P628" s="19"/>
      <c r="Q628" s="19"/>
    </row>
    <row r="629" spans="1:17" ht="46.5" customHeight="1" x14ac:dyDescent="0.7">
      <c r="A629" s="19"/>
      <c r="B629" s="19"/>
      <c r="C629" s="19"/>
      <c r="D629" s="31"/>
      <c r="E629" s="31"/>
      <c r="F629" s="31"/>
      <c r="G629" s="31"/>
      <c r="H629" s="31"/>
      <c r="I629" s="31"/>
      <c r="J629" s="31"/>
      <c r="K629" s="19"/>
      <c r="L629" s="19"/>
      <c r="M629" s="19"/>
      <c r="N629" s="31"/>
      <c r="O629" s="31"/>
      <c r="P629" s="19"/>
      <c r="Q629" s="19"/>
    </row>
    <row r="630" spans="1:17" ht="46.5" customHeight="1" x14ac:dyDescent="0.7">
      <c r="A630" s="19"/>
      <c r="B630" s="19"/>
      <c r="C630" s="19"/>
      <c r="D630" s="31"/>
      <c r="E630" s="31"/>
      <c r="F630" s="31"/>
      <c r="G630" s="31"/>
      <c r="H630" s="31"/>
      <c r="I630" s="31"/>
      <c r="J630" s="31"/>
      <c r="K630" s="19"/>
      <c r="L630" s="19"/>
      <c r="M630" s="19"/>
      <c r="N630" s="31"/>
      <c r="O630" s="31"/>
      <c r="P630" s="19"/>
      <c r="Q630" s="19"/>
    </row>
    <row r="631" spans="1:17" ht="46.5" customHeight="1" x14ac:dyDescent="0.7">
      <c r="A631" s="19"/>
      <c r="B631" s="19"/>
      <c r="C631" s="19"/>
      <c r="D631" s="31"/>
      <c r="E631" s="31"/>
      <c r="F631" s="31"/>
      <c r="G631" s="31"/>
      <c r="H631" s="31"/>
      <c r="I631" s="31"/>
      <c r="J631" s="31"/>
      <c r="K631" s="19"/>
      <c r="L631" s="19"/>
      <c r="M631" s="19"/>
      <c r="N631" s="31"/>
      <c r="O631" s="31"/>
      <c r="P631" s="19"/>
      <c r="Q631" s="19"/>
    </row>
    <row r="632" spans="1:17" ht="46.5" customHeight="1" x14ac:dyDescent="0.7">
      <c r="A632" s="19"/>
      <c r="B632" s="19"/>
      <c r="C632" s="19"/>
      <c r="D632" s="31"/>
      <c r="E632" s="31"/>
      <c r="F632" s="31"/>
      <c r="G632" s="31"/>
      <c r="H632" s="31"/>
      <c r="I632" s="31"/>
      <c r="J632" s="31"/>
      <c r="K632" s="19"/>
      <c r="L632" s="19"/>
      <c r="M632" s="19"/>
      <c r="N632" s="31"/>
      <c r="O632" s="31"/>
      <c r="P632" s="19"/>
      <c r="Q632" s="19"/>
    </row>
    <row r="633" spans="1:17" ht="46.5" customHeight="1" x14ac:dyDescent="0.7">
      <c r="A633" s="19"/>
      <c r="B633" s="19"/>
      <c r="C633" s="19"/>
      <c r="D633" s="31"/>
      <c r="E633" s="31"/>
      <c r="F633" s="31"/>
      <c r="G633" s="31"/>
      <c r="H633" s="31"/>
      <c r="I633" s="31"/>
      <c r="J633" s="31"/>
      <c r="K633" s="19"/>
      <c r="L633" s="19"/>
      <c r="M633" s="19"/>
      <c r="N633" s="31"/>
      <c r="O633" s="31"/>
      <c r="P633" s="19"/>
      <c r="Q633" s="19"/>
    </row>
    <row r="634" spans="1:17" ht="46.5" customHeight="1" x14ac:dyDescent="0.7">
      <c r="A634" s="19"/>
      <c r="B634" s="19"/>
      <c r="C634" s="19"/>
      <c r="D634" s="31"/>
      <c r="E634" s="31"/>
      <c r="F634" s="31"/>
      <c r="G634" s="31"/>
      <c r="H634" s="31"/>
      <c r="I634" s="31"/>
      <c r="J634" s="31"/>
      <c r="K634" s="19"/>
      <c r="L634" s="19"/>
      <c r="M634" s="19"/>
      <c r="N634" s="31"/>
      <c r="O634" s="31"/>
      <c r="P634" s="19"/>
      <c r="Q634" s="19"/>
    </row>
    <row r="635" spans="1:17" ht="46.5" customHeight="1" x14ac:dyDescent="0.7">
      <c r="A635" s="19"/>
      <c r="B635" s="19"/>
      <c r="C635" s="19"/>
      <c r="D635" s="31"/>
      <c r="E635" s="31"/>
      <c r="F635" s="31"/>
      <c r="G635" s="31"/>
      <c r="H635" s="31"/>
      <c r="I635" s="31"/>
      <c r="J635" s="31"/>
      <c r="K635" s="19"/>
      <c r="L635" s="19"/>
      <c r="M635" s="19"/>
      <c r="N635" s="31"/>
      <c r="O635" s="31"/>
      <c r="P635" s="19"/>
      <c r="Q635" s="19"/>
    </row>
    <row r="636" spans="1:17" ht="46.5" customHeight="1" x14ac:dyDescent="0.7">
      <c r="A636" s="19"/>
      <c r="B636" s="19"/>
      <c r="C636" s="19"/>
      <c r="D636" s="31"/>
      <c r="E636" s="31"/>
      <c r="F636" s="31"/>
      <c r="G636" s="31"/>
      <c r="H636" s="31"/>
      <c r="I636" s="31"/>
      <c r="J636" s="31"/>
      <c r="K636" s="19"/>
      <c r="L636" s="19"/>
      <c r="M636" s="19"/>
      <c r="N636" s="31"/>
      <c r="O636" s="31"/>
      <c r="P636" s="19"/>
      <c r="Q636" s="19"/>
    </row>
    <row r="637" spans="1:17" ht="46.5" customHeight="1" x14ac:dyDescent="0.7">
      <c r="A637" s="19"/>
      <c r="B637" s="19"/>
      <c r="C637" s="19"/>
      <c r="D637" s="31"/>
      <c r="E637" s="31"/>
      <c r="F637" s="31"/>
      <c r="G637" s="31"/>
      <c r="H637" s="31"/>
      <c r="I637" s="31"/>
      <c r="J637" s="31"/>
      <c r="K637" s="19"/>
      <c r="L637" s="19"/>
      <c r="M637" s="19"/>
      <c r="N637" s="31"/>
      <c r="O637" s="31"/>
      <c r="P637" s="19"/>
      <c r="Q637" s="19"/>
    </row>
    <row r="638" spans="1:17" ht="46.5" customHeight="1" x14ac:dyDescent="0.7">
      <c r="A638" s="19"/>
      <c r="B638" s="19"/>
      <c r="C638" s="19"/>
      <c r="D638" s="31"/>
      <c r="E638" s="31"/>
      <c r="F638" s="31"/>
      <c r="G638" s="31"/>
      <c r="H638" s="31"/>
      <c r="I638" s="31"/>
      <c r="J638" s="31"/>
      <c r="K638" s="19"/>
      <c r="L638" s="19"/>
      <c r="M638" s="19"/>
      <c r="N638" s="31"/>
      <c r="O638" s="31"/>
      <c r="P638" s="19"/>
      <c r="Q638" s="19"/>
    </row>
    <row r="639" spans="1:17" ht="46.5" customHeight="1" x14ac:dyDescent="0.7">
      <c r="A639" s="19"/>
      <c r="B639" s="19"/>
      <c r="C639" s="19"/>
      <c r="D639" s="31"/>
      <c r="E639" s="31"/>
      <c r="F639" s="31"/>
      <c r="G639" s="31"/>
      <c r="H639" s="31"/>
      <c r="I639" s="31"/>
      <c r="J639" s="31"/>
      <c r="K639" s="19"/>
      <c r="L639" s="19"/>
      <c r="M639" s="19"/>
      <c r="N639" s="31"/>
      <c r="O639" s="31"/>
      <c r="P639" s="19"/>
      <c r="Q639" s="19"/>
    </row>
    <row r="640" spans="1:17" ht="46.5" customHeight="1" x14ac:dyDescent="0.7">
      <c r="A640" s="19"/>
      <c r="B640" s="19"/>
      <c r="C640" s="19"/>
      <c r="D640" s="31"/>
      <c r="E640" s="31"/>
      <c r="F640" s="31"/>
      <c r="G640" s="31"/>
      <c r="H640" s="31"/>
      <c r="I640" s="31"/>
      <c r="J640" s="31"/>
      <c r="K640" s="19"/>
      <c r="L640" s="19"/>
      <c r="M640" s="19"/>
      <c r="N640" s="31"/>
      <c r="O640" s="31"/>
      <c r="P640" s="19"/>
      <c r="Q640" s="19"/>
    </row>
    <row r="641" spans="1:17" ht="46.5" customHeight="1" x14ac:dyDescent="0.7">
      <c r="A641" s="19"/>
      <c r="B641" s="19"/>
      <c r="C641" s="19"/>
      <c r="D641" s="31"/>
      <c r="E641" s="31"/>
      <c r="F641" s="31"/>
      <c r="G641" s="31"/>
      <c r="H641" s="31"/>
      <c r="I641" s="31"/>
      <c r="J641" s="31"/>
      <c r="K641" s="19"/>
      <c r="L641" s="19"/>
      <c r="M641" s="19"/>
      <c r="N641" s="31"/>
      <c r="O641" s="31"/>
      <c r="P641" s="19"/>
      <c r="Q641" s="19"/>
    </row>
    <row r="642" spans="1:17" ht="46.5" customHeight="1" x14ac:dyDescent="0.7">
      <c r="A642" s="19"/>
      <c r="B642" s="19"/>
      <c r="C642" s="19"/>
      <c r="D642" s="31"/>
      <c r="E642" s="31"/>
      <c r="F642" s="31"/>
      <c r="G642" s="31"/>
      <c r="H642" s="31"/>
      <c r="I642" s="31"/>
      <c r="J642" s="31"/>
      <c r="K642" s="19"/>
      <c r="L642" s="19"/>
      <c r="M642" s="19"/>
      <c r="N642" s="31"/>
      <c r="O642" s="31"/>
      <c r="P642" s="19"/>
      <c r="Q642" s="19"/>
    </row>
    <row r="643" spans="1:17" ht="46.5" customHeight="1" x14ac:dyDescent="0.7">
      <c r="A643" s="19"/>
      <c r="B643" s="19"/>
      <c r="C643" s="19"/>
      <c r="D643" s="31"/>
      <c r="E643" s="31"/>
      <c r="F643" s="31"/>
      <c r="G643" s="31"/>
      <c r="H643" s="31"/>
      <c r="I643" s="31"/>
      <c r="J643" s="31"/>
      <c r="K643" s="19"/>
      <c r="L643" s="19"/>
      <c r="M643" s="19"/>
      <c r="N643" s="31"/>
      <c r="O643" s="31"/>
      <c r="P643" s="19"/>
      <c r="Q643" s="19"/>
    </row>
    <row r="644" spans="1:17" ht="46.5" customHeight="1" x14ac:dyDescent="0.7">
      <c r="A644" s="19"/>
      <c r="B644" s="19"/>
      <c r="C644" s="19"/>
      <c r="D644" s="31"/>
      <c r="E644" s="31"/>
      <c r="F644" s="31"/>
      <c r="G644" s="31"/>
      <c r="H644" s="31"/>
      <c r="I644" s="31"/>
      <c r="J644" s="31"/>
      <c r="K644" s="19"/>
      <c r="L644" s="19"/>
      <c r="M644" s="19"/>
      <c r="N644" s="31"/>
      <c r="O644" s="31"/>
      <c r="P644" s="19"/>
      <c r="Q644" s="19"/>
    </row>
    <row r="645" spans="1:17" ht="46.5" customHeight="1" x14ac:dyDescent="0.7">
      <c r="A645" s="19"/>
      <c r="B645" s="19"/>
      <c r="C645" s="19"/>
      <c r="D645" s="31"/>
      <c r="E645" s="31"/>
      <c r="F645" s="31"/>
      <c r="G645" s="31"/>
      <c r="H645" s="31"/>
      <c r="I645" s="31"/>
      <c r="J645" s="31"/>
      <c r="K645" s="19"/>
      <c r="L645" s="19"/>
      <c r="M645" s="19"/>
      <c r="N645" s="31"/>
      <c r="O645" s="31"/>
      <c r="P645" s="19"/>
      <c r="Q645" s="19"/>
    </row>
    <row r="646" spans="1:17" ht="46.5" customHeight="1" x14ac:dyDescent="0.7">
      <c r="A646" s="19"/>
      <c r="B646" s="19"/>
      <c r="C646" s="19"/>
      <c r="D646" s="31"/>
      <c r="E646" s="31"/>
      <c r="F646" s="31"/>
      <c r="G646" s="31"/>
      <c r="H646" s="31"/>
      <c r="I646" s="31"/>
      <c r="J646" s="31"/>
      <c r="K646" s="19"/>
      <c r="L646" s="19"/>
      <c r="M646" s="19"/>
      <c r="N646" s="31"/>
      <c r="O646" s="31"/>
      <c r="P646" s="19"/>
      <c r="Q646" s="19"/>
    </row>
    <row r="647" spans="1:17" ht="46.5" customHeight="1" x14ac:dyDescent="0.7">
      <c r="A647" s="19"/>
      <c r="B647" s="19"/>
      <c r="C647" s="19"/>
      <c r="D647" s="31"/>
      <c r="E647" s="31"/>
      <c r="F647" s="31"/>
      <c r="G647" s="31"/>
      <c r="H647" s="31"/>
      <c r="I647" s="31"/>
      <c r="J647" s="31"/>
      <c r="K647" s="19"/>
      <c r="L647" s="19"/>
      <c r="M647" s="19"/>
      <c r="N647" s="31"/>
      <c r="O647" s="31"/>
      <c r="P647" s="19"/>
      <c r="Q647" s="19"/>
    </row>
    <row r="648" spans="1:17" ht="46.5" customHeight="1" x14ac:dyDescent="0.7">
      <c r="A648" s="19"/>
      <c r="B648" s="19"/>
      <c r="C648" s="19"/>
      <c r="D648" s="31"/>
      <c r="E648" s="31"/>
      <c r="F648" s="31"/>
      <c r="G648" s="31"/>
      <c r="H648" s="31"/>
      <c r="I648" s="31"/>
      <c r="J648" s="31"/>
      <c r="K648" s="19"/>
      <c r="L648" s="19"/>
      <c r="M648" s="19"/>
      <c r="N648" s="31"/>
      <c r="O648" s="31"/>
      <c r="P648" s="19"/>
      <c r="Q648" s="19"/>
    </row>
    <row r="649" spans="1:17" ht="46.5" customHeight="1" x14ac:dyDescent="0.7">
      <c r="A649" s="19"/>
      <c r="B649" s="19"/>
      <c r="C649" s="19"/>
      <c r="D649" s="31"/>
      <c r="E649" s="31"/>
      <c r="F649" s="31"/>
      <c r="G649" s="31"/>
      <c r="H649" s="31"/>
      <c r="I649" s="31"/>
      <c r="J649" s="31"/>
      <c r="K649" s="19"/>
      <c r="L649" s="19"/>
      <c r="M649" s="19"/>
      <c r="N649" s="31"/>
      <c r="O649" s="31"/>
      <c r="P649" s="19"/>
      <c r="Q649" s="19"/>
    </row>
    <row r="650" spans="1:17" ht="46.5" customHeight="1" x14ac:dyDescent="0.7">
      <c r="A650" s="19"/>
      <c r="B650" s="19"/>
      <c r="C650" s="19"/>
      <c r="D650" s="31"/>
      <c r="E650" s="31"/>
      <c r="F650" s="31"/>
      <c r="G650" s="31"/>
      <c r="H650" s="31"/>
      <c r="I650" s="31"/>
      <c r="J650" s="31"/>
      <c r="K650" s="19"/>
      <c r="L650" s="19"/>
      <c r="M650" s="19"/>
      <c r="N650" s="31"/>
      <c r="O650" s="31"/>
      <c r="P650" s="19"/>
      <c r="Q650" s="19"/>
    </row>
    <row r="651" spans="1:17" ht="46.5" customHeight="1" x14ac:dyDescent="0.7">
      <c r="A651" s="19"/>
      <c r="B651" s="19"/>
      <c r="C651" s="19"/>
      <c r="D651" s="31"/>
      <c r="E651" s="31"/>
      <c r="F651" s="31"/>
      <c r="G651" s="31"/>
      <c r="H651" s="31"/>
      <c r="I651" s="31"/>
      <c r="J651" s="31"/>
      <c r="K651" s="19"/>
      <c r="L651" s="19"/>
      <c r="M651" s="19"/>
      <c r="N651" s="31"/>
      <c r="O651" s="31"/>
      <c r="P651" s="19"/>
      <c r="Q651" s="19"/>
    </row>
    <row r="652" spans="1:17" ht="46.5" customHeight="1" x14ac:dyDescent="0.7">
      <c r="A652" s="19"/>
      <c r="B652" s="19"/>
      <c r="C652" s="19"/>
      <c r="D652" s="31"/>
      <c r="E652" s="31"/>
      <c r="F652" s="31"/>
      <c r="G652" s="31"/>
      <c r="H652" s="31"/>
      <c r="I652" s="31"/>
      <c r="J652" s="31"/>
      <c r="K652" s="19"/>
      <c r="L652" s="19"/>
      <c r="M652" s="19"/>
      <c r="N652" s="31"/>
      <c r="O652" s="31"/>
      <c r="P652" s="19"/>
      <c r="Q652" s="19"/>
    </row>
    <row r="653" spans="1:17" ht="46.5" customHeight="1" x14ac:dyDescent="0.7">
      <c r="A653" s="19"/>
      <c r="B653" s="19"/>
      <c r="C653" s="19"/>
      <c r="D653" s="31"/>
      <c r="E653" s="31"/>
      <c r="F653" s="31"/>
      <c r="G653" s="31"/>
      <c r="H653" s="31"/>
      <c r="I653" s="31"/>
      <c r="J653" s="31"/>
      <c r="K653" s="19"/>
      <c r="L653" s="19"/>
      <c r="M653" s="19"/>
      <c r="N653" s="31"/>
      <c r="O653" s="31"/>
      <c r="P653" s="19"/>
      <c r="Q653" s="19"/>
    </row>
    <row r="654" spans="1:17" ht="46.5" customHeight="1" x14ac:dyDescent="0.7">
      <c r="A654" s="19"/>
      <c r="B654" s="19"/>
      <c r="C654" s="19"/>
      <c r="D654" s="31"/>
      <c r="E654" s="31"/>
      <c r="F654" s="31"/>
      <c r="G654" s="31"/>
      <c r="H654" s="31"/>
      <c r="I654" s="31"/>
      <c r="J654" s="31"/>
      <c r="K654" s="19"/>
      <c r="L654" s="19"/>
      <c r="M654" s="19"/>
      <c r="N654" s="31"/>
      <c r="O654" s="31"/>
      <c r="P654" s="19"/>
      <c r="Q654" s="19"/>
    </row>
    <row r="655" spans="1:17" ht="46.5" customHeight="1" x14ac:dyDescent="0.7">
      <c r="A655" s="19"/>
      <c r="B655" s="19"/>
      <c r="C655" s="19"/>
      <c r="D655" s="31"/>
      <c r="E655" s="31"/>
      <c r="F655" s="31"/>
      <c r="G655" s="31"/>
      <c r="H655" s="31"/>
      <c r="I655" s="31"/>
      <c r="J655" s="31"/>
      <c r="K655" s="19"/>
      <c r="L655" s="19"/>
      <c r="M655" s="19"/>
      <c r="N655" s="31"/>
      <c r="O655" s="31"/>
      <c r="P655" s="19"/>
      <c r="Q655" s="19"/>
    </row>
    <row r="656" spans="1:17" ht="46.5" customHeight="1" x14ac:dyDescent="0.7">
      <c r="A656" s="19"/>
      <c r="B656" s="19"/>
      <c r="C656" s="19"/>
      <c r="D656" s="31"/>
      <c r="E656" s="31"/>
      <c r="F656" s="31"/>
      <c r="G656" s="31"/>
      <c r="H656" s="31"/>
      <c r="I656" s="31"/>
      <c r="J656" s="31"/>
      <c r="K656" s="19"/>
      <c r="L656" s="19"/>
      <c r="M656" s="19"/>
      <c r="N656" s="31"/>
      <c r="O656" s="31"/>
      <c r="P656" s="19"/>
      <c r="Q656" s="19"/>
    </row>
    <row r="657" spans="1:17" ht="46.5" customHeight="1" x14ac:dyDescent="0.7">
      <c r="A657" s="19"/>
      <c r="B657" s="19"/>
      <c r="C657" s="19"/>
      <c r="D657" s="31"/>
      <c r="E657" s="31"/>
      <c r="F657" s="31"/>
      <c r="G657" s="31"/>
      <c r="H657" s="31"/>
      <c r="I657" s="31"/>
      <c r="J657" s="31"/>
      <c r="K657" s="19"/>
      <c r="L657" s="19"/>
      <c r="M657" s="19"/>
      <c r="N657" s="31"/>
      <c r="O657" s="31"/>
      <c r="P657" s="19"/>
      <c r="Q657" s="19"/>
    </row>
    <row r="658" spans="1:17" ht="46.5" customHeight="1" x14ac:dyDescent="0.7">
      <c r="A658" s="19"/>
      <c r="B658" s="19"/>
      <c r="C658" s="19"/>
      <c r="D658" s="31"/>
      <c r="E658" s="31"/>
      <c r="F658" s="31"/>
      <c r="G658" s="31"/>
      <c r="H658" s="31"/>
      <c r="I658" s="31"/>
      <c r="J658" s="31"/>
      <c r="K658" s="19"/>
      <c r="L658" s="19"/>
      <c r="M658" s="19"/>
      <c r="N658" s="31"/>
      <c r="O658" s="31"/>
      <c r="P658" s="19"/>
      <c r="Q658" s="19"/>
    </row>
    <row r="659" spans="1:17" ht="46.5" customHeight="1" x14ac:dyDescent="0.7">
      <c r="A659" s="19"/>
      <c r="B659" s="19"/>
      <c r="C659" s="19"/>
      <c r="D659" s="31"/>
      <c r="E659" s="31"/>
      <c r="F659" s="31"/>
      <c r="G659" s="31"/>
      <c r="H659" s="31"/>
      <c r="I659" s="31"/>
      <c r="J659" s="31"/>
      <c r="K659" s="19"/>
      <c r="L659" s="19"/>
      <c r="M659" s="19"/>
      <c r="N659" s="31"/>
      <c r="O659" s="31"/>
      <c r="P659" s="19"/>
      <c r="Q659" s="19"/>
    </row>
    <row r="660" spans="1:17" ht="46.5" customHeight="1" x14ac:dyDescent="0.7">
      <c r="A660" s="19"/>
      <c r="B660" s="19"/>
      <c r="C660" s="19"/>
      <c r="D660" s="31"/>
      <c r="E660" s="31"/>
      <c r="F660" s="31"/>
      <c r="G660" s="31"/>
      <c r="H660" s="31"/>
      <c r="I660" s="31"/>
      <c r="J660" s="31"/>
      <c r="K660" s="19"/>
      <c r="L660" s="19"/>
      <c r="M660" s="19"/>
      <c r="N660" s="31"/>
      <c r="O660" s="31"/>
      <c r="P660" s="19"/>
      <c r="Q660" s="19"/>
    </row>
    <row r="661" spans="1:17" ht="46.5" customHeight="1" x14ac:dyDescent="0.7">
      <c r="A661" s="19"/>
      <c r="B661" s="19"/>
      <c r="C661" s="19"/>
      <c r="D661" s="31"/>
      <c r="E661" s="31"/>
      <c r="F661" s="31"/>
      <c r="G661" s="31"/>
      <c r="H661" s="31"/>
      <c r="I661" s="31"/>
      <c r="J661" s="31"/>
      <c r="K661" s="19"/>
      <c r="L661" s="19"/>
      <c r="M661" s="19"/>
      <c r="N661" s="31"/>
      <c r="O661" s="31"/>
      <c r="P661" s="19"/>
      <c r="Q661" s="19"/>
    </row>
    <row r="662" spans="1:17" ht="46.5" customHeight="1" x14ac:dyDescent="0.7">
      <c r="A662" s="19"/>
      <c r="B662" s="19"/>
      <c r="C662" s="19"/>
      <c r="D662" s="31"/>
      <c r="E662" s="31"/>
      <c r="F662" s="31"/>
      <c r="G662" s="31"/>
      <c r="H662" s="31"/>
      <c r="I662" s="31"/>
      <c r="J662" s="31"/>
      <c r="K662" s="19"/>
      <c r="L662" s="19"/>
      <c r="M662" s="19"/>
      <c r="N662" s="31"/>
      <c r="O662" s="31"/>
      <c r="P662" s="19"/>
      <c r="Q662" s="19"/>
    </row>
    <row r="663" spans="1:17" ht="46.5" customHeight="1" x14ac:dyDescent="0.7">
      <c r="A663" s="19"/>
      <c r="B663" s="19"/>
      <c r="C663" s="19"/>
      <c r="D663" s="31"/>
      <c r="E663" s="31"/>
      <c r="F663" s="31"/>
      <c r="G663" s="31"/>
      <c r="H663" s="31"/>
      <c r="I663" s="31"/>
      <c r="J663" s="31"/>
      <c r="K663" s="19"/>
      <c r="L663" s="19"/>
      <c r="M663" s="19"/>
      <c r="N663" s="31"/>
      <c r="O663" s="31"/>
      <c r="P663" s="19"/>
      <c r="Q663" s="19"/>
    </row>
    <row r="664" spans="1:17" ht="46.5" customHeight="1" x14ac:dyDescent="0.7">
      <c r="A664" s="19"/>
      <c r="B664" s="19"/>
      <c r="C664" s="19"/>
      <c r="D664" s="31"/>
      <c r="E664" s="31"/>
      <c r="F664" s="31"/>
      <c r="G664" s="31"/>
      <c r="H664" s="31"/>
      <c r="I664" s="31"/>
      <c r="J664" s="31"/>
      <c r="K664" s="19"/>
      <c r="L664" s="19"/>
      <c r="M664" s="19"/>
      <c r="N664" s="31"/>
      <c r="O664" s="31"/>
      <c r="P664" s="19"/>
      <c r="Q664" s="19"/>
    </row>
    <row r="665" spans="1:17" ht="46.5" customHeight="1" x14ac:dyDescent="0.7">
      <c r="A665" s="19"/>
      <c r="B665" s="19"/>
      <c r="C665" s="19"/>
      <c r="D665" s="31"/>
      <c r="E665" s="31"/>
      <c r="F665" s="31"/>
      <c r="G665" s="31"/>
      <c r="H665" s="31"/>
      <c r="I665" s="31"/>
      <c r="J665" s="31"/>
      <c r="K665" s="19"/>
      <c r="L665" s="19"/>
      <c r="M665" s="19"/>
      <c r="N665" s="31"/>
      <c r="O665" s="31"/>
      <c r="P665" s="19"/>
      <c r="Q665" s="19"/>
    </row>
    <row r="666" spans="1:17" ht="46.5" customHeight="1" x14ac:dyDescent="0.7">
      <c r="A666" s="19"/>
      <c r="B666" s="19"/>
      <c r="C666" s="19"/>
      <c r="D666" s="31"/>
      <c r="E666" s="31"/>
      <c r="F666" s="31"/>
      <c r="G666" s="31"/>
      <c r="H666" s="31"/>
      <c r="I666" s="31"/>
      <c r="J666" s="31"/>
      <c r="K666" s="19"/>
      <c r="L666" s="19"/>
      <c r="M666" s="19"/>
      <c r="N666" s="31"/>
      <c r="O666" s="31"/>
      <c r="P666" s="19"/>
      <c r="Q666" s="19"/>
    </row>
    <row r="667" spans="1:17" ht="46.5" customHeight="1" x14ac:dyDescent="0.7">
      <c r="A667" s="19"/>
      <c r="B667" s="19"/>
      <c r="C667" s="19"/>
      <c r="D667" s="31"/>
      <c r="E667" s="31"/>
      <c r="F667" s="31"/>
      <c r="G667" s="31"/>
      <c r="H667" s="31"/>
      <c r="I667" s="31"/>
      <c r="J667" s="31"/>
      <c r="K667" s="19"/>
      <c r="L667" s="19"/>
      <c r="M667" s="19"/>
      <c r="N667" s="31"/>
      <c r="O667" s="31"/>
      <c r="P667" s="19"/>
      <c r="Q667" s="19"/>
    </row>
    <row r="668" spans="1:17" ht="46.5" customHeight="1" x14ac:dyDescent="0.7">
      <c r="A668" s="19"/>
      <c r="B668" s="19"/>
      <c r="C668" s="19"/>
      <c r="D668" s="31"/>
      <c r="E668" s="31"/>
      <c r="F668" s="31"/>
      <c r="G668" s="31"/>
      <c r="H668" s="31"/>
      <c r="I668" s="31"/>
      <c r="J668" s="31"/>
      <c r="K668" s="19"/>
      <c r="L668" s="19"/>
      <c r="M668" s="19"/>
      <c r="N668" s="31"/>
      <c r="O668" s="31"/>
      <c r="P668" s="19"/>
      <c r="Q668" s="19"/>
    </row>
    <row r="669" spans="1:17" ht="46.5" customHeight="1" x14ac:dyDescent="0.7">
      <c r="A669" s="19"/>
      <c r="B669" s="19"/>
      <c r="C669" s="19"/>
      <c r="D669" s="31"/>
      <c r="E669" s="31"/>
      <c r="F669" s="31"/>
      <c r="G669" s="31"/>
      <c r="H669" s="31"/>
      <c r="I669" s="31"/>
      <c r="J669" s="31"/>
      <c r="K669" s="19"/>
      <c r="L669" s="19"/>
      <c r="M669" s="19"/>
      <c r="N669" s="31"/>
      <c r="O669" s="31"/>
      <c r="P669" s="19"/>
      <c r="Q669" s="19"/>
    </row>
    <row r="670" spans="1:17" ht="46.5" customHeight="1" x14ac:dyDescent="0.7">
      <c r="A670" s="19"/>
      <c r="B670" s="19"/>
      <c r="C670" s="19"/>
      <c r="D670" s="31"/>
      <c r="E670" s="31"/>
      <c r="F670" s="31"/>
      <c r="G670" s="31"/>
      <c r="H670" s="31"/>
      <c r="I670" s="31"/>
      <c r="J670" s="31"/>
      <c r="K670" s="19"/>
      <c r="L670" s="19"/>
      <c r="M670" s="19"/>
      <c r="N670" s="31"/>
      <c r="O670" s="31"/>
      <c r="P670" s="19"/>
      <c r="Q670" s="19"/>
    </row>
    <row r="671" spans="1:17" ht="46.5" customHeight="1" x14ac:dyDescent="0.7">
      <c r="A671" s="19"/>
      <c r="B671" s="19"/>
      <c r="C671" s="19"/>
      <c r="D671" s="31"/>
      <c r="E671" s="31"/>
      <c r="F671" s="31"/>
      <c r="G671" s="31"/>
      <c r="H671" s="31"/>
      <c r="I671" s="31"/>
      <c r="J671" s="31"/>
      <c r="K671" s="19"/>
      <c r="L671" s="19"/>
      <c r="M671" s="19"/>
      <c r="N671" s="31"/>
      <c r="O671" s="31"/>
      <c r="P671" s="19"/>
      <c r="Q671" s="19"/>
    </row>
    <row r="672" spans="1:17" ht="46.5" customHeight="1" x14ac:dyDescent="0.7">
      <c r="A672" s="19"/>
      <c r="B672" s="19"/>
      <c r="C672" s="19"/>
      <c r="D672" s="31"/>
      <c r="E672" s="31"/>
      <c r="F672" s="31"/>
      <c r="G672" s="31"/>
      <c r="H672" s="31"/>
      <c r="I672" s="31"/>
      <c r="J672" s="31"/>
      <c r="K672" s="19"/>
      <c r="L672" s="19"/>
      <c r="M672" s="19"/>
      <c r="N672" s="31"/>
      <c r="O672" s="31"/>
      <c r="P672" s="19"/>
      <c r="Q672" s="19"/>
    </row>
    <row r="673" spans="1:17" ht="46.5" customHeight="1" x14ac:dyDescent="0.7">
      <c r="A673" s="19"/>
      <c r="B673" s="19"/>
      <c r="C673" s="19"/>
      <c r="D673" s="31"/>
      <c r="E673" s="31"/>
      <c r="F673" s="31"/>
      <c r="G673" s="31"/>
      <c r="H673" s="31"/>
      <c r="I673" s="31"/>
      <c r="J673" s="31"/>
      <c r="K673" s="19"/>
      <c r="L673" s="19"/>
      <c r="M673" s="19"/>
      <c r="N673" s="31"/>
      <c r="O673" s="31"/>
      <c r="P673" s="19"/>
      <c r="Q673" s="19"/>
    </row>
    <row r="674" spans="1:17" ht="46.5" customHeight="1" x14ac:dyDescent="0.7">
      <c r="A674" s="19"/>
      <c r="B674" s="19"/>
      <c r="C674" s="19"/>
      <c r="D674" s="31"/>
      <c r="E674" s="31"/>
      <c r="F674" s="31"/>
      <c r="G674" s="31"/>
      <c r="H674" s="31"/>
      <c r="I674" s="31"/>
      <c r="J674" s="31"/>
      <c r="K674" s="19"/>
      <c r="L674" s="19"/>
      <c r="M674" s="19"/>
      <c r="N674" s="31"/>
      <c r="O674" s="31"/>
      <c r="P674" s="19"/>
      <c r="Q674" s="19"/>
    </row>
    <row r="675" spans="1:17" ht="46.5" customHeight="1" x14ac:dyDescent="0.7">
      <c r="A675" s="19"/>
      <c r="B675" s="19"/>
      <c r="C675" s="19"/>
      <c r="D675" s="31"/>
      <c r="E675" s="31"/>
      <c r="F675" s="31"/>
      <c r="G675" s="31"/>
      <c r="H675" s="31"/>
      <c r="I675" s="31"/>
      <c r="J675" s="31"/>
      <c r="K675" s="19"/>
      <c r="L675" s="19"/>
      <c r="M675" s="19"/>
      <c r="N675" s="31"/>
      <c r="O675" s="31"/>
      <c r="P675" s="19"/>
      <c r="Q675" s="19"/>
    </row>
    <row r="676" spans="1:17" ht="46.5" customHeight="1" x14ac:dyDescent="0.7">
      <c r="A676" s="19"/>
      <c r="B676" s="19"/>
      <c r="C676" s="19"/>
      <c r="D676" s="31"/>
      <c r="E676" s="31"/>
      <c r="F676" s="31"/>
      <c r="G676" s="31"/>
      <c r="H676" s="31"/>
      <c r="I676" s="31"/>
      <c r="J676" s="31"/>
      <c r="K676" s="19"/>
      <c r="L676" s="19"/>
      <c r="M676" s="19"/>
      <c r="N676" s="31"/>
      <c r="O676" s="31"/>
      <c r="P676" s="19"/>
      <c r="Q676" s="19"/>
    </row>
    <row r="677" spans="1:17" ht="46.5" customHeight="1" x14ac:dyDescent="0.7">
      <c r="A677" s="19"/>
      <c r="B677" s="19"/>
      <c r="C677" s="19"/>
      <c r="D677" s="31"/>
      <c r="E677" s="31"/>
      <c r="F677" s="31"/>
      <c r="G677" s="31"/>
      <c r="H677" s="31"/>
      <c r="I677" s="31"/>
      <c r="J677" s="31"/>
      <c r="K677" s="19"/>
      <c r="L677" s="19"/>
      <c r="M677" s="19"/>
      <c r="N677" s="31"/>
      <c r="O677" s="31"/>
      <c r="P677" s="19"/>
      <c r="Q677" s="19"/>
    </row>
    <row r="678" spans="1:17" ht="46.5" customHeight="1" x14ac:dyDescent="0.7">
      <c r="A678" s="19"/>
      <c r="B678" s="19"/>
      <c r="C678" s="19"/>
      <c r="D678" s="31"/>
      <c r="E678" s="31"/>
      <c r="F678" s="31"/>
      <c r="G678" s="31"/>
      <c r="H678" s="31"/>
      <c r="I678" s="31"/>
      <c r="J678" s="31"/>
      <c r="K678" s="19"/>
      <c r="L678" s="19"/>
      <c r="M678" s="19"/>
      <c r="N678" s="31"/>
      <c r="O678" s="31"/>
      <c r="P678" s="19"/>
      <c r="Q678" s="19"/>
    </row>
    <row r="679" spans="1:17" ht="46.5" customHeight="1" x14ac:dyDescent="0.7">
      <c r="A679" s="19"/>
      <c r="B679" s="19"/>
      <c r="C679" s="19"/>
      <c r="D679" s="31"/>
      <c r="E679" s="31"/>
      <c r="F679" s="31"/>
      <c r="G679" s="31"/>
      <c r="H679" s="31"/>
      <c r="I679" s="31"/>
      <c r="J679" s="31"/>
      <c r="K679" s="19"/>
      <c r="L679" s="19"/>
      <c r="M679" s="19"/>
      <c r="N679" s="31"/>
      <c r="O679" s="31"/>
      <c r="P679" s="19"/>
      <c r="Q679" s="19"/>
    </row>
    <row r="680" spans="1:17" ht="46.5" customHeight="1" x14ac:dyDescent="0.7">
      <c r="A680" s="19"/>
      <c r="B680" s="19"/>
      <c r="C680" s="19"/>
      <c r="D680" s="31"/>
      <c r="E680" s="31"/>
      <c r="F680" s="31"/>
      <c r="G680" s="31"/>
      <c r="H680" s="31"/>
      <c r="I680" s="31"/>
      <c r="J680" s="31"/>
      <c r="K680" s="19"/>
      <c r="L680" s="19"/>
      <c r="M680" s="19"/>
      <c r="N680" s="31"/>
      <c r="O680" s="31"/>
      <c r="P680" s="19"/>
      <c r="Q680" s="19"/>
    </row>
    <row r="681" spans="1:17" ht="46.5" customHeight="1" x14ac:dyDescent="0.7">
      <c r="A681" s="19"/>
      <c r="B681" s="19"/>
      <c r="C681" s="19"/>
      <c r="D681" s="31"/>
      <c r="E681" s="31"/>
      <c r="F681" s="31"/>
      <c r="G681" s="31"/>
      <c r="H681" s="31"/>
      <c r="I681" s="31"/>
      <c r="J681" s="31"/>
      <c r="K681" s="19"/>
      <c r="L681" s="19"/>
      <c r="M681" s="19"/>
      <c r="N681" s="31"/>
      <c r="O681" s="31"/>
      <c r="P681" s="19"/>
      <c r="Q681" s="19"/>
    </row>
    <row r="682" spans="1:17" ht="46.5" customHeight="1" x14ac:dyDescent="0.7">
      <c r="A682" s="19"/>
      <c r="B682" s="19"/>
      <c r="C682" s="19"/>
      <c r="D682" s="31"/>
      <c r="E682" s="31"/>
      <c r="F682" s="31"/>
      <c r="G682" s="31"/>
      <c r="H682" s="31"/>
      <c r="I682" s="31"/>
      <c r="J682" s="31"/>
      <c r="K682" s="19"/>
      <c r="L682" s="19"/>
      <c r="M682" s="19"/>
      <c r="N682" s="31"/>
      <c r="O682" s="31"/>
      <c r="P682" s="19"/>
      <c r="Q682" s="19"/>
    </row>
    <row r="683" spans="1:17" ht="46.5" customHeight="1" x14ac:dyDescent="0.7">
      <c r="A683" s="19"/>
      <c r="B683" s="19"/>
      <c r="C683" s="19"/>
      <c r="D683" s="31"/>
      <c r="E683" s="31"/>
      <c r="F683" s="31"/>
      <c r="G683" s="31"/>
      <c r="H683" s="31"/>
      <c r="I683" s="31"/>
      <c r="J683" s="31"/>
      <c r="K683" s="19"/>
      <c r="L683" s="19"/>
      <c r="M683" s="19"/>
      <c r="N683" s="31"/>
      <c r="O683" s="31"/>
      <c r="P683" s="19"/>
      <c r="Q683" s="19"/>
    </row>
    <row r="684" spans="1:17" ht="46.5" customHeight="1" x14ac:dyDescent="0.7">
      <c r="A684" s="19"/>
      <c r="B684" s="19"/>
      <c r="C684" s="19"/>
      <c r="D684" s="31"/>
      <c r="E684" s="31"/>
      <c r="F684" s="31"/>
      <c r="G684" s="31"/>
      <c r="H684" s="31"/>
      <c r="I684" s="31"/>
      <c r="J684" s="31"/>
      <c r="K684" s="19"/>
      <c r="L684" s="19"/>
      <c r="M684" s="19"/>
      <c r="N684" s="31"/>
      <c r="O684" s="31"/>
      <c r="P684" s="19"/>
      <c r="Q684" s="19"/>
    </row>
    <row r="685" spans="1:17" ht="46.5" customHeight="1" x14ac:dyDescent="0.7">
      <c r="A685" s="19"/>
      <c r="B685" s="19"/>
      <c r="C685" s="19"/>
      <c r="D685" s="31"/>
      <c r="E685" s="31"/>
      <c r="F685" s="31"/>
      <c r="G685" s="31"/>
      <c r="H685" s="31"/>
      <c r="I685" s="31"/>
      <c r="J685" s="31"/>
      <c r="K685" s="19"/>
      <c r="L685" s="19"/>
      <c r="M685" s="19"/>
      <c r="N685" s="31"/>
      <c r="O685" s="31"/>
      <c r="P685" s="19"/>
      <c r="Q685" s="19"/>
    </row>
    <row r="686" spans="1:17" ht="46.5" customHeight="1" x14ac:dyDescent="0.7">
      <c r="A686" s="19"/>
      <c r="B686" s="19"/>
      <c r="C686" s="19"/>
      <c r="D686" s="31"/>
      <c r="E686" s="31"/>
      <c r="F686" s="31"/>
      <c r="G686" s="31"/>
      <c r="H686" s="31"/>
      <c r="I686" s="31"/>
      <c r="J686" s="31"/>
      <c r="K686" s="19"/>
      <c r="L686" s="19"/>
      <c r="M686" s="19"/>
      <c r="N686" s="31"/>
      <c r="O686" s="31"/>
      <c r="P686" s="19"/>
      <c r="Q686" s="19"/>
    </row>
    <row r="687" spans="1:17" ht="46.5" customHeight="1" x14ac:dyDescent="0.7">
      <c r="A687" s="19"/>
      <c r="B687" s="19"/>
      <c r="C687" s="19"/>
      <c r="D687" s="31"/>
      <c r="E687" s="31"/>
      <c r="F687" s="31"/>
      <c r="G687" s="31"/>
      <c r="H687" s="31"/>
      <c r="I687" s="31"/>
      <c r="J687" s="31"/>
      <c r="K687" s="19"/>
      <c r="L687" s="19"/>
      <c r="M687" s="19"/>
      <c r="N687" s="31"/>
      <c r="O687" s="31"/>
      <c r="P687" s="19"/>
      <c r="Q687" s="19"/>
    </row>
    <row r="688" spans="1:17" ht="46.5" customHeight="1" x14ac:dyDescent="0.7">
      <c r="A688" s="19"/>
      <c r="B688" s="19"/>
      <c r="C688" s="19"/>
      <c r="D688" s="31"/>
      <c r="E688" s="31"/>
      <c r="F688" s="31"/>
      <c r="G688" s="31"/>
      <c r="H688" s="31"/>
      <c r="I688" s="31"/>
      <c r="J688" s="31"/>
      <c r="K688" s="19"/>
      <c r="L688" s="19"/>
      <c r="M688" s="19"/>
      <c r="N688" s="31"/>
      <c r="O688" s="31"/>
      <c r="P688" s="19"/>
      <c r="Q688" s="19"/>
    </row>
    <row r="689" spans="1:17" ht="46.5" customHeight="1" x14ac:dyDescent="0.7">
      <c r="A689" s="19"/>
      <c r="B689" s="19"/>
      <c r="C689" s="19"/>
      <c r="D689" s="31"/>
      <c r="E689" s="31"/>
      <c r="F689" s="31"/>
      <c r="G689" s="31"/>
      <c r="H689" s="31"/>
      <c r="I689" s="31"/>
      <c r="J689" s="31"/>
      <c r="K689" s="19"/>
      <c r="L689" s="19"/>
      <c r="M689" s="19"/>
      <c r="N689" s="31"/>
      <c r="O689" s="31"/>
      <c r="P689" s="19"/>
      <c r="Q689" s="19"/>
    </row>
    <row r="690" spans="1:17" ht="46.5" customHeight="1" x14ac:dyDescent="0.7">
      <c r="A690" s="19"/>
      <c r="B690" s="19"/>
      <c r="C690" s="19"/>
      <c r="D690" s="31"/>
      <c r="E690" s="31"/>
      <c r="F690" s="31"/>
      <c r="G690" s="31"/>
      <c r="H690" s="31"/>
      <c r="I690" s="31"/>
      <c r="J690" s="31"/>
      <c r="K690" s="19"/>
      <c r="L690" s="19"/>
      <c r="M690" s="19"/>
      <c r="N690" s="31"/>
      <c r="O690" s="31"/>
      <c r="P690" s="19"/>
      <c r="Q690" s="19"/>
    </row>
    <row r="691" spans="1:17" ht="46.5" customHeight="1" x14ac:dyDescent="0.7">
      <c r="A691" s="19"/>
      <c r="B691" s="19"/>
      <c r="C691" s="19"/>
      <c r="D691" s="31"/>
      <c r="E691" s="31"/>
      <c r="F691" s="31"/>
      <c r="G691" s="31"/>
      <c r="H691" s="31"/>
      <c r="I691" s="31"/>
      <c r="J691" s="31"/>
      <c r="K691" s="19"/>
      <c r="L691" s="19"/>
      <c r="M691" s="19"/>
      <c r="N691" s="31"/>
      <c r="O691" s="31"/>
      <c r="P691" s="19"/>
      <c r="Q691" s="19"/>
    </row>
    <row r="692" spans="1:17" ht="46.5" customHeight="1" x14ac:dyDescent="0.7">
      <c r="A692" s="19"/>
      <c r="B692" s="19"/>
      <c r="C692" s="19"/>
      <c r="D692" s="31"/>
      <c r="E692" s="31"/>
      <c r="F692" s="31"/>
      <c r="G692" s="31"/>
      <c r="H692" s="31"/>
      <c r="I692" s="31"/>
      <c r="J692" s="31"/>
      <c r="K692" s="19"/>
      <c r="L692" s="19"/>
      <c r="M692" s="19"/>
      <c r="N692" s="31"/>
      <c r="O692" s="31"/>
      <c r="P692" s="19"/>
      <c r="Q692" s="19"/>
    </row>
    <row r="693" spans="1:17" ht="46.5" customHeight="1" x14ac:dyDescent="0.7">
      <c r="A693" s="19"/>
      <c r="B693" s="19"/>
      <c r="C693" s="19"/>
      <c r="D693" s="31"/>
      <c r="E693" s="31"/>
      <c r="F693" s="31"/>
      <c r="G693" s="31"/>
      <c r="H693" s="31"/>
      <c r="I693" s="31"/>
      <c r="J693" s="31"/>
      <c r="K693" s="19"/>
      <c r="L693" s="19"/>
      <c r="M693" s="19"/>
      <c r="N693" s="31"/>
      <c r="O693" s="31"/>
      <c r="P693" s="19"/>
      <c r="Q693" s="19"/>
    </row>
    <row r="694" spans="1:17" ht="46.5" customHeight="1" x14ac:dyDescent="0.7">
      <c r="A694" s="19"/>
      <c r="B694" s="19"/>
      <c r="C694" s="19"/>
      <c r="D694" s="31"/>
      <c r="E694" s="31"/>
      <c r="F694" s="31"/>
      <c r="G694" s="31"/>
      <c r="H694" s="31"/>
      <c r="I694" s="31"/>
      <c r="J694" s="31"/>
      <c r="K694" s="19"/>
      <c r="L694" s="19"/>
      <c r="M694" s="19"/>
      <c r="N694" s="31"/>
      <c r="O694" s="31"/>
      <c r="P694" s="19"/>
      <c r="Q694" s="19"/>
    </row>
    <row r="695" spans="1:17" ht="46.5" customHeight="1" x14ac:dyDescent="0.7">
      <c r="A695" s="19"/>
      <c r="B695" s="19"/>
      <c r="C695" s="19"/>
      <c r="D695" s="31"/>
      <c r="E695" s="31"/>
      <c r="F695" s="31"/>
      <c r="G695" s="31"/>
      <c r="H695" s="31"/>
      <c r="I695" s="31"/>
      <c r="J695" s="31"/>
      <c r="K695" s="19"/>
      <c r="L695" s="19"/>
      <c r="M695" s="19"/>
      <c r="N695" s="31"/>
      <c r="O695" s="31"/>
      <c r="P695" s="19"/>
      <c r="Q695" s="19"/>
    </row>
    <row r="696" spans="1:17" ht="46.5" customHeight="1" x14ac:dyDescent="0.7">
      <c r="A696" s="19"/>
      <c r="B696" s="19"/>
      <c r="C696" s="19"/>
      <c r="D696" s="31"/>
      <c r="E696" s="31"/>
      <c r="F696" s="31"/>
      <c r="G696" s="31"/>
      <c r="H696" s="31"/>
      <c r="I696" s="31"/>
      <c r="J696" s="31"/>
      <c r="K696" s="19"/>
      <c r="L696" s="19"/>
      <c r="M696" s="19"/>
      <c r="N696" s="31"/>
      <c r="O696" s="31"/>
      <c r="P696" s="19"/>
      <c r="Q696" s="19"/>
    </row>
    <row r="697" spans="1:17" ht="46.5" customHeight="1" x14ac:dyDescent="0.7">
      <c r="A697" s="19"/>
      <c r="B697" s="19"/>
      <c r="C697" s="19"/>
      <c r="D697" s="31"/>
      <c r="E697" s="31"/>
      <c r="F697" s="31"/>
      <c r="G697" s="31"/>
      <c r="H697" s="31"/>
      <c r="I697" s="31"/>
      <c r="J697" s="31"/>
      <c r="K697" s="19"/>
      <c r="L697" s="19"/>
      <c r="M697" s="19"/>
      <c r="N697" s="31"/>
      <c r="O697" s="31"/>
      <c r="P697" s="19"/>
      <c r="Q697" s="19"/>
    </row>
    <row r="698" spans="1:17" ht="46.5" customHeight="1" x14ac:dyDescent="0.7">
      <c r="A698" s="19"/>
      <c r="B698" s="19"/>
      <c r="C698" s="19"/>
      <c r="D698" s="31"/>
      <c r="E698" s="31"/>
      <c r="F698" s="31"/>
      <c r="G698" s="31"/>
      <c r="H698" s="31"/>
      <c r="I698" s="31"/>
      <c r="J698" s="31"/>
      <c r="K698" s="19"/>
      <c r="L698" s="19"/>
      <c r="M698" s="19"/>
      <c r="N698" s="31"/>
      <c r="O698" s="31"/>
      <c r="P698" s="19"/>
      <c r="Q698" s="19"/>
    </row>
    <row r="699" spans="1:17" ht="46.5" customHeight="1" x14ac:dyDescent="0.7">
      <c r="A699" s="19"/>
      <c r="B699" s="19"/>
      <c r="C699" s="19"/>
      <c r="D699" s="31"/>
      <c r="E699" s="31"/>
      <c r="F699" s="31"/>
      <c r="G699" s="31"/>
      <c r="H699" s="31"/>
      <c r="I699" s="31"/>
      <c r="J699" s="31"/>
      <c r="K699" s="19"/>
      <c r="L699" s="19"/>
      <c r="M699" s="19"/>
      <c r="N699" s="31"/>
      <c r="O699" s="31"/>
      <c r="P699" s="19"/>
      <c r="Q699" s="19"/>
    </row>
    <row r="700" spans="1:17" ht="46.5" customHeight="1" x14ac:dyDescent="0.7">
      <c r="A700" s="19"/>
      <c r="B700" s="19"/>
      <c r="C700" s="19"/>
      <c r="D700" s="31"/>
      <c r="E700" s="31"/>
      <c r="F700" s="31"/>
      <c r="G700" s="31"/>
      <c r="H700" s="31"/>
      <c r="I700" s="31"/>
      <c r="J700" s="31"/>
      <c r="K700" s="19"/>
      <c r="L700" s="19"/>
      <c r="M700" s="19"/>
      <c r="N700" s="31"/>
      <c r="O700" s="31"/>
      <c r="P700" s="19"/>
      <c r="Q700" s="19"/>
    </row>
    <row r="701" spans="1:17" ht="46.5" customHeight="1" x14ac:dyDescent="0.7">
      <c r="A701" s="19"/>
      <c r="B701" s="19"/>
      <c r="C701" s="19"/>
      <c r="D701" s="31"/>
      <c r="E701" s="31"/>
      <c r="F701" s="31"/>
      <c r="G701" s="31"/>
      <c r="H701" s="31"/>
      <c r="I701" s="31"/>
      <c r="J701" s="31"/>
      <c r="K701" s="19"/>
      <c r="L701" s="19"/>
      <c r="M701" s="19"/>
      <c r="N701" s="31"/>
      <c r="O701" s="31"/>
      <c r="P701" s="19"/>
      <c r="Q701" s="19"/>
    </row>
    <row r="702" spans="1:17" ht="46.5" customHeight="1" x14ac:dyDescent="0.7">
      <c r="A702" s="19"/>
      <c r="B702" s="19"/>
      <c r="C702" s="19"/>
      <c r="D702" s="31"/>
      <c r="E702" s="31"/>
      <c r="F702" s="31"/>
      <c r="G702" s="31"/>
      <c r="H702" s="31"/>
      <c r="I702" s="31"/>
      <c r="J702" s="31"/>
      <c r="K702" s="19"/>
      <c r="L702" s="19"/>
      <c r="M702" s="19"/>
      <c r="N702" s="31"/>
      <c r="O702" s="31"/>
      <c r="P702" s="19"/>
      <c r="Q702" s="19"/>
    </row>
    <row r="703" spans="1:17" ht="46.5" customHeight="1" x14ac:dyDescent="0.7">
      <c r="A703" s="19"/>
      <c r="B703" s="19"/>
      <c r="C703" s="19"/>
      <c r="D703" s="31"/>
      <c r="E703" s="31"/>
      <c r="F703" s="31"/>
      <c r="G703" s="31"/>
      <c r="H703" s="31"/>
      <c r="I703" s="31"/>
      <c r="J703" s="31"/>
      <c r="K703" s="19"/>
      <c r="L703" s="19"/>
      <c r="M703" s="19"/>
      <c r="N703" s="31"/>
      <c r="O703" s="31"/>
      <c r="P703" s="19"/>
      <c r="Q703" s="19"/>
    </row>
    <row r="704" spans="1:17" ht="46.5" customHeight="1" x14ac:dyDescent="0.7">
      <c r="A704" s="19"/>
      <c r="B704" s="19"/>
      <c r="C704" s="19"/>
      <c r="D704" s="31"/>
      <c r="E704" s="31"/>
      <c r="F704" s="31"/>
      <c r="G704" s="31"/>
      <c r="H704" s="31"/>
      <c r="I704" s="31"/>
      <c r="J704" s="31"/>
      <c r="K704" s="19"/>
      <c r="L704" s="19"/>
      <c r="M704" s="19"/>
      <c r="N704" s="31"/>
      <c r="O704" s="31"/>
      <c r="P704" s="19"/>
      <c r="Q704" s="19"/>
    </row>
    <row r="705" spans="1:17" ht="46.5" customHeight="1" x14ac:dyDescent="0.7">
      <c r="A705" s="19"/>
      <c r="B705" s="19"/>
      <c r="C705" s="19"/>
      <c r="D705" s="31"/>
      <c r="E705" s="31"/>
      <c r="F705" s="31"/>
      <c r="G705" s="31"/>
      <c r="H705" s="31"/>
      <c r="I705" s="31"/>
      <c r="J705" s="31"/>
      <c r="K705" s="19"/>
      <c r="L705" s="19"/>
      <c r="M705" s="19"/>
      <c r="N705" s="31"/>
      <c r="O705" s="31"/>
      <c r="P705" s="19"/>
      <c r="Q705" s="19"/>
    </row>
    <row r="706" spans="1:17" ht="46.5" customHeight="1" x14ac:dyDescent="0.7">
      <c r="A706" s="19"/>
      <c r="B706" s="19"/>
      <c r="C706" s="19"/>
      <c r="D706" s="31"/>
      <c r="E706" s="31"/>
      <c r="F706" s="31"/>
      <c r="G706" s="31"/>
      <c r="H706" s="31"/>
      <c r="I706" s="31"/>
      <c r="J706" s="31"/>
      <c r="K706" s="19"/>
      <c r="L706" s="19"/>
      <c r="M706" s="19"/>
      <c r="N706" s="31"/>
      <c r="O706" s="31"/>
      <c r="P706" s="19"/>
      <c r="Q706" s="19"/>
    </row>
    <row r="707" spans="1:17" ht="46.5" customHeight="1" x14ac:dyDescent="0.7">
      <c r="A707" s="19"/>
      <c r="B707" s="19"/>
      <c r="C707" s="19"/>
      <c r="D707" s="31"/>
      <c r="E707" s="31"/>
      <c r="F707" s="31"/>
      <c r="G707" s="31"/>
      <c r="H707" s="31"/>
      <c r="I707" s="31"/>
      <c r="J707" s="31"/>
      <c r="K707" s="19"/>
      <c r="L707" s="19"/>
      <c r="M707" s="19"/>
      <c r="N707" s="31"/>
      <c r="O707" s="31"/>
      <c r="P707" s="19"/>
      <c r="Q707" s="19"/>
    </row>
    <row r="708" spans="1:17" ht="46.5" customHeight="1" x14ac:dyDescent="0.7">
      <c r="A708" s="19"/>
      <c r="B708" s="19"/>
      <c r="C708" s="19"/>
      <c r="D708" s="31"/>
      <c r="E708" s="31"/>
      <c r="F708" s="31"/>
      <c r="G708" s="31"/>
      <c r="H708" s="31"/>
      <c r="I708" s="31"/>
      <c r="J708" s="31"/>
      <c r="K708" s="19"/>
      <c r="L708" s="19"/>
      <c r="M708" s="19"/>
      <c r="N708" s="31"/>
      <c r="O708" s="31"/>
      <c r="P708" s="19"/>
      <c r="Q708" s="19"/>
    </row>
    <row r="709" spans="1:17" ht="46.5" customHeight="1" x14ac:dyDescent="0.7">
      <c r="A709" s="19"/>
      <c r="B709" s="19"/>
      <c r="C709" s="19"/>
      <c r="D709" s="31"/>
      <c r="E709" s="31"/>
      <c r="F709" s="31"/>
      <c r="G709" s="31"/>
      <c r="H709" s="31"/>
      <c r="I709" s="31"/>
      <c r="J709" s="31"/>
      <c r="K709" s="19"/>
      <c r="L709" s="19"/>
      <c r="M709" s="19"/>
      <c r="N709" s="31"/>
      <c r="O709" s="31"/>
      <c r="P709" s="19"/>
      <c r="Q709" s="19"/>
    </row>
    <row r="710" spans="1:17" ht="46.5" customHeight="1" x14ac:dyDescent="0.7">
      <c r="A710" s="19"/>
      <c r="B710" s="19"/>
      <c r="C710" s="19"/>
      <c r="D710" s="31"/>
      <c r="E710" s="31"/>
      <c r="F710" s="31"/>
      <c r="G710" s="31"/>
      <c r="H710" s="31"/>
      <c r="I710" s="31"/>
      <c r="J710" s="31"/>
      <c r="K710" s="19"/>
      <c r="L710" s="19"/>
      <c r="M710" s="19"/>
      <c r="N710" s="31"/>
      <c r="O710" s="31"/>
      <c r="P710" s="19"/>
      <c r="Q710" s="19"/>
    </row>
    <row r="711" spans="1:17" ht="46.5" customHeight="1" x14ac:dyDescent="0.7">
      <c r="A711" s="19"/>
      <c r="B711" s="19"/>
      <c r="C711" s="19"/>
      <c r="D711" s="31"/>
      <c r="E711" s="31"/>
      <c r="F711" s="31"/>
      <c r="G711" s="31"/>
      <c r="H711" s="31"/>
      <c r="I711" s="31"/>
      <c r="J711" s="31"/>
      <c r="K711" s="19"/>
      <c r="L711" s="19"/>
      <c r="M711" s="19"/>
      <c r="N711" s="31"/>
      <c r="O711" s="31"/>
      <c r="P711" s="19"/>
      <c r="Q711" s="19"/>
    </row>
    <row r="712" spans="1:17" ht="46.5" customHeight="1" x14ac:dyDescent="0.7">
      <c r="A712" s="19"/>
      <c r="B712" s="19"/>
      <c r="C712" s="19"/>
      <c r="D712" s="31"/>
      <c r="E712" s="31"/>
      <c r="F712" s="31"/>
      <c r="G712" s="31"/>
      <c r="H712" s="31"/>
      <c r="I712" s="31"/>
      <c r="J712" s="31"/>
      <c r="K712" s="19"/>
      <c r="L712" s="19"/>
      <c r="M712" s="19"/>
      <c r="N712" s="31"/>
      <c r="O712" s="31"/>
      <c r="P712" s="19"/>
      <c r="Q712" s="19"/>
    </row>
    <row r="713" spans="1:17" ht="46.5" customHeight="1" x14ac:dyDescent="0.7">
      <c r="A713" s="19"/>
      <c r="B713" s="19"/>
      <c r="C713" s="19"/>
      <c r="D713" s="31"/>
      <c r="E713" s="31"/>
      <c r="F713" s="31"/>
      <c r="G713" s="31"/>
      <c r="H713" s="31"/>
      <c r="I713" s="31"/>
      <c r="J713" s="31"/>
      <c r="K713" s="19"/>
      <c r="L713" s="19"/>
      <c r="M713" s="19"/>
      <c r="N713" s="31"/>
      <c r="O713" s="31"/>
      <c r="P713" s="19"/>
      <c r="Q713" s="19"/>
    </row>
    <row r="714" spans="1:17" ht="46.5" customHeight="1" x14ac:dyDescent="0.7">
      <c r="A714" s="19"/>
      <c r="B714" s="19"/>
      <c r="C714" s="19"/>
      <c r="D714" s="31"/>
      <c r="E714" s="31"/>
      <c r="F714" s="31"/>
      <c r="G714" s="31"/>
      <c r="H714" s="31"/>
      <c r="I714" s="31"/>
      <c r="J714" s="31"/>
      <c r="K714" s="19"/>
      <c r="L714" s="19"/>
      <c r="M714" s="19"/>
      <c r="N714" s="31"/>
      <c r="O714" s="31"/>
      <c r="P714" s="19"/>
      <c r="Q714" s="19"/>
    </row>
    <row r="715" spans="1:17" ht="46.5" customHeight="1" x14ac:dyDescent="0.7">
      <c r="A715" s="19"/>
      <c r="B715" s="19"/>
      <c r="C715" s="19"/>
      <c r="D715" s="31"/>
      <c r="E715" s="31"/>
      <c r="F715" s="31"/>
      <c r="G715" s="31"/>
      <c r="H715" s="31"/>
      <c r="I715" s="31"/>
      <c r="J715" s="31"/>
      <c r="K715" s="19"/>
      <c r="L715" s="19"/>
      <c r="M715" s="19"/>
      <c r="N715" s="31"/>
      <c r="O715" s="31"/>
      <c r="P715" s="19"/>
      <c r="Q715" s="19"/>
    </row>
    <row r="716" spans="1:17" ht="46.5" customHeight="1" x14ac:dyDescent="0.7">
      <c r="A716" s="19"/>
      <c r="B716" s="19"/>
      <c r="C716" s="19"/>
      <c r="D716" s="31"/>
      <c r="E716" s="31"/>
      <c r="F716" s="31"/>
      <c r="G716" s="31"/>
      <c r="H716" s="31"/>
      <c r="I716" s="31"/>
      <c r="J716" s="31"/>
      <c r="K716" s="19"/>
      <c r="L716" s="19"/>
      <c r="M716" s="19"/>
      <c r="N716" s="31"/>
      <c r="O716" s="31"/>
      <c r="P716" s="19"/>
      <c r="Q716" s="19"/>
    </row>
    <row r="717" spans="1:17" ht="46.5" customHeight="1" x14ac:dyDescent="0.7">
      <c r="A717" s="19"/>
      <c r="B717" s="19"/>
      <c r="C717" s="19"/>
      <c r="D717" s="31"/>
      <c r="E717" s="31"/>
      <c r="F717" s="31"/>
      <c r="G717" s="31"/>
      <c r="H717" s="31"/>
      <c r="I717" s="31"/>
      <c r="J717" s="31"/>
      <c r="K717" s="19"/>
      <c r="L717" s="19"/>
      <c r="M717" s="19"/>
      <c r="N717" s="31"/>
      <c r="O717" s="31"/>
      <c r="P717" s="19"/>
      <c r="Q717" s="19"/>
    </row>
    <row r="718" spans="1:17" ht="46.5" customHeight="1" x14ac:dyDescent="0.7">
      <c r="A718" s="19"/>
      <c r="B718" s="19"/>
      <c r="C718" s="19"/>
      <c r="D718" s="31"/>
      <c r="E718" s="31"/>
      <c r="F718" s="31"/>
      <c r="G718" s="31"/>
      <c r="H718" s="31"/>
      <c r="I718" s="31"/>
      <c r="J718" s="31"/>
      <c r="K718" s="19"/>
      <c r="L718" s="19"/>
      <c r="M718" s="19"/>
      <c r="N718" s="31"/>
      <c r="O718" s="31"/>
      <c r="P718" s="19"/>
      <c r="Q718" s="19"/>
    </row>
    <row r="719" spans="1:17" ht="46.5" customHeight="1" x14ac:dyDescent="0.7">
      <c r="A719" s="19"/>
      <c r="B719" s="19"/>
      <c r="C719" s="19"/>
      <c r="D719" s="31"/>
      <c r="E719" s="31"/>
      <c r="F719" s="31"/>
      <c r="G719" s="31"/>
      <c r="H719" s="31"/>
      <c r="I719" s="31"/>
      <c r="J719" s="31"/>
      <c r="K719" s="19"/>
      <c r="L719" s="19"/>
      <c r="M719" s="19"/>
      <c r="N719" s="31"/>
      <c r="O719" s="31"/>
      <c r="P719" s="19"/>
      <c r="Q719" s="19"/>
    </row>
    <row r="720" spans="1:17" ht="46.5" customHeight="1" x14ac:dyDescent="0.7">
      <c r="A720" s="19"/>
      <c r="B720" s="19"/>
      <c r="C720" s="19"/>
      <c r="D720" s="31"/>
      <c r="E720" s="31"/>
      <c r="F720" s="31"/>
      <c r="G720" s="31"/>
      <c r="H720" s="31"/>
      <c r="I720" s="31"/>
      <c r="J720" s="31"/>
      <c r="K720" s="19"/>
      <c r="L720" s="19"/>
      <c r="M720" s="19"/>
      <c r="N720" s="31"/>
      <c r="O720" s="31"/>
      <c r="P720" s="19"/>
      <c r="Q720" s="19"/>
    </row>
    <row r="721" spans="1:17" ht="46.5" customHeight="1" x14ac:dyDescent="0.7">
      <c r="A721" s="19"/>
      <c r="B721" s="19"/>
      <c r="C721" s="19"/>
      <c r="D721" s="31"/>
      <c r="E721" s="31"/>
      <c r="F721" s="31"/>
      <c r="G721" s="31"/>
      <c r="H721" s="31"/>
      <c r="I721" s="31"/>
      <c r="J721" s="31"/>
      <c r="K721" s="19"/>
      <c r="L721" s="19"/>
      <c r="M721" s="19"/>
      <c r="N721" s="31"/>
      <c r="O721" s="31"/>
      <c r="P721" s="19"/>
      <c r="Q721" s="19"/>
    </row>
    <row r="722" spans="1:17" ht="46.5" customHeight="1" x14ac:dyDescent="0.7">
      <c r="A722" s="19"/>
      <c r="B722" s="19"/>
      <c r="C722" s="19"/>
      <c r="D722" s="31"/>
      <c r="E722" s="31"/>
      <c r="F722" s="31"/>
      <c r="G722" s="31"/>
      <c r="H722" s="31"/>
      <c r="I722" s="31"/>
      <c r="J722" s="31"/>
      <c r="K722" s="19"/>
      <c r="L722" s="19"/>
      <c r="M722" s="19"/>
      <c r="N722" s="31"/>
      <c r="O722" s="31"/>
      <c r="P722" s="19"/>
      <c r="Q722" s="19"/>
    </row>
    <row r="723" spans="1:17" ht="46.5" customHeight="1" x14ac:dyDescent="0.7">
      <c r="A723" s="19"/>
      <c r="B723" s="19"/>
      <c r="C723" s="19"/>
      <c r="D723" s="31"/>
      <c r="E723" s="31"/>
      <c r="F723" s="31"/>
      <c r="G723" s="31"/>
      <c r="H723" s="31"/>
      <c r="I723" s="31"/>
      <c r="J723" s="31"/>
      <c r="K723" s="19"/>
      <c r="L723" s="19"/>
      <c r="M723" s="19"/>
      <c r="N723" s="31"/>
      <c r="O723" s="31"/>
      <c r="P723" s="19"/>
      <c r="Q723" s="19"/>
    </row>
    <row r="724" spans="1:17" ht="46.5" customHeight="1" x14ac:dyDescent="0.7">
      <c r="A724" s="19"/>
      <c r="B724" s="19"/>
      <c r="C724" s="19"/>
      <c r="D724" s="31"/>
      <c r="E724" s="31"/>
      <c r="F724" s="31"/>
      <c r="G724" s="31"/>
      <c r="H724" s="31"/>
      <c r="I724" s="31"/>
      <c r="J724" s="31"/>
      <c r="K724" s="19"/>
      <c r="L724" s="19"/>
      <c r="M724" s="19"/>
      <c r="N724" s="31"/>
      <c r="O724" s="31"/>
      <c r="P724" s="19"/>
      <c r="Q724" s="19"/>
    </row>
    <row r="725" spans="1:17" ht="46.5" customHeight="1" x14ac:dyDescent="0.7">
      <c r="A725" s="19"/>
      <c r="B725" s="19"/>
      <c r="C725" s="19"/>
      <c r="D725" s="31"/>
      <c r="E725" s="31"/>
      <c r="F725" s="31"/>
      <c r="G725" s="31"/>
      <c r="H725" s="31"/>
      <c r="I725" s="31"/>
      <c r="J725" s="31"/>
      <c r="K725" s="19"/>
      <c r="L725" s="19"/>
      <c r="M725" s="19"/>
      <c r="N725" s="31"/>
      <c r="O725" s="31"/>
      <c r="P725" s="19"/>
      <c r="Q725" s="19"/>
    </row>
    <row r="726" spans="1:17" ht="46.5" customHeight="1" x14ac:dyDescent="0.7">
      <c r="A726" s="19"/>
      <c r="B726" s="19"/>
      <c r="C726" s="19"/>
      <c r="D726" s="31"/>
      <c r="E726" s="31"/>
      <c r="F726" s="31"/>
      <c r="G726" s="31"/>
      <c r="H726" s="31"/>
      <c r="I726" s="31"/>
      <c r="J726" s="31"/>
      <c r="K726" s="19"/>
      <c r="L726" s="19"/>
      <c r="M726" s="19"/>
      <c r="N726" s="31"/>
      <c r="O726" s="31"/>
      <c r="P726" s="19"/>
      <c r="Q726" s="19"/>
    </row>
    <row r="727" spans="1:17" ht="46.5" customHeight="1" x14ac:dyDescent="0.7">
      <c r="A727" s="19"/>
      <c r="B727" s="19"/>
      <c r="C727" s="19"/>
      <c r="D727" s="31"/>
      <c r="E727" s="31"/>
      <c r="F727" s="31"/>
      <c r="G727" s="31"/>
      <c r="H727" s="31"/>
      <c r="I727" s="31"/>
      <c r="J727" s="31"/>
      <c r="K727" s="19"/>
      <c r="L727" s="19"/>
      <c r="M727" s="19"/>
      <c r="N727" s="31"/>
      <c r="O727" s="31"/>
      <c r="P727" s="19"/>
      <c r="Q727" s="19"/>
    </row>
    <row r="728" spans="1:17" ht="46.5" customHeight="1" x14ac:dyDescent="0.7">
      <c r="A728" s="19"/>
      <c r="B728" s="19"/>
      <c r="C728" s="19"/>
      <c r="D728" s="31"/>
      <c r="E728" s="31"/>
      <c r="F728" s="31"/>
      <c r="G728" s="31"/>
      <c r="H728" s="31"/>
      <c r="I728" s="31"/>
      <c r="J728" s="31"/>
      <c r="K728" s="19"/>
      <c r="L728" s="19"/>
      <c r="M728" s="19"/>
      <c r="N728" s="31"/>
      <c r="O728" s="31"/>
      <c r="P728" s="19"/>
      <c r="Q728" s="19"/>
    </row>
    <row r="729" spans="1:17" ht="46.5" customHeight="1" x14ac:dyDescent="0.7">
      <c r="A729" s="19"/>
      <c r="B729" s="19"/>
      <c r="C729" s="19"/>
      <c r="D729" s="31"/>
      <c r="E729" s="31"/>
      <c r="F729" s="31"/>
      <c r="G729" s="31"/>
      <c r="H729" s="31"/>
      <c r="I729" s="31"/>
      <c r="J729" s="31"/>
      <c r="K729" s="19"/>
      <c r="L729" s="19"/>
      <c r="M729" s="19"/>
      <c r="N729" s="31"/>
      <c r="O729" s="31"/>
      <c r="P729" s="19"/>
      <c r="Q729" s="19"/>
    </row>
    <row r="730" spans="1:17" ht="46.5" customHeight="1" x14ac:dyDescent="0.7">
      <c r="A730" s="19"/>
      <c r="B730" s="19"/>
      <c r="C730" s="19"/>
      <c r="D730" s="31"/>
      <c r="E730" s="31"/>
      <c r="F730" s="31"/>
      <c r="G730" s="31"/>
      <c r="H730" s="31"/>
      <c r="I730" s="31"/>
      <c r="J730" s="31"/>
      <c r="K730" s="19"/>
      <c r="L730" s="19"/>
      <c r="M730" s="19"/>
      <c r="N730" s="31"/>
      <c r="O730" s="31"/>
      <c r="P730" s="19"/>
      <c r="Q730" s="19"/>
    </row>
    <row r="731" spans="1:17" ht="46.5" customHeight="1" x14ac:dyDescent="0.7">
      <c r="A731" s="19"/>
      <c r="B731" s="19"/>
      <c r="C731" s="19"/>
      <c r="D731" s="31"/>
      <c r="E731" s="31"/>
      <c r="F731" s="31"/>
      <c r="G731" s="31"/>
      <c r="H731" s="31"/>
      <c r="I731" s="31"/>
      <c r="J731" s="31"/>
      <c r="K731" s="19"/>
      <c r="L731" s="19"/>
      <c r="M731" s="19"/>
      <c r="N731" s="31"/>
      <c r="O731" s="31"/>
      <c r="P731" s="19"/>
      <c r="Q731" s="19"/>
    </row>
    <row r="732" spans="1:17" ht="46.5" customHeight="1" x14ac:dyDescent="0.7">
      <c r="A732" s="19"/>
      <c r="B732" s="19"/>
      <c r="C732" s="19"/>
      <c r="D732" s="31"/>
      <c r="E732" s="31"/>
      <c r="F732" s="31"/>
      <c r="G732" s="31"/>
      <c r="H732" s="31"/>
      <c r="I732" s="31"/>
      <c r="J732" s="31"/>
      <c r="K732" s="19"/>
      <c r="L732" s="19"/>
      <c r="M732" s="19"/>
      <c r="N732" s="31"/>
      <c r="O732" s="31"/>
      <c r="P732" s="19"/>
      <c r="Q732" s="19"/>
    </row>
    <row r="733" spans="1:17" ht="46.5" customHeight="1" x14ac:dyDescent="0.7">
      <c r="A733" s="19"/>
      <c r="B733" s="19"/>
      <c r="C733" s="19"/>
      <c r="D733" s="31"/>
      <c r="E733" s="31"/>
      <c r="F733" s="31"/>
      <c r="G733" s="31"/>
      <c r="H733" s="31"/>
      <c r="I733" s="31"/>
      <c r="J733" s="31"/>
      <c r="K733" s="19"/>
      <c r="L733" s="19"/>
      <c r="M733" s="19"/>
      <c r="N733" s="31"/>
      <c r="O733" s="31"/>
      <c r="P733" s="19"/>
      <c r="Q733" s="19"/>
    </row>
    <row r="734" spans="1:17" ht="46.5" customHeight="1" x14ac:dyDescent="0.7">
      <c r="A734" s="19"/>
      <c r="B734" s="19"/>
      <c r="C734" s="19"/>
      <c r="D734" s="31"/>
      <c r="E734" s="31"/>
      <c r="F734" s="31"/>
      <c r="G734" s="31"/>
      <c r="H734" s="31"/>
      <c r="I734" s="31"/>
      <c r="J734" s="31"/>
      <c r="K734" s="19"/>
      <c r="L734" s="19"/>
      <c r="M734" s="19"/>
      <c r="N734" s="31"/>
      <c r="O734" s="31"/>
      <c r="P734" s="19"/>
      <c r="Q734" s="19"/>
    </row>
    <row r="735" spans="1:17" ht="46.5" customHeight="1" x14ac:dyDescent="0.7">
      <c r="A735" s="19"/>
      <c r="B735" s="19"/>
      <c r="C735" s="19"/>
      <c r="D735" s="31"/>
      <c r="E735" s="31"/>
      <c r="F735" s="31"/>
      <c r="G735" s="31"/>
      <c r="H735" s="31"/>
      <c r="I735" s="31"/>
      <c r="J735" s="31"/>
      <c r="K735" s="19"/>
      <c r="L735" s="19"/>
      <c r="M735" s="19"/>
      <c r="N735" s="31"/>
      <c r="O735" s="31"/>
      <c r="P735" s="19"/>
      <c r="Q735" s="19"/>
    </row>
    <row r="736" spans="1:17" ht="46.5" customHeight="1" x14ac:dyDescent="0.7">
      <c r="A736" s="19"/>
      <c r="B736" s="19"/>
      <c r="C736" s="19"/>
      <c r="D736" s="31"/>
      <c r="E736" s="31"/>
      <c r="F736" s="31"/>
      <c r="G736" s="31"/>
      <c r="H736" s="31"/>
      <c r="I736" s="31"/>
      <c r="J736" s="31"/>
      <c r="K736" s="19"/>
      <c r="L736" s="19"/>
      <c r="M736" s="19"/>
      <c r="N736" s="31"/>
      <c r="O736" s="31"/>
      <c r="P736" s="19"/>
      <c r="Q736" s="19"/>
    </row>
    <row r="737" spans="1:17" ht="46.5" customHeight="1" x14ac:dyDescent="0.7">
      <c r="A737" s="19"/>
      <c r="B737" s="19"/>
      <c r="C737" s="19"/>
      <c r="D737" s="31"/>
      <c r="E737" s="31"/>
      <c r="F737" s="31"/>
      <c r="G737" s="31"/>
      <c r="H737" s="31"/>
      <c r="I737" s="31"/>
      <c r="J737" s="31"/>
      <c r="K737" s="19"/>
      <c r="L737" s="19"/>
      <c r="M737" s="19"/>
      <c r="N737" s="31"/>
      <c r="O737" s="31"/>
      <c r="P737" s="19"/>
      <c r="Q737" s="19"/>
    </row>
    <row r="738" spans="1:17" ht="46.5" customHeight="1" x14ac:dyDescent="0.7">
      <c r="A738" s="19"/>
      <c r="B738" s="19"/>
      <c r="C738" s="19"/>
      <c r="D738" s="31"/>
      <c r="E738" s="31"/>
      <c r="F738" s="31"/>
      <c r="G738" s="31"/>
      <c r="H738" s="31"/>
      <c r="I738" s="31"/>
      <c r="J738" s="31"/>
      <c r="K738" s="19"/>
      <c r="L738" s="19"/>
      <c r="M738" s="19"/>
      <c r="N738" s="31"/>
      <c r="O738" s="31"/>
      <c r="P738" s="19"/>
      <c r="Q738" s="19"/>
    </row>
    <row r="739" spans="1:17" ht="46.5" customHeight="1" x14ac:dyDescent="0.7">
      <c r="A739" s="19"/>
      <c r="B739" s="19"/>
      <c r="C739" s="19"/>
      <c r="D739" s="31"/>
      <c r="E739" s="31"/>
      <c r="F739" s="31"/>
      <c r="G739" s="31"/>
      <c r="H739" s="31"/>
      <c r="I739" s="31"/>
      <c r="J739" s="31"/>
      <c r="K739" s="19"/>
      <c r="L739" s="19"/>
      <c r="M739" s="19"/>
      <c r="N739" s="31"/>
      <c r="O739" s="31"/>
      <c r="P739" s="19"/>
      <c r="Q739" s="19"/>
    </row>
    <row r="740" spans="1:17" ht="46.5" customHeight="1" x14ac:dyDescent="0.7">
      <c r="A740" s="19"/>
      <c r="B740" s="19"/>
      <c r="C740" s="19"/>
      <c r="D740" s="31"/>
      <c r="E740" s="31"/>
      <c r="F740" s="31"/>
      <c r="G740" s="31"/>
      <c r="H740" s="31"/>
      <c r="I740" s="31"/>
      <c r="J740" s="31"/>
      <c r="K740" s="19"/>
      <c r="L740" s="19"/>
      <c r="M740" s="19"/>
      <c r="N740" s="31"/>
      <c r="O740" s="31"/>
      <c r="P740" s="19"/>
      <c r="Q740" s="19"/>
    </row>
    <row r="741" spans="1:17" ht="46.5" customHeight="1" x14ac:dyDescent="0.7">
      <c r="A741" s="19"/>
      <c r="B741" s="19"/>
      <c r="C741" s="19"/>
      <c r="D741" s="31"/>
      <c r="E741" s="31"/>
      <c r="F741" s="31"/>
      <c r="G741" s="31"/>
      <c r="H741" s="31"/>
      <c r="I741" s="31"/>
      <c r="J741" s="31"/>
      <c r="K741" s="19"/>
      <c r="L741" s="19"/>
      <c r="M741" s="19"/>
      <c r="N741" s="31"/>
      <c r="O741" s="31"/>
      <c r="P741" s="19"/>
      <c r="Q741" s="19"/>
    </row>
    <row r="742" spans="1:17" ht="46.5" customHeight="1" x14ac:dyDescent="0.7">
      <c r="A742" s="19"/>
      <c r="B742" s="19"/>
      <c r="C742" s="19"/>
      <c r="D742" s="31"/>
      <c r="E742" s="31"/>
      <c r="F742" s="31"/>
      <c r="G742" s="31"/>
      <c r="H742" s="31"/>
      <c r="I742" s="31"/>
      <c r="J742" s="31"/>
      <c r="K742" s="19"/>
      <c r="L742" s="19"/>
      <c r="M742" s="19"/>
      <c r="N742" s="31"/>
      <c r="O742" s="31"/>
      <c r="P742" s="19"/>
      <c r="Q742" s="19"/>
    </row>
    <row r="743" spans="1:17" ht="46.5" customHeight="1" x14ac:dyDescent="0.7">
      <c r="A743" s="19"/>
      <c r="B743" s="19"/>
      <c r="C743" s="19"/>
      <c r="D743" s="31"/>
      <c r="E743" s="31"/>
      <c r="F743" s="31"/>
      <c r="G743" s="31"/>
      <c r="H743" s="31"/>
      <c r="I743" s="31"/>
      <c r="J743" s="31"/>
      <c r="K743" s="19"/>
      <c r="L743" s="19"/>
      <c r="M743" s="19"/>
      <c r="N743" s="31"/>
      <c r="O743" s="31"/>
      <c r="P743" s="19"/>
      <c r="Q743" s="19"/>
    </row>
    <row r="744" spans="1:17" ht="46.5" customHeight="1" x14ac:dyDescent="0.7">
      <c r="A744" s="19"/>
      <c r="B744" s="19"/>
      <c r="C744" s="19"/>
      <c r="D744" s="31"/>
      <c r="E744" s="31"/>
      <c r="F744" s="31"/>
      <c r="G744" s="31"/>
      <c r="H744" s="31"/>
      <c r="I744" s="31"/>
      <c r="J744" s="31"/>
      <c r="K744" s="19"/>
      <c r="L744" s="19"/>
      <c r="M744" s="19"/>
      <c r="N744" s="31"/>
      <c r="O744" s="31"/>
      <c r="P744" s="19"/>
      <c r="Q744" s="19"/>
    </row>
    <row r="745" spans="1:17" ht="46.5" customHeight="1" x14ac:dyDescent="0.7">
      <c r="A745" s="19"/>
      <c r="B745" s="19"/>
      <c r="C745" s="19"/>
      <c r="D745" s="31"/>
      <c r="E745" s="31"/>
      <c r="F745" s="31"/>
      <c r="G745" s="31"/>
      <c r="H745" s="31"/>
      <c r="I745" s="31"/>
      <c r="J745" s="31"/>
      <c r="K745" s="19"/>
      <c r="L745" s="19"/>
      <c r="M745" s="19"/>
      <c r="N745" s="31"/>
      <c r="O745" s="31"/>
      <c r="P745" s="19"/>
      <c r="Q745" s="19"/>
    </row>
    <row r="746" spans="1:17" ht="46.5" customHeight="1" x14ac:dyDescent="0.7">
      <c r="A746" s="19"/>
      <c r="B746" s="19"/>
      <c r="C746" s="19"/>
      <c r="D746" s="31"/>
      <c r="E746" s="31"/>
      <c r="F746" s="31"/>
      <c r="G746" s="31"/>
      <c r="H746" s="31"/>
      <c r="I746" s="31"/>
      <c r="J746" s="31"/>
      <c r="K746" s="19"/>
      <c r="L746" s="19"/>
      <c r="M746" s="19"/>
      <c r="N746" s="31"/>
      <c r="O746" s="31"/>
      <c r="P746" s="19"/>
      <c r="Q746" s="19"/>
    </row>
    <row r="747" spans="1:17" ht="46.5" customHeight="1" x14ac:dyDescent="0.7">
      <c r="A747" s="19"/>
      <c r="B747" s="19"/>
      <c r="C747" s="19"/>
      <c r="D747" s="31"/>
      <c r="E747" s="31"/>
      <c r="F747" s="31"/>
      <c r="G747" s="31"/>
      <c r="H747" s="31"/>
      <c r="I747" s="31"/>
      <c r="J747" s="31"/>
      <c r="K747" s="19"/>
      <c r="L747" s="19"/>
      <c r="M747" s="19"/>
      <c r="N747" s="31"/>
      <c r="O747" s="31"/>
      <c r="P747" s="19"/>
      <c r="Q747" s="19"/>
    </row>
    <row r="748" spans="1:17" ht="46.5" customHeight="1" x14ac:dyDescent="0.7">
      <c r="A748" s="19"/>
      <c r="B748" s="19"/>
      <c r="C748" s="19"/>
      <c r="D748" s="31"/>
      <c r="E748" s="31"/>
      <c r="F748" s="31"/>
      <c r="G748" s="31"/>
      <c r="H748" s="31"/>
      <c r="I748" s="31"/>
      <c r="J748" s="31"/>
      <c r="K748" s="19"/>
      <c r="L748" s="19"/>
      <c r="M748" s="19"/>
      <c r="N748" s="31"/>
      <c r="O748" s="31"/>
      <c r="P748" s="19"/>
      <c r="Q748" s="19"/>
    </row>
    <row r="749" spans="1:17" ht="46.5" customHeight="1" x14ac:dyDescent="0.7">
      <c r="A749" s="19"/>
      <c r="B749" s="19"/>
      <c r="C749" s="19"/>
      <c r="D749" s="31"/>
      <c r="E749" s="31"/>
      <c r="F749" s="31"/>
      <c r="G749" s="31"/>
      <c r="H749" s="31"/>
      <c r="I749" s="31"/>
      <c r="J749" s="31"/>
      <c r="K749" s="19"/>
      <c r="L749" s="19"/>
      <c r="M749" s="19"/>
      <c r="N749" s="31"/>
      <c r="O749" s="31"/>
      <c r="P749" s="19"/>
      <c r="Q749" s="19"/>
    </row>
    <row r="750" spans="1:17" ht="46.5" customHeight="1" x14ac:dyDescent="0.7">
      <c r="A750" s="19"/>
      <c r="B750" s="19"/>
      <c r="C750" s="19"/>
      <c r="D750" s="31"/>
      <c r="E750" s="31"/>
      <c r="F750" s="31"/>
      <c r="G750" s="31"/>
      <c r="H750" s="31"/>
      <c r="I750" s="31"/>
      <c r="J750" s="31"/>
      <c r="K750" s="19"/>
      <c r="L750" s="19"/>
      <c r="M750" s="19"/>
      <c r="N750" s="31"/>
      <c r="O750" s="31"/>
      <c r="P750" s="19"/>
      <c r="Q750" s="19"/>
    </row>
    <row r="751" spans="1:17" ht="46.5" customHeight="1" x14ac:dyDescent="0.7">
      <c r="A751" s="19"/>
      <c r="B751" s="19"/>
      <c r="C751" s="19"/>
      <c r="D751" s="31"/>
      <c r="E751" s="31"/>
      <c r="F751" s="31"/>
      <c r="G751" s="31"/>
      <c r="H751" s="31"/>
      <c r="I751" s="31"/>
      <c r="J751" s="31"/>
      <c r="K751" s="19"/>
      <c r="L751" s="19"/>
      <c r="M751" s="19"/>
      <c r="N751" s="31"/>
      <c r="O751" s="31"/>
      <c r="P751" s="19"/>
      <c r="Q751" s="19"/>
    </row>
    <row r="752" spans="1:17" ht="46.5" customHeight="1" x14ac:dyDescent="0.7">
      <c r="A752" s="19"/>
      <c r="B752" s="19"/>
      <c r="C752" s="19"/>
      <c r="D752" s="31"/>
      <c r="E752" s="31"/>
      <c r="F752" s="31"/>
      <c r="G752" s="31"/>
      <c r="H752" s="31"/>
      <c r="I752" s="31"/>
      <c r="J752" s="31"/>
      <c r="K752" s="19"/>
      <c r="L752" s="19"/>
      <c r="M752" s="19"/>
      <c r="N752" s="31"/>
      <c r="O752" s="31"/>
      <c r="P752" s="19"/>
      <c r="Q752" s="19"/>
    </row>
    <row r="753" spans="1:17" ht="46.5" customHeight="1" x14ac:dyDescent="0.7">
      <c r="A753" s="19"/>
      <c r="B753" s="19"/>
      <c r="C753" s="19"/>
      <c r="D753" s="31"/>
      <c r="E753" s="31"/>
      <c r="F753" s="31"/>
      <c r="G753" s="31"/>
      <c r="H753" s="31"/>
      <c r="I753" s="31"/>
      <c r="J753" s="31"/>
      <c r="K753" s="19"/>
      <c r="L753" s="19"/>
      <c r="M753" s="19"/>
      <c r="N753" s="31"/>
      <c r="O753" s="31"/>
      <c r="P753" s="19"/>
      <c r="Q753" s="19"/>
    </row>
    <row r="754" spans="1:17" ht="46.5" customHeight="1" x14ac:dyDescent="0.7">
      <c r="A754" s="19"/>
      <c r="B754" s="19"/>
      <c r="C754" s="19"/>
      <c r="D754" s="31"/>
      <c r="E754" s="31"/>
      <c r="F754" s="31"/>
      <c r="G754" s="31"/>
      <c r="H754" s="31"/>
      <c r="I754" s="31"/>
      <c r="J754" s="31"/>
      <c r="K754" s="19"/>
      <c r="L754" s="19"/>
      <c r="M754" s="19"/>
      <c r="N754" s="31"/>
      <c r="O754" s="31"/>
      <c r="P754" s="19"/>
      <c r="Q754" s="19"/>
    </row>
    <row r="755" spans="1:17" ht="46.5" customHeight="1" x14ac:dyDescent="0.7">
      <c r="A755" s="19"/>
      <c r="B755" s="19"/>
      <c r="C755" s="19"/>
      <c r="D755" s="31"/>
      <c r="E755" s="31"/>
      <c r="F755" s="31"/>
      <c r="G755" s="31"/>
      <c r="H755" s="31"/>
      <c r="I755" s="31"/>
      <c r="J755" s="31"/>
      <c r="K755" s="19"/>
      <c r="L755" s="19"/>
      <c r="M755" s="19"/>
      <c r="N755" s="31"/>
      <c r="O755" s="31"/>
      <c r="P755" s="19"/>
      <c r="Q755" s="19"/>
    </row>
    <row r="756" spans="1:17" ht="46.5" customHeight="1" x14ac:dyDescent="0.7">
      <c r="A756" s="19"/>
      <c r="B756" s="19"/>
      <c r="C756" s="19"/>
      <c r="D756" s="31"/>
      <c r="E756" s="31"/>
      <c r="F756" s="31"/>
      <c r="G756" s="31"/>
      <c r="H756" s="31"/>
      <c r="I756" s="31"/>
      <c r="J756" s="31"/>
      <c r="K756" s="19"/>
      <c r="L756" s="19"/>
      <c r="M756" s="19"/>
      <c r="N756" s="31"/>
      <c r="O756" s="31"/>
      <c r="P756" s="19"/>
      <c r="Q756" s="19"/>
    </row>
    <row r="757" spans="1:17" ht="46.5" customHeight="1" x14ac:dyDescent="0.7">
      <c r="A757" s="19"/>
      <c r="B757" s="19"/>
      <c r="C757" s="19"/>
      <c r="D757" s="31"/>
      <c r="E757" s="31"/>
      <c r="F757" s="31"/>
      <c r="G757" s="31"/>
      <c r="H757" s="31"/>
      <c r="I757" s="31"/>
      <c r="J757" s="31"/>
      <c r="K757" s="19"/>
      <c r="L757" s="19"/>
      <c r="M757" s="19"/>
      <c r="N757" s="31"/>
      <c r="O757" s="31"/>
      <c r="P757" s="19"/>
      <c r="Q757" s="19"/>
    </row>
    <row r="758" spans="1:17" ht="46.5" customHeight="1" x14ac:dyDescent="0.7">
      <c r="A758" s="19"/>
      <c r="B758" s="19"/>
      <c r="C758" s="19"/>
      <c r="D758" s="31"/>
      <c r="E758" s="31"/>
      <c r="F758" s="31"/>
      <c r="G758" s="31"/>
      <c r="H758" s="31"/>
      <c r="I758" s="31"/>
      <c r="J758" s="31"/>
      <c r="K758" s="19"/>
      <c r="L758" s="19"/>
      <c r="M758" s="19"/>
      <c r="N758" s="31"/>
      <c r="O758" s="31"/>
      <c r="P758" s="19"/>
      <c r="Q758" s="19"/>
    </row>
    <row r="759" spans="1:17" ht="46.5" customHeight="1" x14ac:dyDescent="0.7">
      <c r="A759" s="19"/>
      <c r="B759" s="19"/>
      <c r="C759" s="19"/>
      <c r="D759" s="31"/>
      <c r="E759" s="31"/>
      <c r="F759" s="31"/>
      <c r="G759" s="31"/>
      <c r="H759" s="31"/>
      <c r="I759" s="31"/>
      <c r="J759" s="31"/>
      <c r="K759" s="19"/>
      <c r="L759" s="19"/>
      <c r="M759" s="19"/>
      <c r="N759" s="31"/>
      <c r="O759" s="31"/>
      <c r="P759" s="19"/>
      <c r="Q759" s="19"/>
    </row>
    <row r="760" spans="1:17" ht="46.5" customHeight="1" x14ac:dyDescent="0.7">
      <c r="A760" s="19"/>
      <c r="B760" s="19"/>
      <c r="C760" s="19"/>
      <c r="D760" s="31"/>
      <c r="E760" s="31"/>
      <c r="F760" s="31"/>
      <c r="G760" s="31"/>
      <c r="H760" s="31"/>
      <c r="I760" s="31"/>
      <c r="J760" s="31"/>
      <c r="K760" s="19"/>
      <c r="L760" s="19"/>
      <c r="M760" s="19"/>
      <c r="N760" s="31"/>
      <c r="O760" s="31"/>
      <c r="P760" s="19"/>
      <c r="Q760" s="19"/>
    </row>
    <row r="761" spans="1:17" ht="46.5" customHeight="1" x14ac:dyDescent="0.7">
      <c r="A761" s="19"/>
      <c r="B761" s="19"/>
      <c r="C761" s="19"/>
      <c r="D761" s="31"/>
      <c r="E761" s="31"/>
      <c r="F761" s="31"/>
      <c r="G761" s="31"/>
      <c r="H761" s="31"/>
      <c r="I761" s="31"/>
      <c r="J761" s="31"/>
      <c r="K761" s="19"/>
      <c r="L761" s="19"/>
      <c r="M761" s="19"/>
      <c r="N761" s="31"/>
      <c r="O761" s="31"/>
      <c r="P761" s="19"/>
      <c r="Q761" s="19"/>
    </row>
    <row r="762" spans="1:17" ht="46.5" customHeight="1" x14ac:dyDescent="0.7">
      <c r="A762" s="19"/>
      <c r="B762" s="19"/>
      <c r="C762" s="19"/>
      <c r="D762" s="31"/>
      <c r="E762" s="31"/>
      <c r="F762" s="31"/>
      <c r="G762" s="31"/>
      <c r="H762" s="31"/>
      <c r="I762" s="31"/>
      <c r="J762" s="31"/>
      <c r="K762" s="19"/>
      <c r="L762" s="19"/>
      <c r="M762" s="19"/>
      <c r="N762" s="31"/>
      <c r="O762" s="31"/>
      <c r="P762" s="19"/>
      <c r="Q762" s="19"/>
    </row>
    <row r="763" spans="1:17" ht="46.5" customHeight="1" x14ac:dyDescent="0.7">
      <c r="A763" s="19"/>
      <c r="B763" s="19"/>
      <c r="C763" s="19"/>
      <c r="D763" s="31"/>
      <c r="E763" s="31"/>
      <c r="F763" s="31"/>
      <c r="G763" s="31"/>
      <c r="H763" s="31"/>
      <c r="I763" s="31"/>
      <c r="J763" s="31"/>
      <c r="K763" s="19"/>
      <c r="L763" s="19"/>
      <c r="M763" s="19"/>
      <c r="N763" s="31"/>
      <c r="O763" s="31"/>
      <c r="P763" s="19"/>
      <c r="Q763" s="19"/>
    </row>
    <row r="764" spans="1:17" ht="46.5" customHeight="1" x14ac:dyDescent="0.7">
      <c r="A764" s="19"/>
      <c r="B764" s="19"/>
      <c r="C764" s="19"/>
      <c r="D764" s="31"/>
      <c r="E764" s="31"/>
      <c r="F764" s="31"/>
      <c r="G764" s="31"/>
      <c r="H764" s="31"/>
      <c r="I764" s="31"/>
      <c r="J764" s="31"/>
      <c r="K764" s="19"/>
      <c r="L764" s="19"/>
      <c r="M764" s="19"/>
      <c r="N764" s="31"/>
      <c r="O764" s="31"/>
      <c r="P764" s="19"/>
      <c r="Q764" s="19"/>
    </row>
    <row r="765" spans="1:17" ht="46.5" customHeight="1" x14ac:dyDescent="0.7">
      <c r="A765" s="19"/>
      <c r="B765" s="19"/>
      <c r="C765" s="19"/>
      <c r="D765" s="31"/>
      <c r="E765" s="31"/>
      <c r="F765" s="31"/>
      <c r="G765" s="31"/>
      <c r="H765" s="31"/>
      <c r="I765" s="31"/>
      <c r="J765" s="31"/>
      <c r="K765" s="19"/>
      <c r="L765" s="19"/>
      <c r="M765" s="19"/>
      <c r="N765" s="31"/>
      <c r="O765" s="31"/>
      <c r="P765" s="19"/>
      <c r="Q765" s="19"/>
    </row>
    <row r="766" spans="1:17" ht="46.5" customHeight="1" x14ac:dyDescent="0.7">
      <c r="A766" s="19"/>
      <c r="B766" s="19"/>
      <c r="C766" s="19"/>
      <c r="D766" s="31"/>
      <c r="E766" s="31"/>
      <c r="F766" s="31"/>
      <c r="G766" s="31"/>
      <c r="H766" s="31"/>
      <c r="I766" s="31"/>
      <c r="J766" s="31"/>
      <c r="K766" s="19"/>
      <c r="L766" s="19"/>
      <c r="M766" s="19"/>
      <c r="N766" s="31"/>
      <c r="O766" s="31"/>
      <c r="P766" s="19"/>
      <c r="Q766" s="19"/>
    </row>
    <row r="767" spans="1:17" ht="46.5" customHeight="1" x14ac:dyDescent="0.7">
      <c r="A767" s="19"/>
      <c r="B767" s="19"/>
      <c r="C767" s="19"/>
      <c r="D767" s="31"/>
      <c r="E767" s="31"/>
      <c r="F767" s="31"/>
      <c r="G767" s="31"/>
      <c r="H767" s="31"/>
      <c r="I767" s="31"/>
      <c r="J767" s="31"/>
      <c r="K767" s="19"/>
      <c r="L767" s="19"/>
      <c r="M767" s="19"/>
      <c r="N767" s="31"/>
      <c r="O767" s="31"/>
      <c r="P767" s="19"/>
      <c r="Q767" s="19"/>
    </row>
    <row r="768" spans="1:17" ht="46.5" customHeight="1" x14ac:dyDescent="0.7">
      <c r="A768" s="19"/>
      <c r="B768" s="19"/>
      <c r="C768" s="19"/>
      <c r="D768" s="31"/>
      <c r="E768" s="31"/>
      <c r="F768" s="31"/>
      <c r="G768" s="31"/>
      <c r="H768" s="31"/>
      <c r="I768" s="31"/>
      <c r="J768" s="31"/>
      <c r="K768" s="19"/>
      <c r="L768" s="19"/>
      <c r="M768" s="19"/>
      <c r="N768" s="31"/>
      <c r="O768" s="31"/>
      <c r="P768" s="19"/>
      <c r="Q768" s="19"/>
    </row>
    <row r="769" spans="1:17" ht="46.5" customHeight="1" x14ac:dyDescent="0.7">
      <c r="A769" s="19"/>
      <c r="B769" s="19"/>
      <c r="C769" s="19"/>
      <c r="D769" s="31"/>
      <c r="E769" s="31"/>
      <c r="F769" s="31"/>
      <c r="G769" s="31"/>
      <c r="H769" s="31"/>
      <c r="I769" s="31"/>
      <c r="J769" s="31"/>
      <c r="K769" s="19"/>
      <c r="L769" s="19"/>
      <c r="M769" s="19"/>
      <c r="N769" s="31"/>
      <c r="O769" s="31"/>
      <c r="P769" s="19"/>
      <c r="Q769" s="19"/>
    </row>
    <row r="770" spans="1:17" ht="46.5" customHeight="1" x14ac:dyDescent="0.7">
      <c r="A770" s="19"/>
      <c r="B770" s="19"/>
      <c r="C770" s="19"/>
      <c r="D770" s="31"/>
      <c r="E770" s="31"/>
      <c r="F770" s="31"/>
      <c r="G770" s="31"/>
      <c r="H770" s="31"/>
      <c r="I770" s="31"/>
      <c r="J770" s="31"/>
      <c r="K770" s="19"/>
      <c r="L770" s="19"/>
      <c r="M770" s="19"/>
      <c r="N770" s="31"/>
      <c r="O770" s="31"/>
      <c r="P770" s="19"/>
      <c r="Q770" s="19"/>
    </row>
    <row r="771" spans="1:17" ht="46.5" customHeight="1" x14ac:dyDescent="0.7">
      <c r="A771" s="19"/>
      <c r="B771" s="19"/>
      <c r="C771" s="19"/>
      <c r="D771" s="31"/>
      <c r="E771" s="31"/>
      <c r="F771" s="31"/>
      <c r="G771" s="31"/>
      <c r="H771" s="31"/>
      <c r="I771" s="31"/>
      <c r="J771" s="31"/>
      <c r="K771" s="19"/>
      <c r="L771" s="19"/>
      <c r="M771" s="19"/>
      <c r="N771" s="31"/>
      <c r="O771" s="31"/>
      <c r="P771" s="19"/>
      <c r="Q771" s="19"/>
    </row>
    <row r="772" spans="1:17" ht="46.5" customHeight="1" x14ac:dyDescent="0.7">
      <c r="A772" s="19"/>
      <c r="B772" s="19"/>
      <c r="C772" s="19"/>
      <c r="D772" s="31"/>
      <c r="E772" s="31"/>
      <c r="F772" s="31"/>
      <c r="G772" s="31"/>
      <c r="H772" s="31"/>
      <c r="I772" s="31"/>
      <c r="J772" s="31"/>
      <c r="K772" s="19"/>
      <c r="L772" s="19"/>
      <c r="M772" s="19"/>
      <c r="N772" s="31"/>
      <c r="O772" s="31"/>
      <c r="P772" s="19"/>
      <c r="Q772" s="19"/>
    </row>
    <row r="773" spans="1:17" ht="46.5" customHeight="1" x14ac:dyDescent="0.7">
      <c r="A773" s="19"/>
      <c r="B773" s="19"/>
      <c r="C773" s="19"/>
      <c r="D773" s="31"/>
      <c r="E773" s="31"/>
      <c r="F773" s="31"/>
      <c r="G773" s="31"/>
      <c r="H773" s="31"/>
      <c r="I773" s="31"/>
      <c r="J773" s="31"/>
      <c r="K773" s="19"/>
      <c r="L773" s="19"/>
      <c r="M773" s="19"/>
      <c r="N773" s="31"/>
      <c r="O773" s="31"/>
      <c r="P773" s="19"/>
      <c r="Q773" s="19"/>
    </row>
    <row r="774" spans="1:17" ht="46.5" customHeight="1" x14ac:dyDescent="0.7">
      <c r="A774" s="19"/>
      <c r="B774" s="19"/>
      <c r="C774" s="19"/>
      <c r="D774" s="31"/>
      <c r="E774" s="31"/>
      <c r="F774" s="31"/>
      <c r="G774" s="31"/>
      <c r="H774" s="31"/>
      <c r="I774" s="31"/>
      <c r="J774" s="31"/>
      <c r="K774" s="19"/>
      <c r="L774" s="19"/>
      <c r="M774" s="19"/>
      <c r="N774" s="31"/>
      <c r="O774" s="31"/>
      <c r="P774" s="19"/>
      <c r="Q774" s="19"/>
    </row>
    <row r="775" spans="1:17" ht="46.5" customHeight="1" x14ac:dyDescent="0.7">
      <c r="A775" s="19"/>
      <c r="B775" s="19"/>
      <c r="C775" s="19"/>
      <c r="D775" s="31"/>
      <c r="E775" s="31"/>
      <c r="F775" s="31"/>
      <c r="G775" s="31"/>
      <c r="H775" s="31"/>
      <c r="I775" s="31"/>
      <c r="J775" s="31"/>
      <c r="K775" s="19"/>
      <c r="L775" s="19"/>
      <c r="M775" s="19"/>
      <c r="N775" s="31"/>
      <c r="O775" s="31"/>
      <c r="P775" s="19"/>
      <c r="Q775" s="19"/>
    </row>
    <row r="776" spans="1:17" ht="46.5" customHeight="1" x14ac:dyDescent="0.7">
      <c r="A776" s="19"/>
      <c r="B776" s="19"/>
      <c r="C776" s="19"/>
      <c r="D776" s="31"/>
      <c r="E776" s="31"/>
      <c r="F776" s="31"/>
      <c r="G776" s="31"/>
      <c r="H776" s="31"/>
      <c r="I776" s="31"/>
      <c r="J776" s="31"/>
      <c r="K776" s="19"/>
      <c r="L776" s="19"/>
      <c r="M776" s="19"/>
      <c r="N776" s="31"/>
      <c r="O776" s="31"/>
      <c r="P776" s="19"/>
      <c r="Q776" s="19"/>
    </row>
    <row r="777" spans="1:17" ht="46.5" customHeight="1" x14ac:dyDescent="0.7">
      <c r="A777" s="19"/>
      <c r="B777" s="19"/>
      <c r="C777" s="19"/>
      <c r="D777" s="31"/>
      <c r="E777" s="31"/>
      <c r="F777" s="31"/>
      <c r="G777" s="31"/>
      <c r="H777" s="31"/>
      <c r="I777" s="31"/>
      <c r="J777" s="31"/>
      <c r="K777" s="19"/>
      <c r="L777" s="19"/>
      <c r="M777" s="19"/>
      <c r="N777" s="31"/>
      <c r="O777" s="31"/>
      <c r="P777" s="19"/>
      <c r="Q777" s="19"/>
    </row>
    <row r="778" spans="1:17" ht="46.5" customHeight="1" x14ac:dyDescent="0.7">
      <c r="A778" s="19"/>
      <c r="B778" s="19"/>
      <c r="C778" s="19"/>
      <c r="D778" s="31"/>
      <c r="E778" s="31"/>
      <c r="F778" s="31"/>
      <c r="G778" s="31"/>
      <c r="H778" s="31"/>
      <c r="I778" s="31"/>
      <c r="J778" s="31"/>
      <c r="K778" s="19"/>
      <c r="L778" s="19"/>
      <c r="M778" s="19"/>
      <c r="N778" s="31"/>
      <c r="O778" s="31"/>
      <c r="P778" s="19"/>
      <c r="Q778" s="19"/>
    </row>
    <row r="779" spans="1:17" ht="46.5" customHeight="1" x14ac:dyDescent="0.7">
      <c r="A779" s="19"/>
      <c r="B779" s="19"/>
      <c r="C779" s="19"/>
      <c r="D779" s="31"/>
      <c r="E779" s="31"/>
      <c r="F779" s="31"/>
      <c r="G779" s="31"/>
      <c r="H779" s="31"/>
      <c r="I779" s="31"/>
      <c r="J779" s="31"/>
      <c r="K779" s="19"/>
      <c r="L779" s="19"/>
      <c r="M779" s="19"/>
      <c r="N779" s="31"/>
      <c r="O779" s="31"/>
      <c r="P779" s="19"/>
      <c r="Q779" s="19"/>
    </row>
    <row r="780" spans="1:17" ht="46.5" customHeight="1" x14ac:dyDescent="0.7">
      <c r="A780" s="19"/>
      <c r="B780" s="19"/>
      <c r="C780" s="19"/>
      <c r="D780" s="31"/>
      <c r="E780" s="31"/>
      <c r="F780" s="31"/>
      <c r="G780" s="31"/>
      <c r="H780" s="31"/>
      <c r="I780" s="31"/>
      <c r="J780" s="31"/>
      <c r="K780" s="19"/>
      <c r="L780" s="19"/>
      <c r="M780" s="19"/>
      <c r="N780" s="31"/>
      <c r="O780" s="31"/>
      <c r="P780" s="19"/>
      <c r="Q780" s="19"/>
    </row>
    <row r="781" spans="1:17" ht="46.5" customHeight="1" x14ac:dyDescent="0.7">
      <c r="A781" s="19"/>
      <c r="B781" s="19"/>
      <c r="C781" s="19"/>
      <c r="D781" s="31"/>
      <c r="E781" s="31"/>
      <c r="F781" s="31"/>
      <c r="G781" s="31"/>
      <c r="H781" s="31"/>
      <c r="I781" s="31"/>
      <c r="J781" s="31"/>
      <c r="K781" s="19"/>
      <c r="L781" s="19"/>
      <c r="M781" s="19"/>
      <c r="N781" s="31"/>
      <c r="O781" s="31"/>
      <c r="P781" s="19"/>
      <c r="Q781" s="19"/>
    </row>
    <row r="782" spans="1:17" ht="46.5" customHeight="1" x14ac:dyDescent="0.7">
      <c r="A782" s="19"/>
      <c r="B782" s="19"/>
      <c r="C782" s="19"/>
      <c r="D782" s="31"/>
      <c r="E782" s="31"/>
      <c r="F782" s="31"/>
      <c r="G782" s="31"/>
      <c r="H782" s="31"/>
      <c r="I782" s="31"/>
      <c r="J782" s="31"/>
      <c r="K782" s="19"/>
      <c r="L782" s="19"/>
      <c r="M782" s="19"/>
      <c r="N782" s="31"/>
      <c r="O782" s="31"/>
      <c r="P782" s="19"/>
      <c r="Q782" s="19"/>
    </row>
    <row r="783" spans="1:17" ht="46.5" customHeight="1" x14ac:dyDescent="0.7">
      <c r="A783" s="19"/>
      <c r="B783" s="19"/>
      <c r="C783" s="19"/>
      <c r="D783" s="31"/>
      <c r="E783" s="31"/>
      <c r="F783" s="31"/>
      <c r="G783" s="31"/>
      <c r="H783" s="31"/>
      <c r="I783" s="31"/>
      <c r="J783" s="31"/>
      <c r="K783" s="19"/>
      <c r="L783" s="19"/>
      <c r="M783" s="19"/>
      <c r="N783" s="31"/>
      <c r="O783" s="31"/>
      <c r="P783" s="19"/>
      <c r="Q783" s="19"/>
    </row>
    <row r="784" spans="1:17" ht="46.5" customHeight="1" x14ac:dyDescent="0.7">
      <c r="A784" s="19"/>
      <c r="B784" s="19"/>
      <c r="C784" s="19"/>
      <c r="D784" s="31"/>
      <c r="E784" s="31"/>
      <c r="F784" s="31"/>
      <c r="G784" s="31"/>
      <c r="H784" s="31"/>
      <c r="I784" s="31"/>
      <c r="J784" s="31"/>
      <c r="K784" s="19"/>
      <c r="L784" s="19"/>
      <c r="M784" s="19"/>
      <c r="N784" s="31"/>
      <c r="O784" s="31"/>
      <c r="P784" s="19"/>
      <c r="Q784" s="19"/>
    </row>
    <row r="785" spans="1:17" ht="46.5" customHeight="1" x14ac:dyDescent="0.7">
      <c r="A785" s="19"/>
      <c r="B785" s="19"/>
      <c r="C785" s="19"/>
      <c r="D785" s="31"/>
      <c r="E785" s="31"/>
      <c r="F785" s="31"/>
      <c r="G785" s="31"/>
      <c r="H785" s="31"/>
      <c r="I785" s="31"/>
      <c r="J785" s="31"/>
      <c r="K785" s="19"/>
      <c r="L785" s="19"/>
      <c r="M785" s="19"/>
      <c r="N785" s="31"/>
      <c r="O785" s="31"/>
      <c r="P785" s="19"/>
      <c r="Q785" s="19"/>
    </row>
    <row r="786" spans="1:17" ht="46.5" customHeight="1" x14ac:dyDescent="0.7">
      <c r="A786" s="19"/>
      <c r="B786" s="19"/>
      <c r="C786" s="19"/>
      <c r="D786" s="31"/>
      <c r="E786" s="31"/>
      <c r="F786" s="31"/>
      <c r="G786" s="31"/>
      <c r="H786" s="31"/>
      <c r="I786" s="31"/>
      <c r="J786" s="31"/>
      <c r="K786" s="19"/>
      <c r="L786" s="19"/>
      <c r="M786" s="19"/>
      <c r="N786" s="31"/>
      <c r="O786" s="31"/>
      <c r="P786" s="19"/>
      <c r="Q786" s="19"/>
    </row>
    <row r="787" spans="1:17" ht="46.5" customHeight="1" x14ac:dyDescent="0.7">
      <c r="A787" s="19"/>
      <c r="B787" s="19"/>
      <c r="C787" s="19"/>
      <c r="D787" s="31"/>
      <c r="E787" s="31"/>
      <c r="F787" s="31"/>
      <c r="G787" s="31"/>
      <c r="H787" s="31"/>
      <c r="I787" s="31"/>
      <c r="J787" s="31"/>
      <c r="K787" s="19"/>
      <c r="L787" s="19"/>
      <c r="M787" s="19"/>
      <c r="N787" s="31"/>
      <c r="O787" s="31"/>
      <c r="P787" s="19"/>
      <c r="Q787" s="19"/>
    </row>
    <row r="788" spans="1:17" ht="46.5" customHeight="1" x14ac:dyDescent="0.7">
      <c r="A788" s="19"/>
      <c r="B788" s="19"/>
      <c r="C788" s="19"/>
      <c r="D788" s="31"/>
      <c r="E788" s="31"/>
      <c r="F788" s="31"/>
      <c r="G788" s="31"/>
      <c r="H788" s="31"/>
      <c r="I788" s="31"/>
      <c r="J788" s="31"/>
      <c r="K788" s="19"/>
      <c r="L788" s="19"/>
      <c r="M788" s="19"/>
      <c r="N788" s="31"/>
      <c r="O788" s="31"/>
      <c r="P788" s="19"/>
      <c r="Q788" s="19"/>
    </row>
    <row r="789" spans="1:17" ht="46.5" customHeight="1" x14ac:dyDescent="0.7">
      <c r="A789" s="19"/>
      <c r="B789" s="19"/>
      <c r="C789" s="19"/>
      <c r="D789" s="31"/>
      <c r="E789" s="31"/>
      <c r="F789" s="31"/>
      <c r="G789" s="31"/>
      <c r="H789" s="31"/>
      <c r="I789" s="31"/>
      <c r="J789" s="31"/>
      <c r="K789" s="19"/>
      <c r="L789" s="19"/>
      <c r="M789" s="19"/>
      <c r="N789" s="31"/>
      <c r="O789" s="31"/>
      <c r="P789" s="19"/>
      <c r="Q789" s="19"/>
    </row>
    <row r="790" spans="1:17" ht="46.5" customHeight="1" x14ac:dyDescent="0.7">
      <c r="A790" s="19"/>
      <c r="B790" s="19"/>
      <c r="C790" s="19"/>
      <c r="D790" s="31"/>
      <c r="E790" s="31"/>
      <c r="F790" s="31"/>
      <c r="G790" s="31"/>
      <c r="H790" s="31"/>
      <c r="I790" s="31"/>
      <c r="J790" s="31"/>
      <c r="K790" s="19"/>
      <c r="L790" s="19"/>
      <c r="M790" s="19"/>
      <c r="N790" s="31"/>
      <c r="O790" s="31"/>
      <c r="P790" s="19"/>
      <c r="Q790" s="19"/>
    </row>
    <row r="791" spans="1:17" ht="46.5" customHeight="1" x14ac:dyDescent="0.7">
      <c r="A791" s="19"/>
      <c r="B791" s="19"/>
      <c r="C791" s="19"/>
      <c r="D791" s="31"/>
      <c r="E791" s="31"/>
      <c r="F791" s="31"/>
      <c r="G791" s="31"/>
      <c r="H791" s="31"/>
      <c r="I791" s="31"/>
      <c r="J791" s="31"/>
      <c r="K791" s="19"/>
      <c r="L791" s="19"/>
      <c r="M791" s="19"/>
      <c r="N791" s="31"/>
      <c r="O791" s="31"/>
      <c r="P791" s="19"/>
      <c r="Q791" s="19"/>
    </row>
    <row r="792" spans="1:17" ht="46.5" customHeight="1" x14ac:dyDescent="0.7">
      <c r="A792" s="19"/>
      <c r="B792" s="19"/>
      <c r="C792" s="19"/>
      <c r="D792" s="31"/>
      <c r="E792" s="31"/>
      <c r="F792" s="31"/>
      <c r="G792" s="31"/>
      <c r="H792" s="31"/>
      <c r="I792" s="31"/>
      <c r="J792" s="31"/>
      <c r="K792" s="19"/>
      <c r="L792" s="19"/>
      <c r="M792" s="19"/>
      <c r="N792" s="31"/>
      <c r="O792" s="31"/>
      <c r="P792" s="19"/>
      <c r="Q792" s="19"/>
    </row>
    <row r="793" spans="1:17" ht="46.5" customHeight="1" x14ac:dyDescent="0.7">
      <c r="A793" s="19"/>
      <c r="B793" s="19"/>
      <c r="C793" s="19"/>
      <c r="D793" s="31"/>
      <c r="E793" s="31"/>
      <c r="F793" s="31"/>
      <c r="G793" s="31"/>
      <c r="H793" s="31"/>
      <c r="I793" s="31"/>
      <c r="J793" s="31"/>
      <c r="K793" s="19"/>
      <c r="L793" s="19"/>
      <c r="M793" s="19"/>
      <c r="N793" s="31"/>
      <c r="O793" s="31"/>
      <c r="P793" s="19"/>
      <c r="Q793" s="19"/>
    </row>
    <row r="794" spans="1:17" ht="46.5" customHeight="1" x14ac:dyDescent="0.7">
      <c r="A794" s="19"/>
      <c r="B794" s="19"/>
      <c r="C794" s="19"/>
      <c r="D794" s="31"/>
      <c r="E794" s="31"/>
      <c r="F794" s="31"/>
      <c r="G794" s="31"/>
      <c r="H794" s="31"/>
      <c r="I794" s="31"/>
      <c r="J794" s="31"/>
      <c r="K794" s="19"/>
      <c r="L794" s="19"/>
      <c r="M794" s="19"/>
      <c r="N794" s="31"/>
      <c r="O794" s="31"/>
      <c r="P794" s="19"/>
      <c r="Q794" s="19"/>
    </row>
    <row r="795" spans="1:17" ht="46.5" customHeight="1" x14ac:dyDescent="0.7">
      <c r="A795" s="19"/>
      <c r="B795" s="19"/>
      <c r="C795" s="19"/>
      <c r="D795" s="31"/>
      <c r="E795" s="31"/>
      <c r="F795" s="31"/>
      <c r="G795" s="31"/>
      <c r="H795" s="31"/>
      <c r="I795" s="31"/>
      <c r="J795" s="31"/>
      <c r="K795" s="19"/>
      <c r="L795" s="19"/>
      <c r="M795" s="19"/>
      <c r="N795" s="31"/>
      <c r="O795" s="31"/>
      <c r="P795" s="19"/>
      <c r="Q795" s="19"/>
    </row>
    <row r="796" spans="1:17" ht="46.5" customHeight="1" x14ac:dyDescent="0.7">
      <c r="A796" s="19"/>
      <c r="B796" s="19"/>
      <c r="C796" s="19"/>
      <c r="D796" s="31"/>
      <c r="E796" s="31"/>
      <c r="F796" s="31"/>
      <c r="G796" s="31"/>
      <c r="H796" s="31"/>
      <c r="I796" s="31"/>
      <c r="J796" s="31"/>
      <c r="K796" s="19"/>
      <c r="L796" s="19"/>
      <c r="M796" s="19"/>
      <c r="N796" s="31"/>
      <c r="O796" s="31"/>
      <c r="P796" s="19"/>
      <c r="Q796" s="19"/>
    </row>
    <row r="797" spans="1:17" ht="46.5" customHeight="1" x14ac:dyDescent="0.7">
      <c r="A797" s="19"/>
      <c r="B797" s="19"/>
      <c r="C797" s="19"/>
      <c r="D797" s="31"/>
      <c r="E797" s="31"/>
      <c r="F797" s="31"/>
      <c r="G797" s="31"/>
      <c r="H797" s="31"/>
      <c r="I797" s="31"/>
      <c r="J797" s="31"/>
      <c r="K797" s="19"/>
      <c r="L797" s="19"/>
      <c r="M797" s="19"/>
      <c r="N797" s="31"/>
      <c r="O797" s="31"/>
      <c r="P797" s="19"/>
      <c r="Q797" s="19"/>
    </row>
    <row r="798" spans="1:17" ht="46.5" customHeight="1" x14ac:dyDescent="0.7">
      <c r="A798" s="19"/>
      <c r="B798" s="19"/>
      <c r="C798" s="19"/>
      <c r="D798" s="31"/>
      <c r="E798" s="31"/>
      <c r="F798" s="31"/>
      <c r="G798" s="31"/>
      <c r="H798" s="31"/>
      <c r="I798" s="31"/>
      <c r="J798" s="31"/>
      <c r="K798" s="19"/>
      <c r="L798" s="19"/>
      <c r="M798" s="19"/>
      <c r="N798" s="31"/>
      <c r="O798" s="31"/>
      <c r="P798" s="19"/>
      <c r="Q798" s="19"/>
    </row>
    <row r="799" spans="1:17" ht="46.5" customHeight="1" x14ac:dyDescent="0.7">
      <c r="A799" s="19"/>
      <c r="B799" s="19"/>
      <c r="C799" s="19"/>
      <c r="D799" s="31"/>
      <c r="E799" s="31"/>
      <c r="F799" s="31"/>
      <c r="G799" s="31"/>
      <c r="H799" s="31"/>
      <c r="I799" s="31"/>
      <c r="J799" s="31"/>
      <c r="K799" s="19"/>
      <c r="L799" s="19"/>
      <c r="M799" s="19"/>
      <c r="N799" s="31"/>
      <c r="O799" s="31"/>
      <c r="P799" s="19"/>
      <c r="Q799" s="19"/>
    </row>
    <row r="800" spans="1:17" ht="46.5" customHeight="1" x14ac:dyDescent="0.7">
      <c r="A800" s="19"/>
      <c r="B800" s="19"/>
      <c r="C800" s="19"/>
      <c r="D800" s="31"/>
      <c r="E800" s="31"/>
      <c r="F800" s="31"/>
      <c r="G800" s="31"/>
      <c r="H800" s="31"/>
      <c r="I800" s="31"/>
      <c r="J800" s="31"/>
      <c r="K800" s="19"/>
      <c r="L800" s="19"/>
      <c r="M800" s="19"/>
      <c r="N800" s="31"/>
      <c r="O800" s="31"/>
      <c r="P800" s="19"/>
      <c r="Q800" s="19"/>
    </row>
    <row r="801" spans="1:17" ht="46.5" customHeight="1" x14ac:dyDescent="0.7">
      <c r="A801" s="19"/>
      <c r="B801" s="19"/>
      <c r="C801" s="19"/>
      <c r="D801" s="31"/>
      <c r="E801" s="31"/>
      <c r="F801" s="31"/>
      <c r="G801" s="31"/>
      <c r="H801" s="31"/>
      <c r="I801" s="31"/>
      <c r="J801" s="31"/>
      <c r="K801" s="19"/>
      <c r="L801" s="19"/>
      <c r="M801" s="19"/>
      <c r="N801" s="31"/>
      <c r="O801" s="31"/>
      <c r="P801" s="19"/>
      <c r="Q801" s="19"/>
    </row>
    <row r="802" spans="1:17" ht="46.5" customHeight="1" x14ac:dyDescent="0.7">
      <c r="A802" s="19"/>
      <c r="B802" s="19"/>
      <c r="C802" s="19"/>
      <c r="D802" s="31"/>
      <c r="E802" s="31"/>
      <c r="F802" s="31"/>
      <c r="G802" s="31"/>
      <c r="H802" s="31"/>
      <c r="I802" s="31"/>
      <c r="J802" s="31"/>
      <c r="K802" s="19"/>
      <c r="L802" s="19"/>
      <c r="M802" s="19"/>
      <c r="N802" s="31"/>
      <c r="O802" s="31"/>
      <c r="P802" s="19"/>
      <c r="Q802" s="19"/>
    </row>
    <row r="803" spans="1:17" ht="46.5" customHeight="1" x14ac:dyDescent="0.7">
      <c r="A803" s="19"/>
      <c r="B803" s="19"/>
      <c r="C803" s="19"/>
      <c r="D803" s="31"/>
      <c r="E803" s="31"/>
      <c r="F803" s="31"/>
      <c r="G803" s="31"/>
      <c r="H803" s="31"/>
      <c r="I803" s="31"/>
      <c r="J803" s="31"/>
      <c r="K803" s="19"/>
      <c r="L803" s="19"/>
      <c r="M803" s="19"/>
      <c r="N803" s="31"/>
      <c r="O803" s="31"/>
      <c r="P803" s="19"/>
      <c r="Q803" s="19"/>
    </row>
    <row r="804" spans="1:17" ht="46.5" customHeight="1" x14ac:dyDescent="0.7">
      <c r="A804" s="19"/>
      <c r="B804" s="19"/>
      <c r="C804" s="19"/>
      <c r="D804" s="31"/>
      <c r="E804" s="31"/>
      <c r="F804" s="31"/>
      <c r="G804" s="31"/>
      <c r="H804" s="31"/>
      <c r="I804" s="31"/>
      <c r="J804" s="31"/>
      <c r="K804" s="19"/>
      <c r="L804" s="19"/>
      <c r="M804" s="19"/>
      <c r="N804" s="31"/>
      <c r="O804" s="31"/>
      <c r="P804" s="19"/>
      <c r="Q804" s="19"/>
    </row>
    <row r="805" spans="1:17" ht="46.5" customHeight="1" x14ac:dyDescent="0.7">
      <c r="A805" s="19"/>
      <c r="B805" s="19"/>
      <c r="C805" s="19"/>
      <c r="D805" s="31"/>
      <c r="E805" s="31"/>
      <c r="F805" s="31"/>
      <c r="G805" s="31"/>
      <c r="H805" s="31"/>
      <c r="I805" s="31"/>
      <c r="J805" s="31"/>
      <c r="K805" s="19"/>
      <c r="L805" s="19"/>
      <c r="M805" s="19"/>
      <c r="N805" s="31"/>
      <c r="O805" s="31"/>
      <c r="P805" s="19"/>
      <c r="Q805" s="19"/>
    </row>
    <row r="806" spans="1:17" ht="46.5" customHeight="1" x14ac:dyDescent="0.7">
      <c r="A806" s="19"/>
      <c r="B806" s="19"/>
      <c r="C806" s="19"/>
      <c r="D806" s="31"/>
      <c r="E806" s="31"/>
      <c r="F806" s="31"/>
      <c r="G806" s="31"/>
      <c r="H806" s="31"/>
      <c r="I806" s="31"/>
      <c r="J806" s="31"/>
      <c r="K806" s="19"/>
      <c r="L806" s="19"/>
      <c r="M806" s="19"/>
      <c r="N806" s="31"/>
      <c r="O806" s="31"/>
      <c r="P806" s="19"/>
      <c r="Q806" s="19"/>
    </row>
    <row r="807" spans="1:17" ht="46.5" customHeight="1" x14ac:dyDescent="0.7">
      <c r="A807" s="19"/>
      <c r="B807" s="19"/>
      <c r="C807" s="19"/>
      <c r="D807" s="31"/>
      <c r="E807" s="31"/>
      <c r="F807" s="31"/>
      <c r="G807" s="31"/>
      <c r="H807" s="31"/>
      <c r="I807" s="31"/>
      <c r="J807" s="31"/>
      <c r="K807" s="19"/>
      <c r="L807" s="19"/>
      <c r="M807" s="19"/>
      <c r="N807" s="31"/>
      <c r="O807" s="31"/>
      <c r="P807" s="19"/>
      <c r="Q807" s="19"/>
    </row>
    <row r="808" spans="1:17" ht="46.5" customHeight="1" x14ac:dyDescent="0.7">
      <c r="A808" s="19"/>
      <c r="B808" s="19"/>
      <c r="C808" s="19"/>
      <c r="D808" s="31"/>
      <c r="E808" s="31"/>
      <c r="F808" s="31"/>
      <c r="G808" s="31"/>
      <c r="H808" s="31"/>
      <c r="I808" s="31"/>
      <c r="J808" s="31"/>
      <c r="K808" s="19"/>
      <c r="L808" s="19"/>
      <c r="M808" s="19"/>
      <c r="N808" s="31"/>
      <c r="O808" s="31"/>
      <c r="P808" s="19"/>
      <c r="Q808" s="19"/>
    </row>
    <row r="809" spans="1:17" ht="46.5" customHeight="1" x14ac:dyDescent="0.7">
      <c r="A809" s="19"/>
      <c r="B809" s="19"/>
      <c r="C809" s="19"/>
      <c r="D809" s="31"/>
      <c r="E809" s="31"/>
      <c r="F809" s="31"/>
      <c r="G809" s="31"/>
      <c r="H809" s="31"/>
      <c r="I809" s="31"/>
      <c r="J809" s="31"/>
      <c r="K809" s="19"/>
      <c r="L809" s="19"/>
      <c r="M809" s="19"/>
      <c r="N809" s="31"/>
      <c r="O809" s="31"/>
      <c r="P809" s="19"/>
      <c r="Q809" s="19"/>
    </row>
    <row r="810" spans="1:17" ht="46.5" customHeight="1" x14ac:dyDescent="0.7">
      <c r="A810" s="19"/>
      <c r="B810" s="19"/>
      <c r="C810" s="19"/>
      <c r="D810" s="31"/>
      <c r="E810" s="31"/>
      <c r="F810" s="31"/>
      <c r="G810" s="31"/>
      <c r="H810" s="31"/>
      <c r="I810" s="31"/>
      <c r="J810" s="31"/>
      <c r="K810" s="19"/>
      <c r="L810" s="19"/>
      <c r="M810" s="19"/>
      <c r="N810" s="31"/>
      <c r="O810" s="31"/>
      <c r="P810" s="19"/>
      <c r="Q810" s="19"/>
    </row>
    <row r="811" spans="1:17" ht="46.5" customHeight="1" x14ac:dyDescent="0.7">
      <c r="A811" s="19"/>
      <c r="B811" s="19"/>
      <c r="C811" s="19"/>
      <c r="D811" s="31"/>
      <c r="E811" s="31"/>
      <c r="F811" s="31"/>
      <c r="G811" s="31"/>
      <c r="H811" s="31"/>
      <c r="I811" s="31"/>
      <c r="J811" s="31"/>
      <c r="K811" s="19"/>
      <c r="L811" s="19"/>
      <c r="M811" s="19"/>
      <c r="N811" s="31"/>
      <c r="O811" s="31"/>
      <c r="P811" s="19"/>
      <c r="Q811" s="19"/>
    </row>
    <row r="812" spans="1:17" ht="46.5" customHeight="1" x14ac:dyDescent="0.7">
      <c r="A812" s="19"/>
      <c r="B812" s="19"/>
      <c r="C812" s="19"/>
      <c r="D812" s="31"/>
      <c r="E812" s="31"/>
      <c r="F812" s="31"/>
      <c r="G812" s="31"/>
      <c r="H812" s="31"/>
      <c r="I812" s="31"/>
      <c r="J812" s="31"/>
      <c r="K812" s="19"/>
      <c r="L812" s="19"/>
      <c r="M812" s="19"/>
      <c r="N812" s="31"/>
      <c r="O812" s="31"/>
      <c r="P812" s="19"/>
      <c r="Q812" s="19"/>
    </row>
    <row r="813" spans="1:17" ht="46.5" customHeight="1" x14ac:dyDescent="0.7">
      <c r="A813" s="19"/>
      <c r="B813" s="19"/>
      <c r="C813" s="19"/>
      <c r="D813" s="31"/>
      <c r="E813" s="31"/>
      <c r="F813" s="31"/>
      <c r="G813" s="31"/>
      <c r="H813" s="31"/>
      <c r="I813" s="31"/>
      <c r="J813" s="31"/>
      <c r="K813" s="19"/>
      <c r="L813" s="19"/>
      <c r="M813" s="19"/>
      <c r="N813" s="31"/>
      <c r="O813" s="31"/>
      <c r="P813" s="19"/>
      <c r="Q813" s="19"/>
    </row>
    <row r="814" spans="1:17" ht="46.5" customHeight="1" x14ac:dyDescent="0.7">
      <c r="A814" s="19"/>
      <c r="B814" s="19"/>
      <c r="C814" s="19"/>
      <c r="D814" s="31"/>
      <c r="E814" s="31"/>
      <c r="F814" s="31"/>
      <c r="G814" s="31"/>
      <c r="H814" s="31"/>
      <c r="I814" s="31"/>
      <c r="J814" s="31"/>
      <c r="K814" s="19"/>
      <c r="L814" s="19"/>
      <c r="M814" s="19"/>
      <c r="N814" s="31"/>
      <c r="O814" s="31"/>
      <c r="P814" s="19"/>
      <c r="Q814" s="19"/>
    </row>
    <row r="815" spans="1:17" ht="46.5" customHeight="1" x14ac:dyDescent="0.7">
      <c r="A815" s="19"/>
      <c r="B815" s="19"/>
      <c r="C815" s="19"/>
      <c r="D815" s="31"/>
      <c r="E815" s="31"/>
      <c r="F815" s="31"/>
      <c r="G815" s="31"/>
      <c r="H815" s="31"/>
      <c r="I815" s="31"/>
      <c r="J815" s="31"/>
      <c r="K815" s="19"/>
      <c r="L815" s="19"/>
      <c r="M815" s="19"/>
      <c r="N815" s="31"/>
      <c r="O815" s="31"/>
      <c r="P815" s="19"/>
      <c r="Q815" s="19"/>
    </row>
    <row r="816" spans="1:17" ht="46.5" customHeight="1" x14ac:dyDescent="0.7">
      <c r="A816" s="19"/>
      <c r="B816" s="19"/>
      <c r="C816" s="19"/>
      <c r="D816" s="31"/>
      <c r="E816" s="31"/>
      <c r="F816" s="31"/>
      <c r="G816" s="31"/>
      <c r="H816" s="31"/>
      <c r="I816" s="31"/>
      <c r="J816" s="31"/>
      <c r="K816" s="19"/>
      <c r="L816" s="19"/>
      <c r="M816" s="19"/>
      <c r="N816" s="31"/>
      <c r="O816" s="31"/>
      <c r="P816" s="19"/>
      <c r="Q816" s="19"/>
    </row>
    <row r="817" spans="1:17" ht="46.5" customHeight="1" x14ac:dyDescent="0.7">
      <c r="A817" s="19"/>
      <c r="B817" s="19"/>
      <c r="C817" s="19"/>
      <c r="D817" s="31"/>
      <c r="E817" s="31"/>
      <c r="F817" s="31"/>
      <c r="G817" s="31"/>
      <c r="H817" s="31"/>
      <c r="I817" s="31"/>
      <c r="J817" s="31"/>
      <c r="K817" s="19"/>
      <c r="L817" s="19"/>
      <c r="M817" s="19"/>
      <c r="N817" s="31"/>
      <c r="O817" s="31"/>
      <c r="P817" s="19"/>
      <c r="Q817" s="19"/>
    </row>
    <row r="818" spans="1:17" ht="46.5" customHeight="1" x14ac:dyDescent="0.7">
      <c r="A818" s="19"/>
      <c r="B818" s="19"/>
      <c r="C818" s="19"/>
      <c r="D818" s="31"/>
      <c r="E818" s="31"/>
      <c r="F818" s="31"/>
      <c r="G818" s="31"/>
      <c r="H818" s="31"/>
      <c r="I818" s="31"/>
      <c r="J818" s="31"/>
      <c r="K818" s="19"/>
      <c r="L818" s="19"/>
      <c r="M818" s="19"/>
      <c r="N818" s="31"/>
      <c r="O818" s="31"/>
      <c r="P818" s="19"/>
      <c r="Q818" s="19"/>
    </row>
    <row r="819" spans="1:17" ht="46.5" customHeight="1" x14ac:dyDescent="0.7">
      <c r="A819" s="19"/>
      <c r="B819" s="19"/>
      <c r="C819" s="19"/>
      <c r="D819" s="31"/>
      <c r="E819" s="31"/>
      <c r="F819" s="31"/>
      <c r="G819" s="31"/>
      <c r="H819" s="31"/>
      <c r="I819" s="31"/>
      <c r="J819" s="31"/>
      <c r="K819" s="19"/>
      <c r="L819" s="19"/>
      <c r="M819" s="19"/>
      <c r="N819" s="31"/>
      <c r="O819" s="31"/>
      <c r="P819" s="19"/>
      <c r="Q819" s="19"/>
    </row>
    <row r="820" spans="1:17" ht="46.5" customHeight="1" x14ac:dyDescent="0.7">
      <c r="A820" s="19"/>
      <c r="B820" s="19"/>
      <c r="C820" s="19"/>
      <c r="D820" s="31"/>
      <c r="E820" s="31"/>
      <c r="F820" s="31"/>
      <c r="G820" s="31"/>
      <c r="H820" s="31"/>
      <c r="I820" s="31"/>
      <c r="J820" s="31"/>
      <c r="K820" s="19"/>
      <c r="L820" s="19"/>
      <c r="M820" s="19"/>
      <c r="N820" s="31"/>
      <c r="O820" s="31"/>
      <c r="P820" s="19"/>
      <c r="Q820" s="19"/>
    </row>
    <row r="821" spans="1:17" ht="46.5" customHeight="1" x14ac:dyDescent="0.7">
      <c r="A821" s="19"/>
      <c r="B821" s="19"/>
      <c r="C821" s="19"/>
      <c r="D821" s="31"/>
      <c r="E821" s="31"/>
      <c r="F821" s="31"/>
      <c r="G821" s="31"/>
      <c r="H821" s="31"/>
      <c r="I821" s="31"/>
      <c r="J821" s="31"/>
      <c r="K821" s="19"/>
      <c r="L821" s="19"/>
      <c r="M821" s="19"/>
      <c r="N821" s="31"/>
      <c r="O821" s="31"/>
      <c r="P821" s="19"/>
      <c r="Q821" s="19"/>
    </row>
    <row r="822" spans="1:17" ht="46.5" customHeight="1" x14ac:dyDescent="0.7">
      <c r="A822" s="19"/>
      <c r="B822" s="19"/>
      <c r="C822" s="19"/>
      <c r="D822" s="31"/>
      <c r="E822" s="31"/>
      <c r="F822" s="31"/>
      <c r="G822" s="31"/>
      <c r="H822" s="31"/>
      <c r="I822" s="31"/>
      <c r="J822" s="31"/>
      <c r="K822" s="19"/>
      <c r="L822" s="19"/>
      <c r="M822" s="19"/>
      <c r="N822" s="31"/>
      <c r="O822" s="31"/>
      <c r="P822" s="19"/>
      <c r="Q822" s="19"/>
    </row>
    <row r="823" spans="1:17" ht="46.5" customHeight="1" x14ac:dyDescent="0.7">
      <c r="A823" s="19"/>
      <c r="B823" s="19"/>
      <c r="C823" s="19"/>
      <c r="D823" s="31"/>
      <c r="E823" s="31"/>
      <c r="F823" s="31"/>
      <c r="G823" s="31"/>
      <c r="H823" s="31"/>
      <c r="I823" s="31"/>
      <c r="J823" s="31"/>
      <c r="K823" s="19"/>
      <c r="L823" s="19"/>
      <c r="M823" s="19"/>
      <c r="N823" s="31"/>
      <c r="O823" s="31"/>
      <c r="P823" s="19"/>
      <c r="Q823" s="19"/>
    </row>
    <row r="824" spans="1:17" ht="46.5" customHeight="1" x14ac:dyDescent="0.7">
      <c r="A824" s="19"/>
      <c r="B824" s="19"/>
      <c r="C824" s="19"/>
      <c r="D824" s="31"/>
      <c r="E824" s="31"/>
      <c r="F824" s="31"/>
      <c r="G824" s="31"/>
      <c r="H824" s="31"/>
      <c r="I824" s="31"/>
      <c r="J824" s="31"/>
      <c r="K824" s="19"/>
      <c r="L824" s="19"/>
      <c r="M824" s="19"/>
      <c r="N824" s="31"/>
      <c r="O824" s="31"/>
      <c r="P824" s="19"/>
      <c r="Q824" s="19"/>
    </row>
    <row r="825" spans="1:17" ht="46.5" customHeight="1" x14ac:dyDescent="0.7">
      <c r="A825" s="19"/>
      <c r="B825" s="19"/>
      <c r="C825" s="19"/>
      <c r="D825" s="31"/>
      <c r="E825" s="31"/>
      <c r="F825" s="31"/>
      <c r="G825" s="31"/>
      <c r="H825" s="31"/>
      <c r="I825" s="31"/>
      <c r="J825" s="31"/>
      <c r="K825" s="19"/>
      <c r="L825" s="19"/>
      <c r="M825" s="19"/>
      <c r="N825" s="31"/>
      <c r="O825" s="31"/>
      <c r="P825" s="19"/>
      <c r="Q825" s="19"/>
    </row>
    <row r="826" spans="1:17" ht="46.5" customHeight="1" x14ac:dyDescent="0.7">
      <c r="A826" s="19"/>
      <c r="B826" s="19"/>
      <c r="C826" s="19"/>
      <c r="D826" s="31"/>
      <c r="E826" s="31"/>
      <c r="F826" s="31"/>
      <c r="G826" s="31"/>
      <c r="H826" s="31"/>
      <c r="I826" s="31"/>
      <c r="J826" s="31"/>
      <c r="K826" s="19"/>
      <c r="L826" s="19"/>
      <c r="M826" s="19"/>
      <c r="N826" s="31"/>
      <c r="O826" s="31"/>
      <c r="P826" s="19"/>
      <c r="Q826" s="19"/>
    </row>
    <row r="827" spans="1:17" ht="46.5" customHeight="1" x14ac:dyDescent="0.7">
      <c r="A827" s="19"/>
      <c r="B827" s="19"/>
      <c r="C827" s="19"/>
      <c r="D827" s="31"/>
      <c r="E827" s="31"/>
      <c r="F827" s="31"/>
      <c r="G827" s="31"/>
      <c r="H827" s="31"/>
      <c r="I827" s="31"/>
      <c r="J827" s="31"/>
      <c r="K827" s="19"/>
      <c r="L827" s="19"/>
      <c r="M827" s="19"/>
      <c r="N827" s="31"/>
      <c r="O827" s="31"/>
      <c r="P827" s="19"/>
      <c r="Q827" s="19"/>
    </row>
    <row r="828" spans="1:17" ht="46.5" customHeight="1" x14ac:dyDescent="0.7">
      <c r="A828" s="19"/>
      <c r="B828" s="19"/>
      <c r="C828" s="19"/>
      <c r="D828" s="31"/>
      <c r="E828" s="31"/>
      <c r="F828" s="31"/>
      <c r="G828" s="31"/>
      <c r="H828" s="31"/>
      <c r="I828" s="31"/>
      <c r="J828" s="31"/>
      <c r="K828" s="19"/>
      <c r="L828" s="19"/>
      <c r="M828" s="19"/>
      <c r="N828" s="31"/>
      <c r="O828" s="31"/>
      <c r="P828" s="19"/>
      <c r="Q828" s="19"/>
    </row>
    <row r="829" spans="1:17" ht="46.5" customHeight="1" x14ac:dyDescent="0.7">
      <c r="A829" s="19"/>
      <c r="B829" s="19"/>
      <c r="C829" s="19"/>
      <c r="D829" s="31"/>
      <c r="E829" s="31"/>
      <c r="F829" s="31"/>
      <c r="G829" s="31"/>
      <c r="H829" s="31"/>
      <c r="I829" s="31"/>
      <c r="J829" s="31"/>
      <c r="K829" s="19"/>
      <c r="L829" s="19"/>
      <c r="M829" s="19"/>
      <c r="N829" s="31"/>
      <c r="O829" s="31"/>
      <c r="P829" s="19"/>
      <c r="Q829" s="19"/>
    </row>
    <row r="830" spans="1:17" ht="46.5" customHeight="1" x14ac:dyDescent="0.7">
      <c r="A830" s="19"/>
      <c r="B830" s="19"/>
      <c r="C830" s="19"/>
      <c r="D830" s="31"/>
      <c r="E830" s="31"/>
      <c r="F830" s="31"/>
      <c r="G830" s="31"/>
      <c r="H830" s="31"/>
      <c r="I830" s="31"/>
      <c r="J830" s="31"/>
      <c r="K830" s="19"/>
      <c r="L830" s="19"/>
      <c r="M830" s="19"/>
      <c r="N830" s="31"/>
      <c r="O830" s="31"/>
      <c r="P830" s="19"/>
      <c r="Q830" s="19"/>
    </row>
    <row r="831" spans="1:17" ht="46.5" customHeight="1" x14ac:dyDescent="0.7">
      <c r="A831" s="19"/>
      <c r="B831" s="19"/>
      <c r="C831" s="19"/>
      <c r="D831" s="31"/>
      <c r="E831" s="31"/>
      <c r="F831" s="31"/>
      <c r="G831" s="31"/>
      <c r="H831" s="31"/>
      <c r="I831" s="31"/>
      <c r="J831" s="31"/>
      <c r="K831" s="19"/>
      <c r="L831" s="19"/>
      <c r="M831" s="19"/>
      <c r="N831" s="31"/>
      <c r="O831" s="31"/>
      <c r="P831" s="19"/>
      <c r="Q831" s="19"/>
    </row>
    <row r="832" spans="1:17" ht="46.5" customHeight="1" x14ac:dyDescent="0.7">
      <c r="A832" s="19"/>
      <c r="B832" s="19"/>
      <c r="C832" s="19"/>
      <c r="D832" s="31"/>
      <c r="E832" s="31"/>
      <c r="F832" s="31"/>
      <c r="G832" s="31"/>
      <c r="H832" s="31"/>
      <c r="I832" s="31"/>
      <c r="J832" s="31"/>
      <c r="K832" s="19"/>
      <c r="L832" s="19"/>
      <c r="M832" s="19"/>
      <c r="N832" s="31"/>
      <c r="O832" s="31"/>
      <c r="P832" s="19"/>
      <c r="Q832" s="19"/>
    </row>
    <row r="833" spans="1:17" ht="46.5" customHeight="1" x14ac:dyDescent="0.7">
      <c r="A833" s="19"/>
      <c r="B833" s="19"/>
      <c r="C833" s="19"/>
      <c r="D833" s="31"/>
      <c r="E833" s="31"/>
      <c r="F833" s="31"/>
      <c r="G833" s="31"/>
      <c r="H833" s="31"/>
      <c r="I833" s="31"/>
      <c r="J833" s="31"/>
      <c r="K833" s="19"/>
      <c r="L833" s="19"/>
      <c r="M833" s="19"/>
      <c r="N833" s="31"/>
      <c r="O833" s="31"/>
      <c r="P833" s="19"/>
      <c r="Q833" s="19"/>
    </row>
    <row r="834" spans="1:17" ht="46.5" customHeight="1" x14ac:dyDescent="0.7">
      <c r="A834" s="19"/>
      <c r="B834" s="19"/>
      <c r="C834" s="19"/>
      <c r="D834" s="31"/>
      <c r="E834" s="31"/>
      <c r="F834" s="31"/>
      <c r="G834" s="31"/>
      <c r="H834" s="31"/>
      <c r="I834" s="31"/>
      <c r="J834" s="31"/>
      <c r="K834" s="19"/>
      <c r="L834" s="19"/>
      <c r="M834" s="19"/>
      <c r="N834" s="31"/>
      <c r="O834" s="31"/>
      <c r="P834" s="19"/>
      <c r="Q834" s="19"/>
    </row>
    <row r="835" spans="1:17" ht="46.5" customHeight="1" x14ac:dyDescent="0.7">
      <c r="A835" s="19"/>
      <c r="B835" s="19"/>
      <c r="C835" s="19"/>
      <c r="D835" s="31"/>
      <c r="E835" s="31"/>
      <c r="F835" s="31"/>
      <c r="G835" s="31"/>
      <c r="H835" s="31"/>
      <c r="I835" s="31"/>
      <c r="J835" s="31"/>
      <c r="K835" s="19"/>
      <c r="L835" s="19"/>
      <c r="M835" s="19"/>
      <c r="N835" s="31"/>
      <c r="O835" s="31"/>
      <c r="P835" s="19"/>
      <c r="Q835" s="19"/>
    </row>
    <row r="836" spans="1:17" ht="46.5" customHeight="1" x14ac:dyDescent="0.7">
      <c r="A836" s="19"/>
      <c r="B836" s="19"/>
      <c r="C836" s="19"/>
      <c r="D836" s="31"/>
      <c r="E836" s="31"/>
      <c r="F836" s="31"/>
      <c r="G836" s="31"/>
      <c r="H836" s="31"/>
      <c r="I836" s="31"/>
      <c r="J836" s="31"/>
      <c r="K836" s="19"/>
      <c r="L836" s="19"/>
      <c r="M836" s="19"/>
      <c r="N836" s="31"/>
      <c r="O836" s="31"/>
      <c r="P836" s="19"/>
      <c r="Q836" s="19"/>
    </row>
    <row r="837" spans="1:17" ht="46.5" customHeight="1" x14ac:dyDescent="0.7">
      <c r="A837" s="19"/>
      <c r="B837" s="19"/>
      <c r="C837" s="19"/>
      <c r="D837" s="31"/>
      <c r="E837" s="31"/>
      <c r="F837" s="31"/>
      <c r="G837" s="31"/>
      <c r="H837" s="31"/>
      <c r="I837" s="31"/>
      <c r="J837" s="31"/>
      <c r="K837" s="19"/>
      <c r="L837" s="19"/>
      <c r="M837" s="19"/>
      <c r="N837" s="31"/>
      <c r="O837" s="31"/>
      <c r="P837" s="19"/>
      <c r="Q837" s="19"/>
    </row>
    <row r="838" spans="1:17" ht="46.5" customHeight="1" x14ac:dyDescent="0.7">
      <c r="A838" s="19"/>
      <c r="B838" s="19"/>
      <c r="C838" s="19"/>
      <c r="D838" s="31"/>
      <c r="E838" s="31"/>
      <c r="F838" s="31"/>
      <c r="G838" s="31"/>
      <c r="H838" s="31"/>
      <c r="I838" s="31"/>
      <c r="J838" s="31"/>
      <c r="K838" s="19"/>
      <c r="L838" s="19"/>
      <c r="M838" s="19"/>
      <c r="N838" s="31"/>
      <c r="O838" s="31"/>
      <c r="P838" s="19"/>
      <c r="Q838" s="19"/>
    </row>
    <row r="839" spans="1:17" ht="46.5" customHeight="1" x14ac:dyDescent="0.7">
      <c r="A839" s="19"/>
      <c r="B839" s="19"/>
      <c r="C839" s="19"/>
      <c r="D839" s="31"/>
      <c r="E839" s="31"/>
      <c r="F839" s="31"/>
      <c r="G839" s="31"/>
      <c r="H839" s="31"/>
      <c r="I839" s="31"/>
      <c r="J839" s="31"/>
      <c r="K839" s="19"/>
      <c r="L839" s="19"/>
      <c r="M839" s="19"/>
      <c r="N839" s="31"/>
      <c r="O839" s="31"/>
      <c r="P839" s="19"/>
      <c r="Q839" s="19"/>
    </row>
    <row r="840" spans="1:17" ht="46.5" customHeight="1" x14ac:dyDescent="0.7">
      <c r="A840" s="19"/>
      <c r="B840" s="19"/>
      <c r="C840" s="19"/>
      <c r="D840" s="31"/>
      <c r="E840" s="31"/>
      <c r="F840" s="31"/>
      <c r="G840" s="31"/>
      <c r="H840" s="31"/>
      <c r="I840" s="31"/>
      <c r="J840" s="31"/>
      <c r="K840" s="19"/>
      <c r="L840" s="19"/>
      <c r="M840" s="19"/>
      <c r="N840" s="31"/>
      <c r="O840" s="31"/>
      <c r="P840" s="19"/>
      <c r="Q840" s="19"/>
    </row>
    <row r="841" spans="1:17" ht="46.5" customHeight="1" x14ac:dyDescent="0.7">
      <c r="A841" s="19"/>
      <c r="B841" s="19"/>
      <c r="C841" s="19"/>
      <c r="D841" s="31"/>
      <c r="E841" s="31"/>
      <c r="F841" s="31"/>
      <c r="G841" s="31"/>
      <c r="H841" s="31"/>
      <c r="I841" s="31"/>
      <c r="J841" s="31"/>
      <c r="K841" s="19"/>
      <c r="L841" s="19"/>
      <c r="M841" s="19"/>
      <c r="N841" s="31"/>
      <c r="O841" s="31"/>
      <c r="P841" s="19"/>
      <c r="Q841" s="19"/>
    </row>
    <row r="842" spans="1:17" ht="46.5" customHeight="1" x14ac:dyDescent="0.7">
      <c r="A842" s="19"/>
      <c r="B842" s="19"/>
      <c r="C842" s="19"/>
      <c r="D842" s="31"/>
      <c r="E842" s="31"/>
      <c r="F842" s="31"/>
      <c r="G842" s="31"/>
      <c r="H842" s="31"/>
      <c r="I842" s="31"/>
      <c r="J842" s="31"/>
      <c r="K842" s="19"/>
      <c r="L842" s="19"/>
      <c r="M842" s="19"/>
      <c r="N842" s="31"/>
      <c r="O842" s="31"/>
      <c r="P842" s="19"/>
      <c r="Q842" s="19"/>
    </row>
    <row r="843" spans="1:17" ht="46.5" customHeight="1" x14ac:dyDescent="0.7">
      <c r="A843" s="19"/>
      <c r="B843" s="19"/>
      <c r="C843" s="19"/>
      <c r="D843" s="31"/>
      <c r="E843" s="31"/>
      <c r="F843" s="31"/>
      <c r="G843" s="31"/>
      <c r="H843" s="31"/>
      <c r="I843" s="31"/>
      <c r="J843" s="31"/>
      <c r="K843" s="19"/>
      <c r="L843" s="19"/>
      <c r="M843" s="19"/>
      <c r="N843" s="31"/>
      <c r="O843" s="31"/>
      <c r="P843" s="19"/>
      <c r="Q843" s="19"/>
    </row>
    <row r="844" spans="1:17" ht="46.5" customHeight="1" x14ac:dyDescent="0.7">
      <c r="A844" s="19"/>
      <c r="B844" s="19"/>
      <c r="C844" s="19"/>
      <c r="D844" s="31"/>
      <c r="E844" s="31"/>
      <c r="F844" s="31"/>
      <c r="G844" s="31"/>
      <c r="H844" s="31"/>
      <c r="I844" s="31"/>
      <c r="J844" s="31"/>
      <c r="K844" s="19"/>
      <c r="L844" s="19"/>
      <c r="M844" s="19"/>
      <c r="N844" s="31"/>
      <c r="O844" s="31"/>
      <c r="P844" s="19"/>
      <c r="Q844" s="19"/>
    </row>
    <row r="845" spans="1:17" ht="46.5" customHeight="1" x14ac:dyDescent="0.7">
      <c r="A845" s="19"/>
      <c r="B845" s="19"/>
      <c r="C845" s="19"/>
      <c r="D845" s="31"/>
      <c r="E845" s="31"/>
      <c r="F845" s="31"/>
      <c r="G845" s="31"/>
      <c r="H845" s="31"/>
      <c r="I845" s="31"/>
      <c r="J845" s="31"/>
      <c r="K845" s="19"/>
      <c r="L845" s="19"/>
      <c r="M845" s="19"/>
      <c r="N845" s="31"/>
      <c r="O845" s="31"/>
      <c r="P845" s="19"/>
      <c r="Q845" s="19"/>
    </row>
    <row r="846" spans="1:17" ht="46.5" customHeight="1" x14ac:dyDescent="0.7">
      <c r="A846" s="19"/>
      <c r="B846" s="19"/>
      <c r="C846" s="19"/>
      <c r="D846" s="31"/>
      <c r="E846" s="31"/>
      <c r="F846" s="31"/>
      <c r="G846" s="31"/>
      <c r="H846" s="31"/>
      <c r="I846" s="31"/>
      <c r="J846" s="31"/>
      <c r="K846" s="19"/>
      <c r="L846" s="19"/>
      <c r="M846" s="19"/>
      <c r="N846" s="31"/>
      <c r="O846" s="31"/>
      <c r="P846" s="19"/>
      <c r="Q846" s="19"/>
    </row>
    <row r="847" spans="1:17" ht="46.5" customHeight="1" x14ac:dyDescent="0.7">
      <c r="A847" s="19"/>
      <c r="B847" s="19"/>
      <c r="C847" s="19"/>
      <c r="D847" s="31"/>
      <c r="E847" s="31"/>
      <c r="F847" s="31"/>
      <c r="G847" s="31"/>
      <c r="H847" s="31"/>
      <c r="I847" s="31"/>
      <c r="J847" s="31"/>
      <c r="K847" s="19"/>
      <c r="L847" s="19"/>
      <c r="M847" s="19"/>
      <c r="N847" s="31"/>
      <c r="O847" s="31"/>
      <c r="P847" s="19"/>
      <c r="Q847" s="19"/>
    </row>
    <row r="848" spans="1:17" ht="46.5" customHeight="1" x14ac:dyDescent="0.7">
      <c r="A848" s="19"/>
      <c r="B848" s="19"/>
      <c r="C848" s="19"/>
      <c r="D848" s="31"/>
      <c r="E848" s="31"/>
      <c r="F848" s="31"/>
      <c r="G848" s="31"/>
      <c r="H848" s="31"/>
      <c r="I848" s="31"/>
      <c r="J848" s="31"/>
      <c r="K848" s="19"/>
      <c r="L848" s="19"/>
      <c r="M848" s="19"/>
      <c r="N848" s="31"/>
      <c r="O848" s="31"/>
      <c r="P848" s="19"/>
      <c r="Q848" s="19"/>
    </row>
    <row r="849" spans="1:17" ht="46.5" customHeight="1" x14ac:dyDescent="0.7">
      <c r="A849" s="19"/>
      <c r="B849" s="19"/>
      <c r="C849" s="19"/>
      <c r="D849" s="31"/>
      <c r="E849" s="31"/>
      <c r="F849" s="31"/>
      <c r="G849" s="31"/>
      <c r="H849" s="31"/>
      <c r="I849" s="31"/>
      <c r="J849" s="31"/>
      <c r="K849" s="19"/>
      <c r="L849" s="19"/>
      <c r="M849" s="19"/>
      <c r="N849" s="31"/>
      <c r="O849" s="31"/>
      <c r="P849" s="19"/>
      <c r="Q849" s="19"/>
    </row>
    <row r="850" spans="1:17" ht="46.5" customHeight="1" x14ac:dyDescent="0.7">
      <c r="A850" s="19"/>
      <c r="B850" s="19"/>
      <c r="C850" s="19"/>
      <c r="D850" s="31"/>
      <c r="E850" s="31"/>
      <c r="F850" s="31"/>
      <c r="G850" s="31"/>
      <c r="H850" s="31"/>
      <c r="I850" s="31"/>
      <c r="J850" s="31"/>
      <c r="K850" s="19"/>
      <c r="L850" s="19"/>
      <c r="M850" s="19"/>
      <c r="N850" s="31"/>
      <c r="O850" s="31"/>
      <c r="P850" s="19"/>
      <c r="Q850" s="19"/>
    </row>
    <row r="851" spans="1:17" ht="46.5" customHeight="1" x14ac:dyDescent="0.7">
      <c r="A851" s="19"/>
      <c r="B851" s="19"/>
      <c r="C851" s="19"/>
      <c r="D851" s="31"/>
      <c r="E851" s="31"/>
      <c r="F851" s="31"/>
      <c r="G851" s="31"/>
      <c r="H851" s="31"/>
      <c r="I851" s="31"/>
      <c r="J851" s="31"/>
      <c r="K851" s="19"/>
      <c r="L851" s="19"/>
      <c r="M851" s="19"/>
      <c r="N851" s="31"/>
      <c r="O851" s="31"/>
      <c r="P851" s="19"/>
      <c r="Q851" s="19"/>
    </row>
    <row r="852" spans="1:17" ht="46.5" customHeight="1" x14ac:dyDescent="0.7">
      <c r="A852" s="19"/>
      <c r="B852" s="19"/>
      <c r="C852" s="19"/>
      <c r="D852" s="31"/>
      <c r="E852" s="31"/>
      <c r="F852" s="31"/>
      <c r="G852" s="31"/>
      <c r="H852" s="31"/>
      <c r="I852" s="31"/>
      <c r="J852" s="31"/>
      <c r="K852" s="19"/>
      <c r="L852" s="19"/>
      <c r="M852" s="19"/>
      <c r="N852" s="31"/>
      <c r="O852" s="31"/>
      <c r="P852" s="19"/>
      <c r="Q852" s="19"/>
    </row>
    <row r="853" spans="1:17" ht="46.5" customHeight="1" x14ac:dyDescent="0.7">
      <c r="A853" s="19"/>
      <c r="B853" s="19"/>
      <c r="C853" s="19"/>
      <c r="D853" s="31"/>
      <c r="E853" s="31"/>
      <c r="F853" s="31"/>
      <c r="G853" s="31"/>
      <c r="H853" s="31"/>
      <c r="I853" s="31"/>
      <c r="J853" s="31"/>
      <c r="K853" s="19"/>
      <c r="L853" s="19"/>
      <c r="M853" s="19"/>
      <c r="N853" s="31"/>
      <c r="O853" s="31"/>
      <c r="P853" s="19"/>
      <c r="Q853" s="19"/>
    </row>
    <row r="854" spans="1:17" ht="46.5" customHeight="1" x14ac:dyDescent="0.7">
      <c r="A854" s="19"/>
      <c r="B854" s="19"/>
      <c r="C854" s="19"/>
      <c r="D854" s="31"/>
      <c r="E854" s="31"/>
      <c r="F854" s="31"/>
      <c r="G854" s="31"/>
      <c r="H854" s="31"/>
      <c r="I854" s="31"/>
      <c r="J854" s="31"/>
      <c r="K854" s="19"/>
      <c r="L854" s="19"/>
      <c r="M854" s="19"/>
      <c r="N854" s="31"/>
      <c r="O854" s="31"/>
      <c r="P854" s="19"/>
      <c r="Q854" s="19"/>
    </row>
    <row r="855" spans="1:17" ht="46.5" customHeight="1" x14ac:dyDescent="0.7">
      <c r="A855" s="19"/>
      <c r="B855" s="19"/>
      <c r="C855" s="19"/>
      <c r="D855" s="31"/>
      <c r="E855" s="31"/>
      <c r="F855" s="31"/>
      <c r="G855" s="31"/>
      <c r="H855" s="31"/>
      <c r="I855" s="31"/>
      <c r="J855" s="31"/>
      <c r="K855" s="19"/>
      <c r="L855" s="19"/>
      <c r="M855" s="19"/>
      <c r="N855" s="31"/>
      <c r="O855" s="31"/>
      <c r="P855" s="19"/>
      <c r="Q855" s="19"/>
    </row>
    <row r="856" spans="1:17" ht="46.5" customHeight="1" x14ac:dyDescent="0.7">
      <c r="A856" s="19"/>
      <c r="B856" s="19"/>
      <c r="C856" s="19"/>
      <c r="D856" s="31"/>
      <c r="E856" s="31"/>
      <c r="F856" s="31"/>
      <c r="G856" s="31"/>
      <c r="H856" s="31"/>
      <c r="I856" s="31"/>
      <c r="J856" s="31"/>
      <c r="K856" s="19"/>
      <c r="L856" s="19"/>
      <c r="M856" s="19"/>
      <c r="N856" s="31"/>
      <c r="O856" s="31"/>
      <c r="P856" s="19"/>
      <c r="Q856" s="19"/>
    </row>
    <row r="857" spans="1:17" ht="46.5" customHeight="1" x14ac:dyDescent="0.7">
      <c r="A857" s="19"/>
      <c r="B857" s="19"/>
      <c r="C857" s="19"/>
      <c r="D857" s="31"/>
      <c r="E857" s="31"/>
      <c r="F857" s="31"/>
      <c r="G857" s="31"/>
      <c r="H857" s="31"/>
      <c r="I857" s="31"/>
      <c r="J857" s="31"/>
      <c r="K857" s="19"/>
      <c r="L857" s="19"/>
      <c r="M857" s="19"/>
      <c r="N857" s="31"/>
      <c r="O857" s="31"/>
      <c r="P857" s="19"/>
      <c r="Q857" s="19"/>
    </row>
    <row r="858" spans="1:17" ht="46.5" customHeight="1" x14ac:dyDescent="0.7">
      <c r="A858" s="19"/>
      <c r="B858" s="19"/>
      <c r="C858" s="19"/>
      <c r="D858" s="31"/>
      <c r="E858" s="31"/>
      <c r="F858" s="31"/>
      <c r="G858" s="31"/>
      <c r="H858" s="31"/>
      <c r="I858" s="31"/>
      <c r="J858" s="31"/>
      <c r="K858" s="19"/>
      <c r="L858" s="19"/>
      <c r="M858" s="19"/>
      <c r="N858" s="31"/>
      <c r="O858" s="31"/>
      <c r="P858" s="19"/>
      <c r="Q858" s="19"/>
    </row>
    <row r="859" spans="1:17" ht="46.5" customHeight="1" x14ac:dyDescent="0.7">
      <c r="A859" s="19"/>
      <c r="B859" s="19"/>
      <c r="C859" s="19"/>
      <c r="D859" s="31"/>
      <c r="E859" s="31"/>
      <c r="F859" s="31"/>
      <c r="G859" s="31"/>
      <c r="H859" s="31"/>
      <c r="I859" s="31"/>
      <c r="J859" s="31"/>
      <c r="K859" s="19"/>
      <c r="L859" s="19"/>
      <c r="M859" s="19"/>
      <c r="N859" s="31"/>
      <c r="O859" s="31"/>
      <c r="P859" s="19"/>
      <c r="Q859" s="19"/>
    </row>
    <row r="860" spans="1:17" ht="46.5" customHeight="1" x14ac:dyDescent="0.7">
      <c r="A860" s="19"/>
      <c r="B860" s="19"/>
      <c r="C860" s="19"/>
      <c r="D860" s="31"/>
      <c r="E860" s="31"/>
      <c r="F860" s="31"/>
      <c r="G860" s="31"/>
      <c r="H860" s="31"/>
      <c r="I860" s="31"/>
      <c r="J860" s="31"/>
      <c r="K860" s="19"/>
      <c r="L860" s="19"/>
      <c r="M860" s="19"/>
      <c r="N860" s="31"/>
      <c r="O860" s="31"/>
      <c r="P860" s="19"/>
      <c r="Q860" s="19"/>
    </row>
    <row r="861" spans="1:17" ht="46.5" customHeight="1" x14ac:dyDescent="0.7">
      <c r="A861" s="19"/>
      <c r="B861" s="19"/>
      <c r="C861" s="19"/>
      <c r="D861" s="31"/>
      <c r="E861" s="31"/>
      <c r="F861" s="31"/>
      <c r="G861" s="31"/>
      <c r="H861" s="31"/>
      <c r="I861" s="31"/>
      <c r="J861" s="31"/>
      <c r="K861" s="19"/>
      <c r="L861" s="19"/>
      <c r="M861" s="19"/>
      <c r="N861" s="31"/>
      <c r="O861" s="31"/>
      <c r="P861" s="19"/>
      <c r="Q861" s="19"/>
    </row>
    <row r="862" spans="1:17" ht="46.5" customHeight="1" x14ac:dyDescent="0.7">
      <c r="A862" s="19"/>
      <c r="B862" s="19"/>
      <c r="C862" s="19"/>
      <c r="D862" s="31"/>
      <c r="E862" s="31"/>
      <c r="F862" s="31"/>
      <c r="G862" s="31"/>
      <c r="H862" s="31"/>
      <c r="I862" s="31"/>
      <c r="J862" s="31"/>
      <c r="K862" s="19"/>
      <c r="L862" s="19"/>
      <c r="M862" s="19"/>
      <c r="N862" s="31"/>
      <c r="O862" s="31"/>
      <c r="P862" s="19"/>
      <c r="Q862" s="19"/>
    </row>
    <row r="863" spans="1:17" ht="46.5" customHeight="1" x14ac:dyDescent="0.7">
      <c r="A863" s="19"/>
      <c r="B863" s="19"/>
      <c r="C863" s="19"/>
      <c r="D863" s="31"/>
      <c r="E863" s="31"/>
      <c r="F863" s="31"/>
      <c r="G863" s="31"/>
      <c r="H863" s="31"/>
      <c r="I863" s="31"/>
      <c r="J863" s="31"/>
      <c r="K863" s="19"/>
      <c r="L863" s="19"/>
      <c r="M863" s="19"/>
      <c r="N863" s="31"/>
      <c r="O863" s="31"/>
      <c r="P863" s="19"/>
      <c r="Q863" s="19"/>
    </row>
    <row r="864" spans="1:17" ht="46.5" customHeight="1" x14ac:dyDescent="0.7">
      <c r="A864" s="19"/>
      <c r="B864" s="19"/>
      <c r="C864" s="19"/>
      <c r="D864" s="31"/>
      <c r="E864" s="31"/>
      <c r="F864" s="31"/>
      <c r="G864" s="31"/>
      <c r="H864" s="31"/>
      <c r="I864" s="31"/>
      <c r="J864" s="31"/>
      <c r="K864" s="19"/>
      <c r="L864" s="19"/>
      <c r="M864" s="19"/>
      <c r="N864" s="31"/>
      <c r="O864" s="31"/>
      <c r="P864" s="19"/>
      <c r="Q864" s="19"/>
    </row>
    <row r="865" spans="1:17" ht="46.5" customHeight="1" x14ac:dyDescent="0.7">
      <c r="A865" s="19"/>
      <c r="B865" s="19"/>
      <c r="C865" s="19"/>
      <c r="D865" s="31"/>
      <c r="E865" s="31"/>
      <c r="F865" s="31"/>
      <c r="G865" s="31"/>
      <c r="H865" s="31"/>
      <c r="I865" s="31"/>
      <c r="J865" s="31"/>
      <c r="K865" s="19"/>
      <c r="L865" s="19"/>
      <c r="M865" s="19"/>
      <c r="N865" s="31"/>
      <c r="O865" s="31"/>
      <c r="P865" s="19"/>
      <c r="Q865" s="19"/>
    </row>
    <row r="866" spans="1:17" ht="46.5" customHeight="1" x14ac:dyDescent="0.7">
      <c r="A866" s="19"/>
      <c r="B866" s="19"/>
      <c r="C866" s="19"/>
      <c r="D866" s="31"/>
      <c r="E866" s="31"/>
      <c r="F866" s="31"/>
      <c r="G866" s="31"/>
      <c r="H866" s="31"/>
      <c r="I866" s="31"/>
      <c r="J866" s="31"/>
      <c r="K866" s="19"/>
      <c r="L866" s="19"/>
      <c r="M866" s="19"/>
      <c r="N866" s="31"/>
      <c r="O866" s="31"/>
      <c r="P866" s="19"/>
      <c r="Q866" s="19"/>
    </row>
    <row r="867" spans="1:17" ht="46.5" customHeight="1" x14ac:dyDescent="0.7">
      <c r="A867" s="19"/>
      <c r="B867" s="19"/>
      <c r="C867" s="19"/>
      <c r="D867" s="31"/>
      <c r="E867" s="31"/>
      <c r="F867" s="31"/>
      <c r="G867" s="31"/>
      <c r="H867" s="31"/>
      <c r="I867" s="31"/>
      <c r="J867" s="31"/>
      <c r="K867" s="19"/>
      <c r="L867" s="19"/>
      <c r="M867" s="19"/>
      <c r="N867" s="31"/>
      <c r="O867" s="31"/>
      <c r="P867" s="19"/>
      <c r="Q867" s="19"/>
    </row>
    <row r="868" spans="1:17" ht="46.5" customHeight="1" x14ac:dyDescent="0.7">
      <c r="A868" s="19"/>
      <c r="B868" s="19"/>
      <c r="C868" s="19"/>
      <c r="D868" s="31"/>
      <c r="E868" s="31"/>
      <c r="F868" s="31"/>
      <c r="G868" s="31"/>
      <c r="H868" s="31"/>
      <c r="I868" s="31"/>
      <c r="J868" s="31"/>
      <c r="K868" s="19"/>
      <c r="L868" s="19"/>
      <c r="M868" s="19"/>
      <c r="N868" s="31"/>
      <c r="O868" s="31"/>
      <c r="P868" s="19"/>
      <c r="Q868" s="19"/>
    </row>
    <row r="869" spans="1:17" ht="46.5" customHeight="1" x14ac:dyDescent="0.7">
      <c r="A869" s="19"/>
      <c r="B869" s="19"/>
      <c r="C869" s="19"/>
      <c r="D869" s="31"/>
      <c r="E869" s="31"/>
      <c r="F869" s="31"/>
      <c r="G869" s="31"/>
      <c r="H869" s="31"/>
      <c r="I869" s="31"/>
      <c r="J869" s="31"/>
      <c r="K869" s="19"/>
      <c r="L869" s="19"/>
      <c r="M869" s="19"/>
      <c r="N869" s="31"/>
      <c r="O869" s="31"/>
      <c r="P869" s="19"/>
      <c r="Q869" s="19"/>
    </row>
    <row r="870" spans="1:17" ht="46.5" customHeight="1" x14ac:dyDescent="0.7">
      <c r="A870" s="19"/>
      <c r="B870" s="19"/>
      <c r="C870" s="19"/>
      <c r="D870" s="31"/>
      <c r="E870" s="31"/>
      <c r="F870" s="31"/>
      <c r="G870" s="31"/>
      <c r="H870" s="31"/>
      <c r="I870" s="31"/>
      <c r="J870" s="31"/>
      <c r="K870" s="19"/>
      <c r="L870" s="19"/>
      <c r="M870" s="19"/>
      <c r="N870" s="31"/>
      <c r="O870" s="31"/>
      <c r="P870" s="19"/>
      <c r="Q870" s="19"/>
    </row>
    <row r="871" spans="1:17" ht="46.5" customHeight="1" x14ac:dyDescent="0.7">
      <c r="A871" s="19"/>
      <c r="B871" s="19"/>
      <c r="C871" s="19"/>
      <c r="D871" s="31"/>
      <c r="E871" s="31"/>
      <c r="F871" s="31"/>
      <c r="G871" s="31"/>
      <c r="H871" s="31"/>
      <c r="I871" s="31"/>
      <c r="J871" s="31"/>
      <c r="K871" s="19"/>
      <c r="L871" s="19"/>
      <c r="M871" s="19"/>
      <c r="N871" s="31"/>
      <c r="O871" s="31"/>
      <c r="P871" s="19"/>
      <c r="Q871" s="19"/>
    </row>
    <row r="872" spans="1:17" ht="46.5" customHeight="1" x14ac:dyDescent="0.7">
      <c r="A872" s="19"/>
      <c r="B872" s="19"/>
      <c r="C872" s="19"/>
      <c r="D872" s="31"/>
      <c r="E872" s="31"/>
      <c r="F872" s="31"/>
      <c r="G872" s="31"/>
      <c r="H872" s="31"/>
      <c r="I872" s="31"/>
      <c r="J872" s="31"/>
      <c r="K872" s="19"/>
      <c r="L872" s="19"/>
      <c r="M872" s="19"/>
      <c r="N872" s="31"/>
      <c r="O872" s="31"/>
      <c r="P872" s="19"/>
      <c r="Q872" s="19"/>
    </row>
    <row r="873" spans="1:17" ht="46.5" customHeight="1" x14ac:dyDescent="0.7">
      <c r="A873" s="19"/>
      <c r="B873" s="19"/>
      <c r="C873" s="19"/>
      <c r="D873" s="31"/>
      <c r="E873" s="31"/>
      <c r="F873" s="31"/>
      <c r="G873" s="31"/>
      <c r="H873" s="31"/>
      <c r="I873" s="31"/>
      <c r="J873" s="31"/>
      <c r="K873" s="19"/>
      <c r="L873" s="19"/>
      <c r="M873" s="19"/>
      <c r="N873" s="31"/>
      <c r="O873" s="31"/>
      <c r="P873" s="19"/>
      <c r="Q873" s="19"/>
    </row>
    <row r="874" spans="1:17" ht="46.5" customHeight="1" x14ac:dyDescent="0.7">
      <c r="A874" s="19"/>
      <c r="B874" s="19"/>
      <c r="C874" s="19"/>
      <c r="D874" s="31"/>
      <c r="E874" s="31"/>
      <c r="F874" s="31"/>
      <c r="G874" s="31"/>
      <c r="H874" s="31"/>
      <c r="I874" s="31"/>
      <c r="J874" s="31"/>
      <c r="K874" s="19"/>
      <c r="L874" s="19"/>
      <c r="M874" s="19"/>
      <c r="N874" s="31"/>
      <c r="O874" s="31"/>
      <c r="P874" s="19"/>
      <c r="Q874" s="19"/>
    </row>
    <row r="875" spans="1:17" ht="46.5" customHeight="1" x14ac:dyDescent="0.7">
      <c r="A875" s="19"/>
      <c r="B875" s="19"/>
      <c r="C875" s="19"/>
      <c r="D875" s="31"/>
      <c r="E875" s="31"/>
      <c r="F875" s="31"/>
      <c r="G875" s="31"/>
      <c r="H875" s="31"/>
      <c r="I875" s="31"/>
      <c r="J875" s="31"/>
      <c r="K875" s="19"/>
      <c r="L875" s="19"/>
      <c r="M875" s="19"/>
      <c r="N875" s="31"/>
      <c r="O875" s="31"/>
      <c r="P875" s="19"/>
      <c r="Q875" s="19"/>
    </row>
    <row r="876" spans="1:17" ht="46.5" customHeight="1" x14ac:dyDescent="0.7">
      <c r="A876" s="19"/>
      <c r="B876" s="19"/>
      <c r="C876" s="19"/>
      <c r="D876" s="31"/>
      <c r="E876" s="31"/>
      <c r="F876" s="31"/>
      <c r="G876" s="31"/>
      <c r="H876" s="31"/>
      <c r="I876" s="31"/>
      <c r="J876" s="31"/>
      <c r="K876" s="19"/>
      <c r="L876" s="19"/>
      <c r="M876" s="19"/>
      <c r="N876" s="31"/>
      <c r="O876" s="31"/>
      <c r="P876" s="19"/>
      <c r="Q876" s="19"/>
    </row>
    <row r="877" spans="1:17" ht="46.5" customHeight="1" x14ac:dyDescent="0.7">
      <c r="A877" s="19"/>
      <c r="B877" s="19"/>
      <c r="C877" s="19"/>
      <c r="D877" s="31"/>
      <c r="E877" s="31"/>
      <c r="F877" s="31"/>
      <c r="G877" s="31"/>
      <c r="H877" s="31"/>
      <c r="I877" s="31"/>
      <c r="J877" s="31"/>
      <c r="K877" s="19"/>
      <c r="L877" s="19"/>
      <c r="M877" s="19"/>
      <c r="N877" s="31"/>
      <c r="O877" s="31"/>
      <c r="P877" s="19"/>
      <c r="Q877" s="19"/>
    </row>
    <row r="878" spans="1:17" ht="46.5" customHeight="1" x14ac:dyDescent="0.7">
      <c r="A878" s="19"/>
      <c r="B878" s="19"/>
      <c r="C878" s="19"/>
      <c r="D878" s="31"/>
      <c r="E878" s="31"/>
      <c r="F878" s="31"/>
      <c r="G878" s="31"/>
      <c r="H878" s="31"/>
      <c r="I878" s="31"/>
      <c r="J878" s="31"/>
      <c r="K878" s="19"/>
      <c r="L878" s="19"/>
      <c r="M878" s="19"/>
      <c r="N878" s="31"/>
      <c r="O878" s="31"/>
      <c r="P878" s="19"/>
      <c r="Q878" s="19"/>
    </row>
    <row r="879" spans="1:17" ht="46.5" customHeight="1" x14ac:dyDescent="0.7">
      <c r="A879" s="19"/>
      <c r="B879" s="19"/>
      <c r="C879" s="19"/>
      <c r="D879" s="31"/>
      <c r="E879" s="31"/>
      <c r="F879" s="31"/>
      <c r="G879" s="31"/>
      <c r="H879" s="31"/>
      <c r="I879" s="31"/>
      <c r="J879" s="31"/>
      <c r="K879" s="19"/>
      <c r="L879" s="19"/>
      <c r="M879" s="19"/>
      <c r="N879" s="31"/>
      <c r="O879" s="31"/>
      <c r="P879" s="19"/>
      <c r="Q879" s="19"/>
    </row>
    <row r="880" spans="1:17" ht="46.5" customHeight="1" x14ac:dyDescent="0.7">
      <c r="A880" s="19"/>
      <c r="B880" s="19"/>
      <c r="C880" s="19"/>
      <c r="D880" s="31"/>
      <c r="E880" s="31"/>
      <c r="F880" s="31"/>
      <c r="G880" s="31"/>
      <c r="H880" s="31"/>
      <c r="I880" s="31"/>
      <c r="J880" s="31"/>
      <c r="K880" s="19"/>
      <c r="L880" s="19"/>
      <c r="M880" s="19"/>
      <c r="N880" s="31"/>
      <c r="O880" s="31"/>
      <c r="P880" s="19"/>
      <c r="Q880" s="19"/>
    </row>
    <row r="881" spans="1:17" ht="46.5" customHeight="1" x14ac:dyDescent="0.7">
      <c r="A881" s="19"/>
      <c r="B881" s="19"/>
      <c r="C881" s="19"/>
      <c r="D881" s="31"/>
      <c r="E881" s="31"/>
      <c r="F881" s="31"/>
      <c r="G881" s="31"/>
      <c r="H881" s="31"/>
      <c r="I881" s="31"/>
      <c r="J881" s="31"/>
      <c r="K881" s="19"/>
      <c r="L881" s="19"/>
      <c r="M881" s="19"/>
      <c r="N881" s="31"/>
      <c r="O881" s="31"/>
      <c r="P881" s="19"/>
      <c r="Q881" s="19"/>
    </row>
    <row r="882" spans="1:17" ht="46.5" customHeight="1" x14ac:dyDescent="0.7">
      <c r="A882" s="19"/>
      <c r="B882" s="19"/>
      <c r="C882" s="19"/>
      <c r="D882" s="31"/>
      <c r="E882" s="31"/>
      <c r="F882" s="31"/>
      <c r="G882" s="31"/>
      <c r="H882" s="31"/>
      <c r="I882" s="31"/>
      <c r="J882" s="31"/>
      <c r="K882" s="19"/>
      <c r="L882" s="19"/>
      <c r="M882" s="19"/>
      <c r="N882" s="31"/>
      <c r="O882" s="31"/>
      <c r="P882" s="19"/>
      <c r="Q882" s="19"/>
    </row>
    <row r="883" spans="1:17" ht="46.5" customHeight="1" x14ac:dyDescent="0.7">
      <c r="A883" s="19"/>
      <c r="B883" s="19"/>
      <c r="C883" s="19"/>
      <c r="D883" s="31"/>
      <c r="E883" s="31"/>
      <c r="F883" s="31"/>
      <c r="G883" s="31"/>
      <c r="H883" s="31"/>
      <c r="I883" s="31"/>
      <c r="J883" s="31"/>
      <c r="K883" s="19"/>
      <c r="L883" s="19"/>
      <c r="M883" s="19"/>
      <c r="N883" s="31"/>
      <c r="O883" s="31"/>
      <c r="P883" s="19"/>
      <c r="Q883" s="19"/>
    </row>
    <row r="884" spans="1:17" ht="46.5" customHeight="1" x14ac:dyDescent="0.7">
      <c r="A884" s="19"/>
      <c r="B884" s="19"/>
      <c r="C884" s="19"/>
      <c r="D884" s="31"/>
      <c r="E884" s="31"/>
      <c r="F884" s="31"/>
      <c r="G884" s="31"/>
      <c r="H884" s="31"/>
      <c r="I884" s="31"/>
      <c r="J884" s="31"/>
      <c r="K884" s="19"/>
      <c r="L884" s="19"/>
      <c r="M884" s="19"/>
      <c r="N884" s="31"/>
      <c r="O884" s="31"/>
      <c r="P884" s="19"/>
      <c r="Q884" s="19"/>
    </row>
    <row r="885" spans="1:17" ht="46.5" customHeight="1" x14ac:dyDescent="0.7">
      <c r="A885" s="19"/>
      <c r="B885" s="19"/>
      <c r="C885" s="19"/>
      <c r="D885" s="31"/>
      <c r="E885" s="31"/>
      <c r="F885" s="31"/>
      <c r="G885" s="31"/>
      <c r="H885" s="31"/>
      <c r="I885" s="31"/>
      <c r="J885" s="31"/>
      <c r="K885" s="19"/>
      <c r="L885" s="19"/>
      <c r="M885" s="19"/>
      <c r="N885" s="31"/>
      <c r="O885" s="31"/>
      <c r="P885" s="19"/>
      <c r="Q885" s="19"/>
    </row>
    <row r="886" spans="1:17" ht="46.5" customHeight="1" x14ac:dyDescent="0.7">
      <c r="A886" s="19"/>
      <c r="B886" s="19"/>
      <c r="C886" s="19"/>
      <c r="D886" s="31"/>
      <c r="E886" s="31"/>
      <c r="F886" s="31"/>
      <c r="G886" s="31"/>
      <c r="H886" s="31"/>
      <c r="I886" s="31"/>
      <c r="J886" s="31"/>
      <c r="K886" s="19"/>
      <c r="L886" s="19"/>
      <c r="M886" s="19"/>
      <c r="N886" s="31"/>
      <c r="O886" s="31"/>
      <c r="P886" s="19"/>
      <c r="Q886" s="19"/>
    </row>
    <row r="887" spans="1:17" ht="46.5" customHeight="1" x14ac:dyDescent="0.7">
      <c r="A887" s="19"/>
      <c r="B887" s="19"/>
      <c r="C887" s="19"/>
      <c r="D887" s="31"/>
      <c r="E887" s="31"/>
      <c r="F887" s="31"/>
      <c r="G887" s="31"/>
      <c r="H887" s="31"/>
      <c r="I887" s="31"/>
      <c r="J887" s="31"/>
      <c r="K887" s="19"/>
      <c r="L887" s="19"/>
      <c r="M887" s="19"/>
      <c r="N887" s="31"/>
      <c r="O887" s="31"/>
      <c r="P887" s="19"/>
      <c r="Q887" s="19"/>
    </row>
    <row r="888" spans="1:17" ht="46.5" customHeight="1" x14ac:dyDescent="0.7">
      <c r="A888" s="19"/>
      <c r="B888" s="19"/>
      <c r="C888" s="19"/>
      <c r="D888" s="31"/>
      <c r="E888" s="31"/>
      <c r="F888" s="31"/>
      <c r="G888" s="31"/>
      <c r="H888" s="31"/>
      <c r="I888" s="31"/>
      <c r="J888" s="31"/>
      <c r="K888" s="19"/>
      <c r="L888" s="19"/>
      <c r="M888" s="19"/>
      <c r="N888" s="31"/>
      <c r="O888" s="31"/>
      <c r="P888" s="19"/>
      <c r="Q888" s="19"/>
    </row>
    <row r="889" spans="1:17" ht="46.5" customHeight="1" x14ac:dyDescent="0.7">
      <c r="A889" s="19"/>
      <c r="B889" s="19"/>
      <c r="C889" s="19"/>
      <c r="D889" s="31"/>
      <c r="E889" s="31"/>
      <c r="F889" s="31"/>
      <c r="G889" s="31"/>
      <c r="H889" s="31"/>
      <c r="I889" s="31"/>
      <c r="J889" s="31"/>
      <c r="K889" s="19"/>
      <c r="L889" s="19"/>
      <c r="M889" s="19"/>
      <c r="N889" s="31"/>
      <c r="O889" s="31"/>
      <c r="P889" s="19"/>
      <c r="Q889" s="19"/>
    </row>
    <row r="890" spans="1:17" ht="46.5" customHeight="1" x14ac:dyDescent="0.7">
      <c r="A890" s="19"/>
      <c r="B890" s="19"/>
      <c r="C890" s="19"/>
      <c r="D890" s="31"/>
      <c r="E890" s="31"/>
      <c r="F890" s="31"/>
      <c r="G890" s="31"/>
      <c r="H890" s="31"/>
      <c r="I890" s="31"/>
      <c r="J890" s="31"/>
      <c r="K890" s="19"/>
      <c r="L890" s="19"/>
      <c r="M890" s="19"/>
      <c r="N890" s="31"/>
      <c r="O890" s="31"/>
      <c r="P890" s="19"/>
      <c r="Q890" s="19"/>
    </row>
    <row r="891" spans="1:17" ht="46.5" customHeight="1" x14ac:dyDescent="0.7">
      <c r="A891" s="19"/>
      <c r="B891" s="19"/>
      <c r="C891" s="19"/>
      <c r="D891" s="31"/>
      <c r="E891" s="31"/>
      <c r="F891" s="31"/>
      <c r="G891" s="31"/>
      <c r="H891" s="31"/>
      <c r="I891" s="31"/>
      <c r="J891" s="31"/>
      <c r="K891" s="19"/>
      <c r="L891" s="19"/>
      <c r="M891" s="19"/>
      <c r="N891" s="31"/>
      <c r="O891" s="31"/>
      <c r="P891" s="19"/>
      <c r="Q891" s="19"/>
    </row>
    <row r="892" spans="1:17" ht="46.5" customHeight="1" x14ac:dyDescent="0.7">
      <c r="A892" s="19"/>
      <c r="B892" s="19"/>
      <c r="C892" s="19"/>
      <c r="D892" s="31"/>
      <c r="E892" s="31"/>
      <c r="F892" s="31"/>
      <c r="G892" s="31"/>
      <c r="H892" s="31"/>
      <c r="I892" s="31"/>
      <c r="J892" s="31"/>
      <c r="K892" s="19"/>
      <c r="L892" s="19"/>
      <c r="M892" s="19"/>
      <c r="N892" s="31"/>
      <c r="O892" s="31"/>
      <c r="P892" s="19"/>
      <c r="Q892" s="19"/>
    </row>
    <row r="893" spans="1:17" ht="46.5" customHeight="1" x14ac:dyDescent="0.7">
      <c r="A893" s="19"/>
      <c r="B893" s="19"/>
      <c r="C893" s="19"/>
      <c r="D893" s="31"/>
      <c r="E893" s="31"/>
      <c r="F893" s="31"/>
      <c r="G893" s="31"/>
      <c r="H893" s="31"/>
      <c r="I893" s="31"/>
      <c r="J893" s="31"/>
      <c r="K893" s="19"/>
      <c r="L893" s="19"/>
      <c r="M893" s="19"/>
      <c r="N893" s="31"/>
      <c r="O893" s="31"/>
      <c r="P893" s="19"/>
      <c r="Q893" s="19"/>
    </row>
    <row r="894" spans="1:17" ht="46.5" customHeight="1" x14ac:dyDescent="0.7">
      <c r="A894" s="19"/>
      <c r="B894" s="19"/>
      <c r="C894" s="19"/>
      <c r="D894" s="31"/>
      <c r="E894" s="31"/>
      <c r="F894" s="31"/>
      <c r="G894" s="31"/>
      <c r="H894" s="31"/>
      <c r="I894" s="31"/>
      <c r="J894" s="31"/>
      <c r="K894" s="19"/>
      <c r="L894" s="19"/>
      <c r="M894" s="19"/>
      <c r="N894" s="31"/>
      <c r="O894" s="31"/>
      <c r="P894" s="19"/>
      <c r="Q894" s="19"/>
    </row>
    <row r="895" spans="1:17" ht="46.5" customHeight="1" x14ac:dyDescent="0.7">
      <c r="A895" s="19"/>
      <c r="B895" s="19"/>
      <c r="C895" s="19"/>
      <c r="D895" s="31"/>
      <c r="E895" s="31"/>
      <c r="F895" s="31"/>
      <c r="G895" s="31"/>
      <c r="H895" s="31"/>
      <c r="I895" s="31"/>
      <c r="J895" s="31"/>
      <c r="K895" s="19"/>
      <c r="L895" s="19"/>
      <c r="M895" s="19"/>
      <c r="N895" s="31"/>
      <c r="O895" s="31"/>
      <c r="P895" s="19"/>
      <c r="Q895" s="19"/>
    </row>
    <row r="896" spans="1:17" ht="46.5" customHeight="1" x14ac:dyDescent="0.7">
      <c r="A896" s="19"/>
      <c r="B896" s="19"/>
      <c r="C896" s="19"/>
      <c r="D896" s="31"/>
      <c r="E896" s="31"/>
      <c r="F896" s="31"/>
      <c r="G896" s="31"/>
      <c r="H896" s="31"/>
      <c r="I896" s="31"/>
      <c r="J896" s="31"/>
      <c r="K896" s="19"/>
      <c r="L896" s="19"/>
      <c r="M896" s="19"/>
      <c r="N896" s="31"/>
      <c r="O896" s="31"/>
      <c r="P896" s="19"/>
      <c r="Q896" s="19"/>
    </row>
    <row r="897" spans="1:17" ht="46.5" customHeight="1" x14ac:dyDescent="0.7">
      <c r="A897" s="19"/>
      <c r="B897" s="19"/>
      <c r="C897" s="19"/>
      <c r="D897" s="31"/>
      <c r="E897" s="31"/>
      <c r="F897" s="31"/>
      <c r="G897" s="31"/>
      <c r="H897" s="31"/>
      <c r="I897" s="31"/>
      <c r="J897" s="31"/>
      <c r="K897" s="19"/>
      <c r="L897" s="19"/>
      <c r="M897" s="19"/>
      <c r="N897" s="31"/>
      <c r="O897" s="31"/>
      <c r="P897" s="19"/>
      <c r="Q897" s="19"/>
    </row>
    <row r="898" spans="1:17" ht="46.5" customHeight="1" x14ac:dyDescent="0.7">
      <c r="A898" s="19"/>
      <c r="B898" s="19"/>
      <c r="C898" s="19"/>
      <c r="D898" s="31"/>
      <c r="E898" s="31"/>
      <c r="F898" s="31"/>
      <c r="G898" s="31"/>
      <c r="H898" s="31"/>
      <c r="I898" s="31"/>
      <c r="J898" s="31"/>
      <c r="K898" s="19"/>
      <c r="L898" s="19"/>
      <c r="M898" s="19"/>
      <c r="N898" s="31"/>
      <c r="O898" s="31"/>
      <c r="P898" s="19"/>
      <c r="Q898" s="19"/>
    </row>
    <row r="899" spans="1:17" ht="46.5" customHeight="1" x14ac:dyDescent="0.7">
      <c r="A899" s="19"/>
      <c r="B899" s="19"/>
      <c r="C899" s="19"/>
      <c r="D899" s="31"/>
      <c r="E899" s="31"/>
      <c r="F899" s="31"/>
      <c r="G899" s="31"/>
      <c r="H899" s="31"/>
      <c r="I899" s="31"/>
      <c r="J899" s="31"/>
      <c r="K899" s="19"/>
      <c r="L899" s="19"/>
      <c r="M899" s="19"/>
      <c r="N899" s="31"/>
      <c r="O899" s="31"/>
      <c r="P899" s="19"/>
      <c r="Q899" s="19"/>
    </row>
    <row r="900" spans="1:17" ht="46.5" customHeight="1" x14ac:dyDescent="0.7">
      <c r="A900" s="19"/>
      <c r="B900" s="19"/>
      <c r="C900" s="19"/>
      <c r="D900" s="31"/>
      <c r="E900" s="31"/>
      <c r="F900" s="31"/>
      <c r="G900" s="31"/>
      <c r="H900" s="31"/>
      <c r="I900" s="31"/>
      <c r="J900" s="31"/>
      <c r="K900" s="19"/>
      <c r="L900" s="19"/>
      <c r="M900" s="19"/>
      <c r="N900" s="31"/>
      <c r="O900" s="31"/>
      <c r="P900" s="19"/>
      <c r="Q900" s="19"/>
    </row>
    <row r="901" spans="1:17" ht="46.5" customHeight="1" x14ac:dyDescent="0.7">
      <c r="A901" s="19"/>
      <c r="B901" s="19"/>
      <c r="C901" s="19"/>
      <c r="D901" s="31"/>
      <c r="E901" s="31"/>
      <c r="F901" s="31"/>
      <c r="G901" s="31"/>
      <c r="H901" s="31"/>
      <c r="I901" s="31"/>
      <c r="J901" s="31"/>
      <c r="K901" s="19"/>
      <c r="L901" s="19"/>
      <c r="M901" s="19"/>
      <c r="N901" s="31"/>
      <c r="O901" s="31"/>
      <c r="P901" s="19"/>
      <c r="Q901" s="19"/>
    </row>
    <row r="902" spans="1:17" ht="46.5" customHeight="1" x14ac:dyDescent="0.7">
      <c r="A902" s="19"/>
      <c r="B902" s="19"/>
      <c r="C902" s="19"/>
      <c r="D902" s="31"/>
      <c r="E902" s="31"/>
      <c r="F902" s="31"/>
      <c r="G902" s="31"/>
      <c r="H902" s="31"/>
      <c r="I902" s="31"/>
      <c r="J902" s="31"/>
      <c r="K902" s="19"/>
      <c r="L902" s="19"/>
      <c r="M902" s="19"/>
      <c r="N902" s="31"/>
      <c r="O902" s="31"/>
      <c r="P902" s="19"/>
      <c r="Q902" s="19"/>
    </row>
    <row r="903" spans="1:17" ht="46.5" customHeight="1" x14ac:dyDescent="0.7">
      <c r="A903" s="19"/>
      <c r="B903" s="19"/>
      <c r="C903" s="19"/>
      <c r="D903" s="31"/>
      <c r="E903" s="31"/>
      <c r="F903" s="31"/>
      <c r="G903" s="31"/>
      <c r="H903" s="31"/>
      <c r="I903" s="31"/>
      <c r="J903" s="31"/>
      <c r="K903" s="19"/>
      <c r="L903" s="19"/>
      <c r="M903" s="19"/>
      <c r="N903" s="31"/>
      <c r="O903" s="31"/>
      <c r="P903" s="19"/>
      <c r="Q903" s="19"/>
    </row>
    <row r="904" spans="1:17" ht="46.5" customHeight="1" x14ac:dyDescent="0.7">
      <c r="A904" s="19"/>
      <c r="B904" s="19"/>
      <c r="C904" s="19"/>
      <c r="D904" s="31"/>
      <c r="E904" s="31"/>
      <c r="F904" s="31"/>
      <c r="G904" s="31"/>
      <c r="H904" s="31"/>
      <c r="I904" s="31"/>
      <c r="J904" s="31"/>
      <c r="K904" s="19"/>
      <c r="L904" s="19"/>
      <c r="M904" s="19"/>
      <c r="N904" s="31"/>
      <c r="O904" s="31"/>
      <c r="P904" s="19"/>
      <c r="Q904" s="19"/>
    </row>
    <row r="905" spans="1:17" ht="46.5" customHeight="1" x14ac:dyDescent="0.7">
      <c r="A905" s="19"/>
      <c r="B905" s="19"/>
      <c r="C905" s="19"/>
      <c r="D905" s="31"/>
      <c r="E905" s="31"/>
      <c r="F905" s="31"/>
      <c r="G905" s="31"/>
      <c r="H905" s="31"/>
      <c r="I905" s="31"/>
      <c r="J905" s="31"/>
      <c r="K905" s="19"/>
      <c r="L905" s="19"/>
      <c r="M905" s="19"/>
      <c r="N905" s="31"/>
      <c r="O905" s="31"/>
      <c r="P905" s="19"/>
      <c r="Q905" s="19"/>
    </row>
    <row r="906" spans="1:17" ht="46.5" customHeight="1" x14ac:dyDescent="0.7">
      <c r="A906" s="19"/>
      <c r="B906" s="19"/>
      <c r="C906" s="19"/>
      <c r="D906" s="31"/>
      <c r="E906" s="31"/>
      <c r="F906" s="31"/>
      <c r="G906" s="31"/>
      <c r="H906" s="31"/>
      <c r="I906" s="31"/>
      <c r="J906" s="31"/>
      <c r="K906" s="19"/>
      <c r="L906" s="19"/>
      <c r="M906" s="19"/>
      <c r="N906" s="31"/>
      <c r="O906" s="31"/>
      <c r="P906" s="19"/>
      <c r="Q906" s="19"/>
    </row>
    <row r="907" spans="1:17" ht="46.5" customHeight="1" x14ac:dyDescent="0.7">
      <c r="A907" s="19"/>
      <c r="B907" s="19"/>
      <c r="C907" s="19"/>
      <c r="D907" s="31"/>
      <c r="E907" s="31"/>
      <c r="F907" s="31"/>
      <c r="G907" s="31"/>
      <c r="H907" s="31"/>
      <c r="I907" s="31"/>
      <c r="J907" s="31"/>
      <c r="K907" s="19"/>
      <c r="L907" s="19"/>
      <c r="M907" s="19"/>
      <c r="N907" s="31"/>
      <c r="O907" s="31"/>
      <c r="P907" s="19"/>
      <c r="Q907" s="19"/>
    </row>
    <row r="908" spans="1:17" ht="46.5" customHeight="1" x14ac:dyDescent="0.7">
      <c r="A908" s="19"/>
      <c r="B908" s="19"/>
      <c r="C908" s="19"/>
      <c r="D908" s="31"/>
      <c r="E908" s="31"/>
      <c r="F908" s="31"/>
      <c r="G908" s="31"/>
      <c r="H908" s="31"/>
      <c r="I908" s="31"/>
      <c r="J908" s="31"/>
      <c r="K908" s="19"/>
      <c r="L908" s="19"/>
      <c r="M908" s="19"/>
      <c r="N908" s="31"/>
      <c r="O908" s="31"/>
      <c r="P908" s="19"/>
      <c r="Q908" s="19"/>
    </row>
    <row r="909" spans="1:17" ht="46.5" customHeight="1" x14ac:dyDescent="0.7">
      <c r="A909" s="19"/>
      <c r="B909" s="19"/>
      <c r="C909" s="19"/>
      <c r="D909" s="31"/>
      <c r="E909" s="31"/>
      <c r="F909" s="31"/>
      <c r="G909" s="31"/>
      <c r="H909" s="31"/>
      <c r="I909" s="31"/>
      <c r="J909" s="31"/>
      <c r="K909" s="19"/>
      <c r="L909" s="19"/>
      <c r="M909" s="19"/>
      <c r="N909" s="31"/>
      <c r="O909" s="31"/>
      <c r="P909" s="19"/>
      <c r="Q909" s="19"/>
    </row>
    <row r="910" spans="1:17" ht="46.5" customHeight="1" x14ac:dyDescent="0.7">
      <c r="A910" s="19"/>
      <c r="B910" s="19"/>
      <c r="C910" s="19"/>
      <c r="D910" s="31"/>
      <c r="E910" s="31"/>
      <c r="F910" s="31"/>
      <c r="G910" s="31"/>
      <c r="H910" s="31"/>
      <c r="I910" s="31"/>
      <c r="J910" s="31"/>
      <c r="K910" s="19"/>
      <c r="L910" s="19"/>
      <c r="M910" s="19"/>
      <c r="N910" s="31"/>
      <c r="O910" s="31"/>
      <c r="P910" s="19"/>
      <c r="Q910" s="19"/>
    </row>
    <row r="911" spans="1:17" ht="46.5" customHeight="1" x14ac:dyDescent="0.7">
      <c r="A911" s="19"/>
      <c r="B911" s="19"/>
      <c r="C911" s="19"/>
      <c r="D911" s="31"/>
      <c r="E911" s="31"/>
      <c r="F911" s="31"/>
      <c r="G911" s="31"/>
      <c r="H911" s="31"/>
      <c r="I911" s="31"/>
      <c r="J911" s="31"/>
      <c r="K911" s="19"/>
      <c r="L911" s="19"/>
      <c r="M911" s="19"/>
      <c r="N911" s="31"/>
      <c r="O911" s="31"/>
      <c r="P911" s="19"/>
      <c r="Q911" s="19"/>
    </row>
    <row r="912" spans="1:17" ht="46.5" customHeight="1" x14ac:dyDescent="0.7">
      <c r="A912" s="19"/>
      <c r="B912" s="19"/>
      <c r="C912" s="19"/>
      <c r="D912" s="31"/>
      <c r="E912" s="31"/>
      <c r="F912" s="31"/>
      <c r="G912" s="31"/>
      <c r="H912" s="31"/>
      <c r="I912" s="31"/>
      <c r="J912" s="31"/>
      <c r="K912" s="19"/>
      <c r="L912" s="19"/>
      <c r="M912" s="19"/>
      <c r="N912" s="31"/>
      <c r="O912" s="31"/>
      <c r="P912" s="19"/>
      <c r="Q912" s="19"/>
    </row>
    <row r="913" spans="1:17" ht="46.5" customHeight="1" x14ac:dyDescent="0.7">
      <c r="A913" s="19"/>
      <c r="B913" s="19"/>
      <c r="C913" s="19"/>
      <c r="D913" s="31"/>
      <c r="E913" s="31"/>
      <c r="F913" s="31"/>
      <c r="G913" s="31"/>
      <c r="H913" s="31"/>
      <c r="I913" s="31"/>
      <c r="J913" s="31"/>
      <c r="K913" s="19"/>
      <c r="L913" s="19"/>
      <c r="M913" s="19"/>
      <c r="N913" s="31"/>
      <c r="O913" s="31"/>
      <c r="P913" s="19"/>
      <c r="Q913" s="19"/>
    </row>
    <row r="914" spans="1:17" ht="46.5" customHeight="1" x14ac:dyDescent="0.7">
      <c r="A914" s="19"/>
      <c r="B914" s="19"/>
      <c r="C914" s="19"/>
      <c r="D914" s="31"/>
      <c r="E914" s="31"/>
      <c r="F914" s="31"/>
      <c r="G914" s="31"/>
      <c r="H914" s="31"/>
      <c r="I914" s="31"/>
      <c r="J914" s="31"/>
      <c r="K914" s="19"/>
      <c r="L914" s="19"/>
      <c r="M914" s="19"/>
      <c r="N914" s="31"/>
      <c r="O914" s="31"/>
      <c r="P914" s="19"/>
      <c r="Q914" s="19"/>
    </row>
    <row r="915" spans="1:17" ht="46.5" customHeight="1" x14ac:dyDescent="0.7">
      <c r="A915" s="19"/>
      <c r="B915" s="19"/>
      <c r="C915" s="19"/>
      <c r="D915" s="31"/>
      <c r="E915" s="31"/>
      <c r="F915" s="31"/>
      <c r="G915" s="31"/>
      <c r="H915" s="31"/>
      <c r="I915" s="31"/>
      <c r="J915" s="31"/>
      <c r="K915" s="19"/>
      <c r="L915" s="19"/>
      <c r="M915" s="19"/>
      <c r="N915" s="31"/>
      <c r="O915" s="31"/>
      <c r="P915" s="19"/>
      <c r="Q915" s="19"/>
    </row>
    <row r="916" spans="1:17" ht="46.5" customHeight="1" x14ac:dyDescent="0.7">
      <c r="A916" s="19"/>
      <c r="B916" s="19"/>
      <c r="C916" s="19"/>
      <c r="D916" s="31"/>
      <c r="E916" s="31"/>
      <c r="F916" s="31"/>
      <c r="G916" s="31"/>
      <c r="H916" s="31"/>
      <c r="I916" s="31"/>
      <c r="J916" s="31"/>
      <c r="K916" s="19"/>
      <c r="L916" s="19"/>
      <c r="M916" s="19"/>
      <c r="N916" s="31"/>
      <c r="O916" s="31"/>
      <c r="P916" s="19"/>
      <c r="Q916" s="19"/>
    </row>
    <row r="917" spans="1:17" ht="46.5" customHeight="1" x14ac:dyDescent="0.7">
      <c r="A917" s="19"/>
      <c r="B917" s="19"/>
      <c r="C917" s="19"/>
      <c r="D917" s="31"/>
      <c r="E917" s="31"/>
      <c r="F917" s="31"/>
      <c r="G917" s="31"/>
      <c r="H917" s="31"/>
      <c r="I917" s="31"/>
      <c r="J917" s="31"/>
      <c r="K917" s="19"/>
      <c r="L917" s="19"/>
      <c r="M917" s="19"/>
      <c r="N917" s="31"/>
      <c r="O917" s="31"/>
      <c r="P917" s="19"/>
      <c r="Q917" s="19"/>
    </row>
    <row r="918" spans="1:17" ht="46.5" customHeight="1" x14ac:dyDescent="0.7">
      <c r="A918" s="19"/>
      <c r="B918" s="19"/>
      <c r="C918" s="19"/>
      <c r="D918" s="31"/>
      <c r="E918" s="31"/>
      <c r="F918" s="31"/>
      <c r="G918" s="31"/>
      <c r="H918" s="31"/>
      <c r="I918" s="31"/>
      <c r="J918" s="31"/>
      <c r="K918" s="19"/>
      <c r="L918" s="19"/>
      <c r="M918" s="19"/>
      <c r="N918" s="31"/>
      <c r="O918" s="31"/>
      <c r="P918" s="19"/>
      <c r="Q918" s="19"/>
    </row>
    <row r="919" spans="1:17" ht="46.5" customHeight="1" x14ac:dyDescent="0.7">
      <c r="A919" s="19"/>
      <c r="B919" s="19"/>
      <c r="C919" s="19"/>
      <c r="D919" s="31"/>
      <c r="E919" s="31"/>
      <c r="F919" s="31"/>
      <c r="G919" s="31"/>
      <c r="H919" s="31"/>
      <c r="I919" s="31"/>
      <c r="J919" s="31"/>
      <c r="K919" s="19"/>
      <c r="L919" s="19"/>
      <c r="M919" s="19"/>
      <c r="N919" s="31"/>
      <c r="O919" s="31"/>
      <c r="P919" s="19"/>
      <c r="Q919" s="19"/>
    </row>
    <row r="920" spans="1:17" ht="46.5" customHeight="1" x14ac:dyDescent="0.7">
      <c r="A920" s="19"/>
      <c r="B920" s="19"/>
      <c r="C920" s="19"/>
      <c r="D920" s="31"/>
      <c r="E920" s="31"/>
      <c r="F920" s="31"/>
      <c r="G920" s="31"/>
      <c r="H920" s="31"/>
      <c r="I920" s="31"/>
      <c r="J920" s="31"/>
      <c r="K920" s="19"/>
      <c r="L920" s="19"/>
      <c r="M920" s="19"/>
      <c r="N920" s="31"/>
      <c r="O920" s="31"/>
      <c r="P920" s="19"/>
      <c r="Q920" s="19"/>
    </row>
    <row r="921" spans="1:17" ht="46.5" customHeight="1" x14ac:dyDescent="0.7">
      <c r="A921" s="19"/>
      <c r="B921" s="19"/>
      <c r="C921" s="19"/>
      <c r="D921" s="31"/>
      <c r="E921" s="31"/>
      <c r="F921" s="31"/>
      <c r="G921" s="31"/>
      <c r="H921" s="31"/>
      <c r="I921" s="31"/>
      <c r="J921" s="31"/>
      <c r="K921" s="19"/>
      <c r="L921" s="19"/>
      <c r="M921" s="19"/>
      <c r="N921" s="31"/>
      <c r="O921" s="31"/>
      <c r="P921" s="19"/>
      <c r="Q921" s="19"/>
    </row>
    <row r="922" spans="1:17" ht="46.5" customHeight="1" x14ac:dyDescent="0.7">
      <c r="A922" s="19"/>
      <c r="B922" s="19"/>
      <c r="C922" s="19"/>
      <c r="D922" s="31"/>
      <c r="E922" s="31"/>
      <c r="F922" s="31"/>
      <c r="G922" s="31"/>
      <c r="H922" s="31"/>
      <c r="I922" s="31"/>
      <c r="J922" s="31"/>
      <c r="K922" s="19"/>
      <c r="L922" s="19"/>
      <c r="M922" s="19"/>
      <c r="N922" s="31"/>
      <c r="O922" s="31"/>
      <c r="P922" s="19"/>
      <c r="Q922" s="19"/>
    </row>
    <row r="923" spans="1:17" ht="46.5" customHeight="1" x14ac:dyDescent="0.7">
      <c r="A923" s="19"/>
      <c r="B923" s="19"/>
      <c r="C923" s="19"/>
      <c r="D923" s="31"/>
      <c r="E923" s="31"/>
      <c r="F923" s="31"/>
      <c r="G923" s="31"/>
      <c r="H923" s="31"/>
      <c r="I923" s="31"/>
      <c r="J923" s="31"/>
      <c r="K923" s="19"/>
      <c r="L923" s="19"/>
      <c r="M923" s="19"/>
      <c r="N923" s="31"/>
      <c r="O923" s="31"/>
      <c r="P923" s="19"/>
      <c r="Q923" s="19"/>
    </row>
    <row r="924" spans="1:17" ht="46.5" customHeight="1" x14ac:dyDescent="0.7">
      <c r="A924" s="19"/>
      <c r="B924" s="19"/>
      <c r="C924" s="19"/>
      <c r="D924" s="31"/>
      <c r="E924" s="31"/>
      <c r="F924" s="31"/>
      <c r="G924" s="31"/>
      <c r="H924" s="31"/>
      <c r="I924" s="31"/>
      <c r="J924" s="31"/>
      <c r="K924" s="19"/>
      <c r="L924" s="19"/>
      <c r="M924" s="19"/>
      <c r="N924" s="31"/>
      <c r="O924" s="31"/>
      <c r="P924" s="19"/>
      <c r="Q924" s="19"/>
    </row>
    <row r="925" spans="1:17" ht="46.5" customHeight="1" x14ac:dyDescent="0.7">
      <c r="A925" s="19"/>
      <c r="B925" s="19"/>
      <c r="C925" s="19"/>
      <c r="D925" s="31"/>
      <c r="E925" s="31"/>
      <c r="F925" s="31"/>
      <c r="G925" s="31"/>
      <c r="H925" s="31"/>
      <c r="I925" s="31"/>
      <c r="J925" s="31"/>
      <c r="K925" s="19"/>
      <c r="L925" s="19"/>
      <c r="M925" s="19"/>
      <c r="N925" s="31"/>
      <c r="O925" s="31"/>
      <c r="P925" s="19"/>
      <c r="Q925" s="19"/>
    </row>
    <row r="926" spans="1:17" ht="46.5" customHeight="1" x14ac:dyDescent="0.7">
      <c r="A926" s="19"/>
      <c r="B926" s="19"/>
      <c r="C926" s="19"/>
      <c r="D926" s="31"/>
      <c r="E926" s="31"/>
      <c r="F926" s="31"/>
      <c r="G926" s="31"/>
      <c r="H926" s="31"/>
      <c r="I926" s="31"/>
      <c r="J926" s="31"/>
      <c r="K926" s="19"/>
      <c r="L926" s="19"/>
      <c r="M926" s="19"/>
      <c r="N926" s="31"/>
      <c r="O926" s="31"/>
      <c r="P926" s="19"/>
      <c r="Q926" s="19"/>
    </row>
    <row r="927" spans="1:17" ht="46.5" customHeight="1" x14ac:dyDescent="0.7">
      <c r="A927" s="19"/>
      <c r="B927" s="19"/>
      <c r="C927" s="19"/>
      <c r="D927" s="31"/>
      <c r="E927" s="31"/>
      <c r="F927" s="31"/>
      <c r="G927" s="31"/>
      <c r="H927" s="31"/>
      <c r="I927" s="31"/>
      <c r="J927" s="31"/>
      <c r="K927" s="19"/>
      <c r="L927" s="19"/>
      <c r="M927" s="19"/>
      <c r="N927" s="31"/>
      <c r="O927" s="31"/>
      <c r="P927" s="19"/>
      <c r="Q927" s="19"/>
    </row>
    <row r="928" spans="1:17" ht="46.5" customHeight="1" x14ac:dyDescent="0.7">
      <c r="A928" s="19"/>
      <c r="B928" s="19"/>
      <c r="C928" s="19"/>
      <c r="D928" s="31"/>
      <c r="E928" s="31"/>
      <c r="F928" s="31"/>
      <c r="G928" s="31"/>
      <c r="H928" s="31"/>
      <c r="I928" s="31"/>
      <c r="J928" s="31"/>
      <c r="K928" s="19"/>
      <c r="L928" s="19"/>
      <c r="M928" s="19"/>
      <c r="N928" s="31"/>
      <c r="O928" s="31"/>
      <c r="P928" s="19"/>
      <c r="Q928" s="19"/>
    </row>
    <row r="929" spans="1:17" ht="46.5" customHeight="1" x14ac:dyDescent="0.7">
      <c r="A929" s="19"/>
      <c r="B929" s="19"/>
      <c r="C929" s="19"/>
      <c r="D929" s="31"/>
      <c r="E929" s="31"/>
      <c r="F929" s="31"/>
      <c r="G929" s="31"/>
      <c r="H929" s="31"/>
      <c r="I929" s="31"/>
      <c r="J929" s="31"/>
      <c r="K929" s="19"/>
      <c r="L929" s="19"/>
      <c r="M929" s="19"/>
      <c r="N929" s="31"/>
      <c r="O929" s="31"/>
      <c r="P929" s="19"/>
      <c r="Q929" s="19"/>
    </row>
    <row r="930" spans="1:17" ht="46.5" customHeight="1" x14ac:dyDescent="0.7">
      <c r="A930" s="19"/>
      <c r="B930" s="19"/>
      <c r="C930" s="19"/>
      <c r="D930" s="31"/>
      <c r="E930" s="31"/>
      <c r="F930" s="31"/>
      <c r="G930" s="31"/>
      <c r="H930" s="31"/>
      <c r="I930" s="31"/>
      <c r="J930" s="31"/>
      <c r="K930" s="19"/>
      <c r="L930" s="19"/>
      <c r="M930" s="19"/>
      <c r="N930" s="31"/>
      <c r="O930" s="31"/>
      <c r="P930" s="19"/>
      <c r="Q930" s="19"/>
    </row>
    <row r="931" spans="1:17" ht="46.5" customHeight="1" x14ac:dyDescent="0.7">
      <c r="A931" s="19"/>
      <c r="B931" s="19"/>
      <c r="C931" s="19"/>
      <c r="D931" s="31"/>
      <c r="E931" s="31"/>
      <c r="F931" s="31"/>
      <c r="G931" s="31"/>
      <c r="H931" s="31"/>
      <c r="I931" s="31"/>
      <c r="J931" s="31"/>
      <c r="K931" s="19"/>
      <c r="L931" s="19"/>
      <c r="M931" s="19"/>
      <c r="N931" s="31"/>
      <c r="O931" s="31"/>
      <c r="P931" s="19"/>
      <c r="Q931" s="19"/>
    </row>
    <row r="932" spans="1:17" ht="46.5" customHeight="1" x14ac:dyDescent="0.7">
      <c r="A932" s="19"/>
      <c r="B932" s="19"/>
      <c r="C932" s="19"/>
      <c r="D932" s="31"/>
      <c r="E932" s="31"/>
      <c r="F932" s="31"/>
      <c r="G932" s="31"/>
      <c r="H932" s="31"/>
      <c r="I932" s="31"/>
      <c r="J932" s="31"/>
      <c r="K932" s="19"/>
      <c r="L932" s="19"/>
      <c r="M932" s="19"/>
      <c r="N932" s="31"/>
      <c r="O932" s="31"/>
      <c r="P932" s="19"/>
      <c r="Q932" s="19"/>
    </row>
    <row r="933" spans="1:17" ht="46.5" customHeight="1" x14ac:dyDescent="0.7">
      <c r="A933" s="19"/>
      <c r="B933" s="19"/>
      <c r="C933" s="19"/>
      <c r="D933" s="31"/>
      <c r="E933" s="31"/>
      <c r="F933" s="31"/>
      <c r="G933" s="31"/>
      <c r="H933" s="31"/>
      <c r="I933" s="31"/>
      <c r="J933" s="31"/>
      <c r="K933" s="19"/>
      <c r="L933" s="19"/>
      <c r="M933" s="19"/>
      <c r="N933" s="31"/>
      <c r="O933" s="31"/>
      <c r="P933" s="19"/>
      <c r="Q933" s="19"/>
    </row>
    <row r="934" spans="1:17" ht="46.5" customHeight="1" x14ac:dyDescent="0.7">
      <c r="A934" s="19"/>
      <c r="B934" s="19"/>
      <c r="C934" s="19"/>
      <c r="D934" s="31"/>
      <c r="E934" s="31"/>
      <c r="F934" s="31"/>
      <c r="G934" s="31"/>
      <c r="H934" s="31"/>
      <c r="I934" s="31"/>
      <c r="J934" s="31"/>
      <c r="K934" s="19"/>
      <c r="L934" s="19"/>
      <c r="M934" s="19"/>
      <c r="N934" s="31"/>
      <c r="O934" s="31"/>
      <c r="P934" s="19"/>
      <c r="Q934" s="19"/>
    </row>
    <row r="935" spans="1:17" ht="46.5" customHeight="1" x14ac:dyDescent="0.7">
      <c r="A935" s="19"/>
      <c r="B935" s="19"/>
      <c r="C935" s="19"/>
      <c r="D935" s="31"/>
      <c r="E935" s="31"/>
      <c r="F935" s="31"/>
      <c r="G935" s="31"/>
      <c r="H935" s="31"/>
      <c r="I935" s="31"/>
      <c r="J935" s="31"/>
      <c r="K935" s="19"/>
      <c r="L935" s="19"/>
      <c r="M935" s="19"/>
      <c r="N935" s="31"/>
      <c r="O935" s="31"/>
      <c r="P935" s="19"/>
      <c r="Q935" s="19"/>
    </row>
    <row r="936" spans="1:17" ht="46.5" customHeight="1" x14ac:dyDescent="0.7">
      <c r="A936" s="19"/>
      <c r="B936" s="19"/>
      <c r="C936" s="19"/>
      <c r="D936" s="31"/>
      <c r="E936" s="31"/>
      <c r="F936" s="31"/>
      <c r="G936" s="31"/>
      <c r="H936" s="31"/>
      <c r="I936" s="31"/>
      <c r="J936" s="31"/>
      <c r="K936" s="19"/>
      <c r="L936" s="19"/>
      <c r="M936" s="19"/>
      <c r="N936" s="31"/>
      <c r="O936" s="31"/>
      <c r="P936" s="19"/>
      <c r="Q936" s="19"/>
    </row>
    <row r="937" spans="1:17" ht="46.5" customHeight="1" x14ac:dyDescent="0.7">
      <c r="A937" s="19"/>
      <c r="B937" s="19"/>
      <c r="C937" s="19"/>
      <c r="D937" s="31"/>
      <c r="E937" s="31"/>
      <c r="F937" s="31"/>
      <c r="G937" s="31"/>
      <c r="H937" s="31"/>
      <c r="I937" s="31"/>
      <c r="J937" s="31"/>
      <c r="K937" s="19"/>
      <c r="L937" s="19"/>
      <c r="M937" s="19"/>
      <c r="N937" s="31"/>
      <c r="O937" s="31"/>
      <c r="P937" s="19"/>
      <c r="Q937" s="19"/>
    </row>
    <row r="938" spans="1:17" ht="46.5" customHeight="1" x14ac:dyDescent="0.7">
      <c r="A938" s="19"/>
      <c r="B938" s="19"/>
      <c r="C938" s="19"/>
      <c r="D938" s="31"/>
      <c r="E938" s="31"/>
      <c r="F938" s="31"/>
      <c r="G938" s="31"/>
      <c r="H938" s="31"/>
      <c r="I938" s="31"/>
      <c r="J938" s="31"/>
      <c r="K938" s="19"/>
      <c r="L938" s="19"/>
      <c r="M938" s="19"/>
      <c r="N938" s="31"/>
      <c r="O938" s="31"/>
      <c r="P938" s="19"/>
      <c r="Q938" s="19"/>
    </row>
    <row r="939" spans="1:17" ht="46.5" customHeight="1" x14ac:dyDescent="0.7">
      <c r="A939" s="19"/>
      <c r="B939" s="19"/>
      <c r="C939" s="19"/>
      <c r="D939" s="31"/>
      <c r="E939" s="31"/>
      <c r="F939" s="31"/>
      <c r="G939" s="31"/>
      <c r="H939" s="31"/>
      <c r="I939" s="31"/>
      <c r="J939" s="31"/>
      <c r="K939" s="19"/>
      <c r="L939" s="19"/>
      <c r="M939" s="19"/>
      <c r="N939" s="31"/>
      <c r="O939" s="31"/>
      <c r="P939" s="19"/>
      <c r="Q939" s="19"/>
    </row>
    <row r="940" spans="1:17" ht="46.5" customHeight="1" x14ac:dyDescent="0.7">
      <c r="A940" s="19"/>
      <c r="B940" s="19"/>
      <c r="C940" s="19"/>
      <c r="D940" s="31"/>
      <c r="E940" s="31"/>
      <c r="F940" s="31"/>
      <c r="G940" s="31"/>
      <c r="H940" s="31"/>
      <c r="I940" s="31"/>
      <c r="J940" s="31"/>
      <c r="K940" s="19"/>
      <c r="L940" s="19"/>
      <c r="M940" s="19"/>
      <c r="N940" s="31"/>
      <c r="O940" s="31"/>
      <c r="P940" s="19"/>
      <c r="Q940" s="19"/>
    </row>
    <row r="941" spans="1:17" ht="46.5" customHeight="1" x14ac:dyDescent="0.7">
      <c r="A941" s="19"/>
      <c r="B941" s="19"/>
      <c r="C941" s="19"/>
      <c r="D941" s="31"/>
      <c r="E941" s="31"/>
      <c r="F941" s="31"/>
      <c r="G941" s="31"/>
      <c r="H941" s="31"/>
      <c r="I941" s="31"/>
      <c r="J941" s="31"/>
      <c r="K941" s="19"/>
      <c r="L941" s="19"/>
      <c r="M941" s="19"/>
      <c r="N941" s="31"/>
      <c r="O941" s="31"/>
      <c r="P941" s="19"/>
      <c r="Q941" s="19"/>
    </row>
    <row r="942" spans="1:17" ht="46.5" customHeight="1" x14ac:dyDescent="0.7">
      <c r="A942" s="19"/>
      <c r="B942" s="19"/>
      <c r="C942" s="19"/>
      <c r="D942" s="31"/>
      <c r="E942" s="31"/>
      <c r="F942" s="31"/>
      <c r="G942" s="31"/>
      <c r="H942" s="31"/>
      <c r="I942" s="31"/>
      <c r="J942" s="31"/>
      <c r="K942" s="19"/>
      <c r="L942" s="19"/>
      <c r="M942" s="19"/>
      <c r="N942" s="31"/>
      <c r="O942" s="31"/>
      <c r="P942" s="19"/>
      <c r="Q942" s="19"/>
    </row>
    <row r="943" spans="1:17" ht="46.5" customHeight="1" x14ac:dyDescent="0.7">
      <c r="A943" s="19"/>
      <c r="B943" s="19"/>
      <c r="C943" s="19"/>
      <c r="D943" s="31"/>
      <c r="E943" s="31"/>
      <c r="F943" s="31"/>
      <c r="G943" s="31"/>
      <c r="H943" s="31"/>
      <c r="I943" s="31"/>
      <c r="J943" s="31"/>
      <c r="K943" s="19"/>
      <c r="L943" s="19"/>
      <c r="M943" s="19"/>
      <c r="N943" s="31"/>
      <c r="O943" s="31"/>
      <c r="P943" s="19"/>
      <c r="Q943" s="19"/>
    </row>
    <row r="944" spans="1:17" ht="46.5" customHeight="1" x14ac:dyDescent="0.7">
      <c r="A944" s="19"/>
      <c r="B944" s="19"/>
      <c r="C944" s="19"/>
      <c r="D944" s="31"/>
      <c r="E944" s="31"/>
      <c r="F944" s="31"/>
      <c r="G944" s="31"/>
      <c r="H944" s="31"/>
      <c r="I944" s="31"/>
      <c r="J944" s="31"/>
      <c r="K944" s="19"/>
      <c r="L944" s="19"/>
      <c r="M944" s="19"/>
      <c r="N944" s="31"/>
      <c r="O944" s="31"/>
      <c r="P944" s="19"/>
      <c r="Q944" s="19"/>
    </row>
    <row r="945" spans="1:17" ht="46.5" customHeight="1" x14ac:dyDescent="0.7">
      <c r="A945" s="19"/>
      <c r="B945" s="19"/>
      <c r="C945" s="19"/>
      <c r="D945" s="31"/>
      <c r="E945" s="31"/>
      <c r="F945" s="31"/>
      <c r="G945" s="31"/>
      <c r="H945" s="31"/>
      <c r="I945" s="31"/>
      <c r="J945" s="31"/>
      <c r="K945" s="19"/>
      <c r="L945" s="19"/>
      <c r="M945" s="19"/>
      <c r="N945" s="31"/>
      <c r="O945" s="31"/>
      <c r="P945" s="19"/>
      <c r="Q945" s="19"/>
    </row>
    <row r="946" spans="1:17" ht="46.5" customHeight="1" x14ac:dyDescent="0.7">
      <c r="A946" s="19"/>
      <c r="B946" s="19"/>
      <c r="C946" s="19"/>
      <c r="D946" s="31"/>
      <c r="E946" s="31"/>
      <c r="F946" s="31"/>
      <c r="G946" s="31"/>
      <c r="H946" s="31"/>
      <c r="I946" s="31"/>
      <c r="J946" s="31"/>
      <c r="K946" s="19"/>
      <c r="L946" s="19"/>
      <c r="M946" s="19"/>
      <c r="N946" s="31"/>
      <c r="O946" s="31"/>
      <c r="P946" s="19"/>
      <c r="Q946" s="19"/>
    </row>
    <row r="947" spans="1:17" ht="46.5" customHeight="1" x14ac:dyDescent="0.7">
      <c r="A947" s="19"/>
      <c r="B947" s="19"/>
      <c r="C947" s="19"/>
      <c r="D947" s="31"/>
      <c r="E947" s="31"/>
      <c r="F947" s="31"/>
      <c r="G947" s="31"/>
      <c r="H947" s="31"/>
      <c r="I947" s="31"/>
      <c r="J947" s="31"/>
      <c r="K947" s="19"/>
      <c r="L947" s="19"/>
      <c r="M947" s="19"/>
      <c r="N947" s="31"/>
      <c r="O947" s="31"/>
      <c r="P947" s="19"/>
      <c r="Q947" s="19"/>
    </row>
    <row r="948" spans="1:17" ht="46.5" customHeight="1" x14ac:dyDescent="0.7">
      <c r="A948" s="19"/>
      <c r="B948" s="19"/>
      <c r="C948" s="19"/>
      <c r="D948" s="31"/>
      <c r="E948" s="31"/>
      <c r="F948" s="31"/>
      <c r="G948" s="31"/>
      <c r="H948" s="31"/>
      <c r="I948" s="31"/>
      <c r="J948" s="31"/>
      <c r="K948" s="19"/>
      <c r="L948" s="19"/>
      <c r="M948" s="19"/>
      <c r="N948" s="31"/>
      <c r="O948" s="31"/>
      <c r="P948" s="19"/>
      <c r="Q948" s="19"/>
    </row>
    <row r="949" spans="1:17" ht="46.5" customHeight="1" x14ac:dyDescent="0.7">
      <c r="A949" s="19"/>
      <c r="B949" s="19"/>
      <c r="C949" s="19"/>
      <c r="D949" s="31"/>
      <c r="E949" s="31"/>
      <c r="F949" s="31"/>
      <c r="G949" s="31"/>
      <c r="H949" s="31"/>
      <c r="I949" s="31"/>
      <c r="J949" s="31"/>
      <c r="K949" s="19"/>
      <c r="L949" s="19"/>
      <c r="M949" s="19"/>
      <c r="N949" s="31"/>
      <c r="O949" s="31"/>
      <c r="P949" s="19"/>
      <c r="Q949" s="19"/>
    </row>
    <row r="950" spans="1:17" ht="46.5" customHeight="1" x14ac:dyDescent="0.7">
      <c r="A950" s="19"/>
      <c r="B950" s="19"/>
      <c r="C950" s="19"/>
      <c r="D950" s="31"/>
      <c r="E950" s="31"/>
      <c r="F950" s="31"/>
      <c r="G950" s="31"/>
      <c r="H950" s="31"/>
      <c r="I950" s="31"/>
      <c r="J950" s="31"/>
      <c r="K950" s="19"/>
      <c r="L950" s="19"/>
      <c r="M950" s="19"/>
      <c r="N950" s="31"/>
      <c r="O950" s="31"/>
      <c r="P950" s="19"/>
      <c r="Q950" s="19"/>
    </row>
    <row r="951" spans="1:17" ht="46.5" customHeight="1" x14ac:dyDescent="0.7">
      <c r="A951" s="19"/>
      <c r="B951" s="19"/>
      <c r="C951" s="19"/>
      <c r="D951" s="31"/>
      <c r="E951" s="31"/>
      <c r="F951" s="31"/>
      <c r="G951" s="31"/>
      <c r="H951" s="31"/>
      <c r="I951" s="31"/>
      <c r="J951" s="31"/>
      <c r="K951" s="19"/>
      <c r="L951" s="19"/>
      <c r="M951" s="19"/>
      <c r="N951" s="31"/>
      <c r="O951" s="31"/>
      <c r="P951" s="19"/>
      <c r="Q951" s="19"/>
    </row>
    <row r="952" spans="1:17" ht="46.5" customHeight="1" x14ac:dyDescent="0.7">
      <c r="A952" s="19"/>
      <c r="B952" s="19"/>
      <c r="C952" s="19"/>
      <c r="D952" s="31"/>
      <c r="E952" s="31"/>
      <c r="F952" s="31"/>
      <c r="G952" s="31"/>
      <c r="H952" s="31"/>
      <c r="I952" s="31"/>
      <c r="J952" s="31"/>
      <c r="K952" s="19"/>
      <c r="L952" s="19"/>
      <c r="M952" s="19"/>
      <c r="N952" s="31"/>
      <c r="O952" s="31"/>
      <c r="P952" s="19"/>
      <c r="Q952" s="19"/>
    </row>
    <row r="953" spans="1:17" ht="46.5" customHeight="1" x14ac:dyDescent="0.7">
      <c r="A953" s="19"/>
      <c r="B953" s="19"/>
      <c r="C953" s="19"/>
      <c r="D953" s="31"/>
      <c r="E953" s="31"/>
      <c r="F953" s="31"/>
      <c r="G953" s="31"/>
      <c r="H953" s="31"/>
      <c r="I953" s="31"/>
      <c r="J953" s="31"/>
      <c r="K953" s="19"/>
      <c r="L953" s="19"/>
      <c r="M953" s="19"/>
      <c r="N953" s="31"/>
      <c r="O953" s="31"/>
      <c r="P953" s="19"/>
      <c r="Q953" s="19"/>
    </row>
    <row r="954" spans="1:17" ht="46.5" customHeight="1" x14ac:dyDescent="0.7">
      <c r="A954" s="19"/>
      <c r="B954" s="19"/>
      <c r="C954" s="19"/>
      <c r="D954" s="31"/>
      <c r="E954" s="31"/>
      <c r="F954" s="31"/>
      <c r="G954" s="31"/>
      <c r="H954" s="31"/>
      <c r="I954" s="31"/>
      <c r="J954" s="31"/>
      <c r="K954" s="19"/>
      <c r="L954" s="19"/>
      <c r="M954" s="19"/>
      <c r="N954" s="31"/>
      <c r="O954" s="31"/>
      <c r="P954" s="19"/>
      <c r="Q954" s="19"/>
    </row>
    <row r="955" spans="1:17" ht="46.5" customHeight="1" x14ac:dyDescent="0.7">
      <c r="A955" s="19"/>
      <c r="B955" s="19"/>
      <c r="C955" s="19"/>
      <c r="D955" s="31"/>
      <c r="E955" s="31"/>
      <c r="F955" s="31"/>
      <c r="G955" s="31"/>
      <c r="H955" s="31"/>
      <c r="I955" s="31"/>
      <c r="J955" s="31"/>
      <c r="K955" s="19"/>
      <c r="L955" s="19"/>
      <c r="M955" s="19"/>
      <c r="N955" s="31"/>
      <c r="O955" s="31"/>
      <c r="P955" s="19"/>
      <c r="Q955" s="19"/>
    </row>
    <row r="956" spans="1:17" ht="46.5" customHeight="1" x14ac:dyDescent="0.7">
      <c r="A956" s="19"/>
      <c r="B956" s="19"/>
      <c r="C956" s="19"/>
      <c r="D956" s="31"/>
      <c r="E956" s="31"/>
      <c r="F956" s="31"/>
      <c r="G956" s="31"/>
      <c r="H956" s="31"/>
      <c r="I956" s="31"/>
      <c r="J956" s="31"/>
      <c r="K956" s="19"/>
      <c r="L956" s="19"/>
      <c r="M956" s="19"/>
      <c r="N956" s="31"/>
      <c r="O956" s="31"/>
      <c r="P956" s="19"/>
      <c r="Q956" s="19"/>
    </row>
    <row r="957" spans="1:17" ht="46.5" customHeight="1" x14ac:dyDescent="0.7">
      <c r="A957" s="19"/>
      <c r="B957" s="19"/>
      <c r="C957" s="19"/>
      <c r="D957" s="31"/>
      <c r="E957" s="31"/>
      <c r="F957" s="31"/>
      <c r="G957" s="31"/>
      <c r="H957" s="31"/>
      <c r="I957" s="31"/>
      <c r="J957" s="31"/>
      <c r="K957" s="19"/>
      <c r="L957" s="19"/>
      <c r="M957" s="19"/>
      <c r="N957" s="31"/>
      <c r="O957" s="31"/>
      <c r="P957" s="19"/>
      <c r="Q957" s="19"/>
    </row>
    <row r="958" spans="1:17" ht="46.5" customHeight="1" x14ac:dyDescent="0.7">
      <c r="A958" s="19"/>
      <c r="B958" s="19"/>
      <c r="C958" s="19"/>
      <c r="D958" s="31"/>
      <c r="E958" s="31"/>
      <c r="F958" s="31"/>
      <c r="G958" s="31"/>
      <c r="H958" s="31"/>
      <c r="I958" s="31"/>
      <c r="J958" s="31"/>
      <c r="K958" s="19"/>
      <c r="L958" s="19"/>
      <c r="M958" s="19"/>
      <c r="N958" s="31"/>
      <c r="O958" s="31"/>
      <c r="P958" s="19"/>
      <c r="Q958" s="19"/>
    </row>
    <row r="959" spans="1:17" ht="46.5" customHeight="1" x14ac:dyDescent="0.7">
      <c r="A959" s="19"/>
      <c r="B959" s="19"/>
      <c r="C959" s="19"/>
      <c r="D959" s="31"/>
      <c r="E959" s="31"/>
      <c r="F959" s="31"/>
      <c r="G959" s="31"/>
      <c r="H959" s="31"/>
      <c r="I959" s="31"/>
      <c r="J959" s="31"/>
      <c r="K959" s="19"/>
      <c r="L959" s="19"/>
      <c r="M959" s="19"/>
      <c r="N959" s="31"/>
      <c r="O959" s="31"/>
      <c r="P959" s="19"/>
      <c r="Q959" s="19"/>
    </row>
    <row r="960" spans="1:17" ht="46.5" customHeight="1" x14ac:dyDescent="0.7">
      <c r="A960" s="19"/>
      <c r="B960" s="19"/>
      <c r="C960" s="19"/>
      <c r="D960" s="31"/>
      <c r="E960" s="31"/>
      <c r="F960" s="31"/>
      <c r="G960" s="31"/>
      <c r="H960" s="31"/>
      <c r="I960" s="31"/>
      <c r="J960" s="31"/>
      <c r="K960" s="19"/>
      <c r="L960" s="19"/>
      <c r="M960" s="19"/>
      <c r="N960" s="31"/>
      <c r="O960" s="31"/>
      <c r="P960" s="19"/>
      <c r="Q960" s="19"/>
    </row>
    <row r="961" spans="1:17" ht="46.5" customHeight="1" x14ac:dyDescent="0.7">
      <c r="A961" s="19"/>
      <c r="B961" s="19"/>
      <c r="C961" s="19"/>
      <c r="D961" s="31"/>
      <c r="E961" s="31"/>
      <c r="F961" s="31"/>
      <c r="G961" s="31"/>
      <c r="H961" s="31"/>
      <c r="I961" s="31"/>
      <c r="J961" s="31"/>
      <c r="K961" s="19"/>
      <c r="L961" s="19"/>
      <c r="M961" s="19"/>
      <c r="N961" s="31"/>
      <c r="O961" s="31"/>
      <c r="P961" s="19"/>
      <c r="Q961" s="19"/>
    </row>
    <row r="962" spans="1:17" ht="46.5" customHeight="1" x14ac:dyDescent="0.7">
      <c r="A962" s="19"/>
      <c r="B962" s="19"/>
      <c r="C962" s="19"/>
      <c r="D962" s="31"/>
      <c r="E962" s="31"/>
      <c r="F962" s="31"/>
      <c r="G962" s="31"/>
      <c r="H962" s="31"/>
      <c r="I962" s="31"/>
      <c r="J962" s="31"/>
      <c r="K962" s="19"/>
      <c r="L962" s="19"/>
      <c r="M962" s="19"/>
      <c r="N962" s="31"/>
      <c r="O962" s="31"/>
      <c r="P962" s="19"/>
      <c r="Q962" s="19"/>
    </row>
    <row r="963" spans="1:17" ht="46.5" customHeight="1" x14ac:dyDescent="0.7">
      <c r="A963" s="19"/>
      <c r="B963" s="19"/>
      <c r="C963" s="19"/>
      <c r="D963" s="31"/>
      <c r="E963" s="31"/>
      <c r="F963" s="31"/>
      <c r="G963" s="31"/>
      <c r="H963" s="31"/>
      <c r="I963" s="31"/>
      <c r="J963" s="31"/>
      <c r="K963" s="19"/>
      <c r="L963" s="19"/>
      <c r="M963" s="19"/>
      <c r="N963" s="31"/>
      <c r="O963" s="31"/>
      <c r="P963" s="19"/>
      <c r="Q963" s="19"/>
    </row>
    <row r="964" spans="1:17" ht="46.5" customHeight="1" x14ac:dyDescent="0.7">
      <c r="A964" s="19"/>
      <c r="B964" s="19"/>
      <c r="C964" s="19"/>
      <c r="D964" s="31"/>
      <c r="E964" s="31"/>
      <c r="F964" s="31"/>
      <c r="G964" s="31"/>
      <c r="H964" s="31"/>
      <c r="I964" s="31"/>
      <c r="J964" s="31"/>
      <c r="K964" s="19"/>
      <c r="L964" s="19"/>
      <c r="M964" s="19"/>
      <c r="N964" s="31"/>
      <c r="O964" s="31"/>
      <c r="P964" s="19"/>
      <c r="Q964" s="19"/>
    </row>
    <row r="965" spans="1:17" ht="46.5" customHeight="1" x14ac:dyDescent="0.7">
      <c r="A965" s="19"/>
      <c r="B965" s="19"/>
      <c r="C965" s="19"/>
      <c r="D965" s="31"/>
      <c r="E965" s="31"/>
      <c r="F965" s="31"/>
      <c r="G965" s="31"/>
      <c r="H965" s="31"/>
      <c r="I965" s="31"/>
      <c r="J965" s="31"/>
      <c r="K965" s="19"/>
      <c r="L965" s="19"/>
      <c r="M965" s="19"/>
      <c r="N965" s="31"/>
      <c r="O965" s="31"/>
      <c r="P965" s="19"/>
      <c r="Q965" s="19"/>
    </row>
    <row r="966" spans="1:17" ht="46.5" customHeight="1" x14ac:dyDescent="0.7">
      <c r="A966" s="19"/>
      <c r="B966" s="19"/>
      <c r="C966" s="19"/>
      <c r="D966" s="31"/>
      <c r="E966" s="31"/>
      <c r="F966" s="31"/>
      <c r="G966" s="31"/>
      <c r="H966" s="31"/>
      <c r="I966" s="31"/>
      <c r="J966" s="31"/>
      <c r="K966" s="19"/>
      <c r="L966" s="19"/>
      <c r="M966" s="19"/>
      <c r="N966" s="31"/>
      <c r="O966" s="31"/>
      <c r="P966" s="19"/>
      <c r="Q966" s="19"/>
    </row>
    <row r="967" spans="1:17" ht="46.5" customHeight="1" x14ac:dyDescent="0.7">
      <c r="A967" s="19"/>
      <c r="B967" s="19"/>
      <c r="C967" s="19"/>
      <c r="D967" s="31"/>
      <c r="E967" s="31"/>
      <c r="F967" s="31"/>
      <c r="G967" s="31"/>
      <c r="H967" s="31"/>
      <c r="I967" s="31"/>
      <c r="J967" s="31"/>
      <c r="K967" s="19"/>
      <c r="L967" s="19"/>
      <c r="M967" s="19"/>
      <c r="N967" s="31"/>
      <c r="O967" s="31"/>
      <c r="P967" s="19"/>
      <c r="Q967" s="19"/>
    </row>
    <row r="968" spans="1:17" ht="46.5" customHeight="1" x14ac:dyDescent="0.7">
      <c r="A968" s="19"/>
      <c r="B968" s="19"/>
      <c r="C968" s="19"/>
      <c r="D968" s="31"/>
      <c r="E968" s="31"/>
      <c r="F968" s="31"/>
      <c r="G968" s="31"/>
      <c r="H968" s="31"/>
      <c r="I968" s="31"/>
      <c r="J968" s="31"/>
      <c r="K968" s="19"/>
      <c r="L968" s="19"/>
      <c r="M968" s="19"/>
      <c r="N968" s="31"/>
      <c r="O968" s="31"/>
      <c r="P968" s="19"/>
      <c r="Q968" s="19"/>
    </row>
    <row r="969" spans="1:17" ht="46.5" customHeight="1" x14ac:dyDescent="0.7">
      <c r="A969" s="19"/>
      <c r="B969" s="19"/>
      <c r="C969" s="19"/>
      <c r="D969" s="31"/>
      <c r="E969" s="31"/>
      <c r="F969" s="31"/>
      <c r="G969" s="31"/>
      <c r="H969" s="31"/>
      <c r="I969" s="31"/>
      <c r="J969" s="31"/>
      <c r="K969" s="19"/>
      <c r="L969" s="19"/>
      <c r="M969" s="19"/>
      <c r="N969" s="31"/>
      <c r="O969" s="31"/>
      <c r="P969" s="19"/>
      <c r="Q969" s="19"/>
    </row>
    <row r="970" spans="1:17" ht="46.5" customHeight="1" x14ac:dyDescent="0.7">
      <c r="A970" s="19"/>
      <c r="B970" s="19"/>
      <c r="C970" s="19"/>
      <c r="D970" s="31"/>
      <c r="E970" s="31"/>
      <c r="F970" s="31"/>
      <c r="G970" s="31"/>
      <c r="H970" s="31"/>
      <c r="I970" s="31"/>
      <c r="J970" s="31"/>
      <c r="K970" s="19"/>
      <c r="L970" s="19"/>
      <c r="M970" s="19"/>
      <c r="N970" s="31"/>
      <c r="O970" s="31"/>
      <c r="P970" s="19"/>
      <c r="Q970" s="19"/>
    </row>
    <row r="971" spans="1:17" ht="46.5" customHeight="1" x14ac:dyDescent="0.7">
      <c r="A971" s="19"/>
      <c r="B971" s="19"/>
      <c r="C971" s="19"/>
      <c r="D971" s="31"/>
      <c r="E971" s="31"/>
      <c r="F971" s="31"/>
      <c r="G971" s="31"/>
      <c r="H971" s="31"/>
      <c r="I971" s="31"/>
      <c r="J971" s="31"/>
      <c r="K971" s="19"/>
      <c r="L971" s="19"/>
      <c r="M971" s="19"/>
      <c r="N971" s="31"/>
      <c r="O971" s="31"/>
      <c r="P971" s="19"/>
      <c r="Q971" s="19"/>
    </row>
    <row r="972" spans="1:17" ht="46.5" customHeight="1" x14ac:dyDescent="0.7">
      <c r="A972" s="19"/>
      <c r="B972" s="19"/>
      <c r="C972" s="19"/>
      <c r="D972" s="31"/>
      <c r="E972" s="31"/>
      <c r="F972" s="31"/>
      <c r="G972" s="31"/>
      <c r="H972" s="31"/>
      <c r="I972" s="31"/>
      <c r="J972" s="31"/>
      <c r="K972" s="19"/>
      <c r="L972" s="19"/>
      <c r="M972" s="19"/>
      <c r="N972" s="31"/>
      <c r="O972" s="31"/>
      <c r="P972" s="19"/>
      <c r="Q972" s="19"/>
    </row>
    <row r="973" spans="1:17" ht="46.5" customHeight="1" x14ac:dyDescent="0.7">
      <c r="A973" s="19"/>
      <c r="B973" s="19"/>
      <c r="C973" s="19"/>
      <c r="D973" s="31"/>
      <c r="E973" s="31"/>
      <c r="F973" s="31"/>
      <c r="G973" s="31"/>
      <c r="H973" s="31"/>
      <c r="I973" s="31"/>
      <c r="J973" s="31"/>
      <c r="K973" s="19"/>
      <c r="L973" s="19"/>
      <c r="M973" s="19"/>
      <c r="N973" s="31"/>
      <c r="O973" s="31"/>
      <c r="P973" s="19"/>
      <c r="Q973" s="19"/>
    </row>
    <row r="974" spans="1:17" ht="46.5" customHeight="1" x14ac:dyDescent="0.7">
      <c r="A974" s="19"/>
      <c r="B974" s="19"/>
      <c r="C974" s="19"/>
      <c r="D974" s="31"/>
      <c r="E974" s="31"/>
      <c r="F974" s="31"/>
      <c r="G974" s="31"/>
      <c r="H974" s="31"/>
      <c r="I974" s="31"/>
      <c r="J974" s="31"/>
      <c r="K974" s="19"/>
      <c r="L974" s="19"/>
      <c r="M974" s="19"/>
      <c r="N974" s="31"/>
      <c r="O974" s="31"/>
      <c r="P974" s="19"/>
      <c r="Q974" s="19"/>
    </row>
    <row r="975" spans="1:17" ht="46.5" customHeight="1" x14ac:dyDescent="0.7">
      <c r="A975" s="19"/>
      <c r="B975" s="19"/>
      <c r="C975" s="19"/>
      <c r="D975" s="31"/>
      <c r="E975" s="31"/>
      <c r="F975" s="31"/>
      <c r="G975" s="31"/>
      <c r="H975" s="31"/>
      <c r="I975" s="31"/>
      <c r="J975" s="31"/>
      <c r="K975" s="19"/>
      <c r="L975" s="19"/>
      <c r="M975" s="19"/>
      <c r="N975" s="31"/>
      <c r="O975" s="31"/>
      <c r="P975" s="19"/>
      <c r="Q975" s="19"/>
    </row>
    <row r="976" spans="1:17" ht="46.5" customHeight="1" x14ac:dyDescent="0.7">
      <c r="A976" s="19"/>
      <c r="B976" s="19"/>
      <c r="C976" s="19"/>
      <c r="D976" s="31"/>
      <c r="E976" s="31"/>
      <c r="F976" s="31"/>
      <c r="G976" s="31"/>
      <c r="H976" s="31"/>
      <c r="I976" s="31"/>
      <c r="J976" s="31"/>
      <c r="K976" s="19"/>
      <c r="L976" s="19"/>
      <c r="M976" s="19"/>
      <c r="N976" s="31"/>
      <c r="O976" s="31"/>
      <c r="P976" s="19"/>
      <c r="Q976" s="19"/>
    </row>
    <row r="977" spans="1:17" ht="46.5" customHeight="1" x14ac:dyDescent="0.7">
      <c r="A977" s="19"/>
      <c r="B977" s="19"/>
      <c r="C977" s="19"/>
      <c r="D977" s="31"/>
      <c r="E977" s="31"/>
      <c r="F977" s="31"/>
      <c r="G977" s="31"/>
      <c r="H977" s="31"/>
      <c r="I977" s="31"/>
      <c r="J977" s="31"/>
      <c r="K977" s="19"/>
      <c r="L977" s="19"/>
      <c r="M977" s="19"/>
      <c r="N977" s="31"/>
      <c r="O977" s="31"/>
      <c r="P977" s="19"/>
      <c r="Q977" s="19"/>
    </row>
    <row r="978" spans="1:17" ht="46.5" customHeight="1" x14ac:dyDescent="0.7">
      <c r="A978" s="19"/>
      <c r="B978" s="19"/>
      <c r="C978" s="19"/>
      <c r="D978" s="31"/>
      <c r="E978" s="31"/>
      <c r="F978" s="31"/>
      <c r="G978" s="31"/>
      <c r="H978" s="31"/>
      <c r="I978" s="31"/>
      <c r="J978" s="31"/>
      <c r="K978" s="19"/>
      <c r="L978" s="19"/>
      <c r="M978" s="19"/>
      <c r="N978" s="31"/>
      <c r="O978" s="31"/>
      <c r="P978" s="19"/>
      <c r="Q978" s="19"/>
    </row>
    <row r="979" spans="1:17" ht="46.5" customHeight="1" x14ac:dyDescent="0.7">
      <c r="A979" s="19"/>
      <c r="B979" s="19"/>
      <c r="C979" s="19"/>
      <c r="D979" s="31"/>
      <c r="E979" s="31"/>
      <c r="F979" s="31"/>
      <c r="G979" s="31"/>
      <c r="H979" s="31"/>
      <c r="I979" s="31"/>
      <c r="J979" s="31"/>
      <c r="K979" s="19"/>
      <c r="L979" s="19"/>
      <c r="M979" s="19"/>
      <c r="N979" s="31"/>
      <c r="O979" s="31"/>
      <c r="P979" s="19"/>
      <c r="Q979" s="19"/>
    </row>
    <row r="980" spans="1:17" ht="46.5" customHeight="1" x14ac:dyDescent="0.7">
      <c r="A980" s="19"/>
      <c r="B980" s="19"/>
      <c r="C980" s="19"/>
      <c r="D980" s="31"/>
      <c r="E980" s="31"/>
      <c r="F980" s="31"/>
      <c r="G980" s="31"/>
      <c r="H980" s="31"/>
      <c r="I980" s="31"/>
      <c r="J980" s="31"/>
      <c r="K980" s="19"/>
      <c r="L980" s="19"/>
      <c r="M980" s="19"/>
      <c r="N980" s="31"/>
      <c r="O980" s="31"/>
      <c r="P980" s="19"/>
      <c r="Q980" s="19"/>
    </row>
    <row r="981" spans="1:17" ht="46.5" customHeight="1" x14ac:dyDescent="0.7">
      <c r="A981" s="19"/>
      <c r="B981" s="19"/>
      <c r="C981" s="19"/>
      <c r="D981" s="31"/>
      <c r="E981" s="31"/>
      <c r="F981" s="31"/>
      <c r="G981" s="31"/>
      <c r="H981" s="31"/>
      <c r="I981" s="31"/>
      <c r="J981" s="31"/>
      <c r="K981" s="19"/>
      <c r="L981" s="19"/>
      <c r="M981" s="19"/>
      <c r="N981" s="31"/>
      <c r="O981" s="31"/>
      <c r="P981" s="19"/>
      <c r="Q981" s="19"/>
    </row>
    <row r="982" spans="1:17" ht="46.5" customHeight="1" x14ac:dyDescent="0.7">
      <c r="A982" s="19"/>
      <c r="B982" s="19"/>
      <c r="C982" s="19"/>
      <c r="D982" s="31"/>
      <c r="E982" s="31"/>
      <c r="F982" s="31"/>
      <c r="G982" s="31"/>
      <c r="H982" s="31"/>
      <c r="I982" s="31"/>
      <c r="J982" s="31"/>
      <c r="K982" s="19"/>
      <c r="L982" s="19"/>
      <c r="M982" s="19"/>
      <c r="N982" s="31"/>
      <c r="O982" s="31"/>
      <c r="P982" s="19"/>
      <c r="Q982" s="19"/>
    </row>
    <row r="983" spans="1:17" ht="46.5" customHeight="1" x14ac:dyDescent="0.7">
      <c r="A983" s="19"/>
      <c r="B983" s="19"/>
      <c r="C983" s="19"/>
      <c r="D983" s="31"/>
      <c r="E983" s="31"/>
      <c r="F983" s="31"/>
      <c r="G983" s="31"/>
      <c r="H983" s="31"/>
      <c r="I983" s="31"/>
      <c r="J983" s="31"/>
      <c r="K983" s="19"/>
      <c r="L983" s="19"/>
      <c r="M983" s="19"/>
      <c r="N983" s="31"/>
      <c r="O983" s="31"/>
      <c r="P983" s="19"/>
      <c r="Q983" s="19"/>
    </row>
    <row r="984" spans="1:17" ht="46.5" customHeight="1" x14ac:dyDescent="0.7">
      <c r="A984" s="19"/>
      <c r="B984" s="19"/>
      <c r="C984" s="19"/>
      <c r="D984" s="31"/>
      <c r="E984" s="31"/>
      <c r="F984" s="31"/>
      <c r="G984" s="31"/>
      <c r="H984" s="31"/>
      <c r="I984" s="31"/>
      <c r="J984" s="31"/>
      <c r="K984" s="19"/>
      <c r="L984" s="19"/>
      <c r="M984" s="19"/>
      <c r="N984" s="31"/>
      <c r="O984" s="31"/>
      <c r="P984" s="19"/>
      <c r="Q984" s="19"/>
    </row>
    <row r="985" spans="1:17" ht="46.5" customHeight="1" x14ac:dyDescent="0.7">
      <c r="A985" s="19"/>
      <c r="B985" s="19"/>
      <c r="C985" s="19"/>
      <c r="D985" s="31"/>
      <c r="E985" s="31"/>
      <c r="F985" s="31"/>
      <c r="G985" s="31"/>
      <c r="H985" s="31"/>
      <c r="I985" s="31"/>
      <c r="J985" s="31"/>
      <c r="K985" s="19"/>
      <c r="L985" s="19"/>
      <c r="M985" s="19"/>
      <c r="N985" s="31"/>
      <c r="O985" s="31"/>
      <c r="P985" s="19"/>
      <c r="Q985" s="19"/>
    </row>
    <row r="986" spans="1:17" ht="46.5" customHeight="1" x14ac:dyDescent="0.7">
      <c r="A986" s="19"/>
      <c r="B986" s="19"/>
      <c r="C986" s="19"/>
      <c r="D986" s="31"/>
      <c r="E986" s="31"/>
      <c r="F986" s="31"/>
      <c r="G986" s="31"/>
      <c r="H986" s="31"/>
      <c r="I986" s="31"/>
      <c r="J986" s="31"/>
      <c r="K986" s="19"/>
      <c r="L986" s="19"/>
      <c r="M986" s="19"/>
      <c r="N986" s="31"/>
      <c r="O986" s="31"/>
      <c r="P986" s="19"/>
      <c r="Q986" s="19"/>
    </row>
    <row r="987" spans="1:17" ht="46.5" customHeight="1" x14ac:dyDescent="0.7">
      <c r="A987" s="19"/>
      <c r="B987" s="19"/>
      <c r="C987" s="19"/>
      <c r="D987" s="31"/>
      <c r="E987" s="31"/>
      <c r="F987" s="31"/>
      <c r="G987" s="31"/>
      <c r="H987" s="31"/>
      <c r="I987" s="31"/>
      <c r="J987" s="31"/>
      <c r="K987" s="19"/>
      <c r="L987" s="19"/>
      <c r="M987" s="19"/>
      <c r="N987" s="31"/>
      <c r="O987" s="31"/>
      <c r="P987" s="19"/>
      <c r="Q987" s="19"/>
    </row>
    <row r="988" spans="1:17" ht="46.5" customHeight="1" x14ac:dyDescent="0.7">
      <c r="A988" s="19"/>
      <c r="B988" s="19"/>
      <c r="C988" s="19"/>
      <c r="D988" s="31"/>
      <c r="E988" s="31"/>
      <c r="F988" s="31"/>
      <c r="G988" s="31"/>
      <c r="H988" s="31"/>
      <c r="I988" s="31"/>
      <c r="J988" s="31"/>
      <c r="K988" s="19"/>
      <c r="L988" s="19"/>
      <c r="M988" s="19"/>
      <c r="N988" s="31"/>
      <c r="O988" s="31"/>
      <c r="P988" s="19"/>
      <c r="Q988" s="19"/>
    </row>
    <row r="989" spans="1:17" ht="46.5" customHeight="1" x14ac:dyDescent="0.7">
      <c r="A989" s="19"/>
      <c r="B989" s="19"/>
      <c r="C989" s="19"/>
      <c r="D989" s="31"/>
      <c r="E989" s="31"/>
      <c r="F989" s="31"/>
      <c r="G989" s="31"/>
      <c r="H989" s="31"/>
      <c r="I989" s="31"/>
      <c r="J989" s="31"/>
      <c r="K989" s="19"/>
      <c r="L989" s="19"/>
      <c r="M989" s="19"/>
      <c r="N989" s="31"/>
      <c r="O989" s="31"/>
      <c r="P989" s="19"/>
      <c r="Q989" s="19"/>
    </row>
    <row r="990" spans="1:17" ht="46.5" customHeight="1" x14ac:dyDescent="0.7">
      <c r="A990" s="19"/>
      <c r="B990" s="19"/>
      <c r="C990" s="19"/>
      <c r="D990" s="31"/>
      <c r="E990" s="31"/>
      <c r="F990" s="31"/>
      <c r="G990" s="31"/>
      <c r="H990" s="31"/>
      <c r="I990" s="31"/>
      <c r="J990" s="31"/>
      <c r="K990" s="19"/>
      <c r="L990" s="19"/>
      <c r="M990" s="19"/>
      <c r="N990" s="31"/>
      <c r="O990" s="31"/>
      <c r="P990" s="19"/>
      <c r="Q990" s="19"/>
    </row>
    <row r="991" spans="1:17" ht="46.5" customHeight="1" x14ac:dyDescent="0.7">
      <c r="A991" s="19"/>
      <c r="B991" s="19"/>
      <c r="C991" s="19"/>
      <c r="D991" s="31"/>
      <c r="E991" s="31"/>
      <c r="F991" s="31"/>
      <c r="G991" s="31"/>
      <c r="H991" s="31"/>
      <c r="I991" s="31"/>
      <c r="J991" s="31"/>
      <c r="K991" s="19"/>
      <c r="L991" s="19"/>
      <c r="M991" s="19"/>
      <c r="N991" s="31"/>
      <c r="O991" s="31"/>
      <c r="P991" s="19"/>
      <c r="Q991" s="19"/>
    </row>
    <row r="992" spans="1:17" ht="46.5" customHeight="1" x14ac:dyDescent="0.7">
      <c r="A992" s="19"/>
      <c r="B992" s="19"/>
      <c r="C992" s="19"/>
      <c r="D992" s="31"/>
      <c r="E992" s="31"/>
      <c r="F992" s="31"/>
      <c r="G992" s="31"/>
      <c r="H992" s="31"/>
      <c r="I992" s="31"/>
      <c r="J992" s="31"/>
      <c r="K992" s="19"/>
      <c r="L992" s="19"/>
      <c r="M992" s="19"/>
      <c r="N992" s="31"/>
      <c r="O992" s="31"/>
      <c r="P992" s="19"/>
      <c r="Q992" s="19"/>
    </row>
    <row r="993" spans="1:17" ht="46.5" customHeight="1" x14ac:dyDescent="0.7">
      <c r="A993" s="19"/>
      <c r="B993" s="19"/>
      <c r="C993" s="19"/>
      <c r="D993" s="31"/>
      <c r="E993" s="31"/>
      <c r="F993" s="31"/>
      <c r="G993" s="31"/>
      <c r="H993" s="31"/>
      <c r="I993" s="31"/>
      <c r="J993" s="31"/>
      <c r="K993" s="19"/>
      <c r="L993" s="19"/>
      <c r="M993" s="19"/>
      <c r="N993" s="31"/>
      <c r="O993" s="31"/>
      <c r="P993" s="19"/>
      <c r="Q993" s="19"/>
    </row>
    <row r="994" spans="1:17" ht="46.5" customHeight="1" x14ac:dyDescent="0.7">
      <c r="A994" s="19"/>
      <c r="B994" s="19"/>
      <c r="C994" s="19"/>
      <c r="D994" s="31"/>
      <c r="E994" s="31"/>
      <c r="F994" s="31"/>
      <c r="G994" s="31"/>
      <c r="H994" s="31"/>
      <c r="I994" s="31"/>
      <c r="J994" s="31"/>
      <c r="K994" s="19"/>
      <c r="L994" s="19"/>
      <c r="M994" s="19"/>
      <c r="N994" s="31"/>
      <c r="O994" s="31"/>
      <c r="P994" s="19"/>
      <c r="Q994" s="19"/>
    </row>
    <row r="995" spans="1:17" ht="46.5" customHeight="1" x14ac:dyDescent="0.7">
      <c r="A995" s="19"/>
      <c r="B995" s="19"/>
      <c r="C995" s="19"/>
      <c r="D995" s="31"/>
      <c r="E995" s="31"/>
      <c r="F995" s="31"/>
      <c r="G995" s="31"/>
      <c r="H995" s="31"/>
      <c r="I995" s="31"/>
      <c r="J995" s="31"/>
      <c r="K995" s="19"/>
      <c r="L995" s="19"/>
      <c r="M995" s="19"/>
      <c r="N995" s="31"/>
      <c r="O995" s="31"/>
      <c r="P995" s="19"/>
      <c r="Q995" s="19"/>
    </row>
    <row r="996" spans="1:17" ht="46.5" customHeight="1" x14ac:dyDescent="0.7">
      <c r="A996" s="19"/>
      <c r="B996" s="19"/>
      <c r="C996" s="19"/>
      <c r="D996" s="31"/>
      <c r="E996" s="31"/>
      <c r="F996" s="31"/>
      <c r="G996" s="31"/>
      <c r="H996" s="31"/>
      <c r="I996" s="31"/>
      <c r="J996" s="31"/>
      <c r="K996" s="19"/>
      <c r="L996" s="19"/>
      <c r="M996" s="19"/>
      <c r="N996" s="31"/>
      <c r="O996" s="31"/>
      <c r="P996" s="19"/>
      <c r="Q996" s="19"/>
    </row>
    <row r="997" spans="1:17" ht="46.5" customHeight="1" x14ac:dyDescent="0.7">
      <c r="A997" s="19"/>
      <c r="B997" s="19"/>
      <c r="C997" s="19"/>
      <c r="D997" s="31"/>
      <c r="E997" s="31"/>
      <c r="F997" s="31"/>
      <c r="G997" s="31"/>
      <c r="H997" s="31"/>
      <c r="I997" s="31"/>
      <c r="J997" s="31"/>
      <c r="K997" s="19"/>
      <c r="L997" s="19"/>
      <c r="M997" s="19"/>
      <c r="N997" s="31"/>
      <c r="O997" s="31"/>
      <c r="P997" s="19"/>
      <c r="Q997" s="19"/>
    </row>
    <row r="998" spans="1:17" ht="46.5" customHeight="1" x14ac:dyDescent="0.7">
      <c r="A998" s="19"/>
      <c r="B998" s="19"/>
      <c r="C998" s="19"/>
      <c r="D998" s="31"/>
      <c r="E998" s="31"/>
      <c r="F998" s="31"/>
      <c r="G998" s="31"/>
      <c r="H998" s="31"/>
      <c r="I998" s="31"/>
      <c r="J998" s="31"/>
      <c r="K998" s="19"/>
      <c r="L998" s="19"/>
      <c r="M998" s="19"/>
      <c r="N998" s="31"/>
      <c r="O998" s="31"/>
      <c r="P998" s="19"/>
      <c r="Q998" s="19"/>
    </row>
    <row r="999" spans="1:17" ht="46.5" customHeight="1" x14ac:dyDescent="0.7">
      <c r="A999" s="19"/>
      <c r="B999" s="19"/>
      <c r="C999" s="19"/>
      <c r="D999" s="31"/>
      <c r="E999" s="31"/>
      <c r="F999" s="31"/>
      <c r="G999" s="31"/>
      <c r="H999" s="31"/>
      <c r="I999" s="31"/>
      <c r="J999" s="31"/>
      <c r="K999" s="19"/>
      <c r="L999" s="19"/>
      <c r="M999" s="19"/>
      <c r="N999" s="31"/>
      <c r="O999" s="31"/>
      <c r="P999" s="19"/>
      <c r="Q999" s="19"/>
    </row>
    <row r="1000" spans="1:17" ht="46.5" customHeight="1" x14ac:dyDescent="0.7">
      <c r="A1000" s="19"/>
      <c r="B1000" s="19"/>
      <c r="C1000" s="19"/>
      <c r="D1000" s="31"/>
      <c r="E1000" s="31"/>
      <c r="F1000" s="31"/>
      <c r="G1000" s="31"/>
      <c r="H1000" s="31"/>
      <c r="I1000" s="31"/>
      <c r="J1000" s="31"/>
      <c r="K1000" s="19"/>
      <c r="L1000" s="19"/>
      <c r="M1000" s="19"/>
      <c r="N1000" s="31"/>
      <c r="O1000" s="31"/>
      <c r="P1000" s="19"/>
      <c r="Q1000" s="19"/>
    </row>
  </sheetData>
  <mergeCells count="834">
    <mergeCell ref="P56:P57"/>
    <mergeCell ref="Q56:Q57"/>
    <mergeCell ref="H56:H57"/>
    <mergeCell ref="I56:I57"/>
    <mergeCell ref="J56:J57"/>
    <mergeCell ref="K56:K57"/>
    <mergeCell ref="L56:L57"/>
    <mergeCell ref="M56:M57"/>
    <mergeCell ref="N56:N57"/>
    <mergeCell ref="B56:B57"/>
    <mergeCell ref="C56:C57"/>
    <mergeCell ref="D56:D57"/>
    <mergeCell ref="E56:E57"/>
    <mergeCell ref="F56:F57"/>
    <mergeCell ref="G56:G57"/>
    <mergeCell ref="A58:C58"/>
    <mergeCell ref="N59:N60"/>
    <mergeCell ref="O59:O60"/>
    <mergeCell ref="A56:A57"/>
    <mergeCell ref="A59:A60"/>
    <mergeCell ref="B59:B60"/>
    <mergeCell ref="C59:C60"/>
    <mergeCell ref="D59:D60"/>
    <mergeCell ref="E59:E60"/>
    <mergeCell ref="F59:F60"/>
    <mergeCell ref="O56:O57"/>
    <mergeCell ref="P59:P60"/>
    <mergeCell ref="Q59:Q60"/>
    <mergeCell ref="Q61:Q62"/>
    <mergeCell ref="G59:G60"/>
    <mergeCell ref="H59:H60"/>
    <mergeCell ref="I59:I60"/>
    <mergeCell ref="J59:J60"/>
    <mergeCell ref="K59:K60"/>
    <mergeCell ref="L59:L60"/>
    <mergeCell ref="M59:M60"/>
    <mergeCell ref="O61:O62"/>
    <mergeCell ref="P61:P62"/>
    <mergeCell ref="H61:H62"/>
    <mergeCell ref="I61:I62"/>
    <mergeCell ref="J61:J62"/>
    <mergeCell ref="K61:K62"/>
    <mergeCell ref="L61:L62"/>
    <mergeCell ref="M61:M62"/>
    <mergeCell ref="N61:N62"/>
    <mergeCell ref="A61:A62"/>
    <mergeCell ref="B61:B62"/>
    <mergeCell ref="C61:C62"/>
    <mergeCell ref="D61:D62"/>
    <mergeCell ref="E61:E62"/>
    <mergeCell ref="F61:F62"/>
    <mergeCell ref="G61:G62"/>
    <mergeCell ref="O79:O80"/>
    <mergeCell ref="P79:P80"/>
    <mergeCell ref="H79:H80"/>
    <mergeCell ref="I79:I80"/>
    <mergeCell ref="J79:J80"/>
    <mergeCell ref="K79:K80"/>
    <mergeCell ref="L79:L80"/>
    <mergeCell ref="M79:M80"/>
    <mergeCell ref="N79:N80"/>
    <mergeCell ref="O75:O76"/>
    <mergeCell ref="P75:P76"/>
    <mergeCell ref="O77:O78"/>
    <mergeCell ref="P77:P78"/>
    <mergeCell ref="A77:A78"/>
    <mergeCell ref="B77:B78"/>
    <mergeCell ref="C77:C78"/>
    <mergeCell ref="D77:D78"/>
    <mergeCell ref="Q75:Q76"/>
    <mergeCell ref="H75:H76"/>
    <mergeCell ref="I75:I76"/>
    <mergeCell ref="J75:J76"/>
    <mergeCell ref="K75:K76"/>
    <mergeCell ref="L75:L76"/>
    <mergeCell ref="M75:M76"/>
    <mergeCell ref="N75:N76"/>
    <mergeCell ref="A75:A76"/>
    <mergeCell ref="B75:B76"/>
    <mergeCell ref="C75:C76"/>
    <mergeCell ref="D75:D76"/>
    <mergeCell ref="E75:E76"/>
    <mergeCell ref="F75:F76"/>
    <mergeCell ref="G75:G76"/>
    <mergeCell ref="Q77:Q78"/>
    <mergeCell ref="Q79:Q80"/>
    <mergeCell ref="H77:H78"/>
    <mergeCell ref="I77:I78"/>
    <mergeCell ref="J77:J78"/>
    <mergeCell ref="K77:K78"/>
    <mergeCell ref="L77:L78"/>
    <mergeCell ref="M77:M78"/>
    <mergeCell ref="N77:N78"/>
    <mergeCell ref="E77:E78"/>
    <mergeCell ref="F77:F78"/>
    <mergeCell ref="G77:G78"/>
    <mergeCell ref="A79:A80"/>
    <mergeCell ref="B79:B80"/>
    <mergeCell ref="C79:C80"/>
    <mergeCell ref="D79:D80"/>
    <mergeCell ref="E79:E80"/>
    <mergeCell ref="F79:F80"/>
    <mergeCell ref="G79:G80"/>
    <mergeCell ref="P81:P82"/>
    <mergeCell ref="Q81:Q82"/>
    <mergeCell ref="H81:H82"/>
    <mergeCell ref="I81:I82"/>
    <mergeCell ref="J81:J82"/>
    <mergeCell ref="K81:K82"/>
    <mergeCell ref="L81:L82"/>
    <mergeCell ref="M81:M82"/>
    <mergeCell ref="N81:N82"/>
    <mergeCell ref="B81:B82"/>
    <mergeCell ref="C81:C82"/>
    <mergeCell ref="D81:D82"/>
    <mergeCell ref="E81:E82"/>
    <mergeCell ref="F81:F82"/>
    <mergeCell ref="G81:G82"/>
    <mergeCell ref="A83:C83"/>
    <mergeCell ref="N84:N85"/>
    <mergeCell ref="O84:O85"/>
    <mergeCell ref="A81:A82"/>
    <mergeCell ref="A84:A85"/>
    <mergeCell ref="B84:B85"/>
    <mergeCell ref="C84:C85"/>
    <mergeCell ref="D84:D85"/>
    <mergeCell ref="E84:E85"/>
    <mergeCell ref="F84:F85"/>
    <mergeCell ref="O81:O82"/>
    <mergeCell ref="P84:P85"/>
    <mergeCell ref="Q84:Q85"/>
    <mergeCell ref="Q86:Q87"/>
    <mergeCell ref="G84:G85"/>
    <mergeCell ref="H84:H85"/>
    <mergeCell ref="I84:I85"/>
    <mergeCell ref="J84:J85"/>
    <mergeCell ref="K84:K85"/>
    <mergeCell ref="L84:L85"/>
    <mergeCell ref="M84:M85"/>
    <mergeCell ref="O86:O87"/>
    <mergeCell ref="P86:P87"/>
    <mergeCell ref="H86:H87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G86:G87"/>
    <mergeCell ref="O92:O93"/>
    <mergeCell ref="P92:P93"/>
    <mergeCell ref="H92:H93"/>
    <mergeCell ref="I92:I93"/>
    <mergeCell ref="J92:J93"/>
    <mergeCell ref="K92:K93"/>
    <mergeCell ref="L92:L93"/>
    <mergeCell ref="M92:M93"/>
    <mergeCell ref="N92:N93"/>
    <mergeCell ref="O88:O89"/>
    <mergeCell ref="P88:P89"/>
    <mergeCell ref="O90:O91"/>
    <mergeCell ref="P90:P91"/>
    <mergeCell ref="A90:A91"/>
    <mergeCell ref="B90:B91"/>
    <mergeCell ref="C90:C91"/>
    <mergeCell ref="D90:D91"/>
    <mergeCell ref="Q88:Q89"/>
    <mergeCell ref="H88:H89"/>
    <mergeCell ref="I88:I89"/>
    <mergeCell ref="J88:J89"/>
    <mergeCell ref="K88:K89"/>
    <mergeCell ref="L88:L89"/>
    <mergeCell ref="M88:M89"/>
    <mergeCell ref="N88:N89"/>
    <mergeCell ref="A88:A89"/>
    <mergeCell ref="B88:B89"/>
    <mergeCell ref="C88:C89"/>
    <mergeCell ref="D88:D89"/>
    <mergeCell ref="E88:E89"/>
    <mergeCell ref="F88:F89"/>
    <mergeCell ref="G88:G89"/>
    <mergeCell ref="Q90:Q91"/>
    <mergeCell ref="Q92:Q93"/>
    <mergeCell ref="H90:H91"/>
    <mergeCell ref="I90:I91"/>
    <mergeCell ref="J90:J91"/>
    <mergeCell ref="K90:K91"/>
    <mergeCell ref="L90:L91"/>
    <mergeCell ref="M90:M91"/>
    <mergeCell ref="N90:N91"/>
    <mergeCell ref="E90:E91"/>
    <mergeCell ref="F90:F91"/>
    <mergeCell ref="G90:G91"/>
    <mergeCell ref="A92:A93"/>
    <mergeCell ref="B92:B93"/>
    <mergeCell ref="C92:C93"/>
    <mergeCell ref="D92:D93"/>
    <mergeCell ref="E92:E93"/>
    <mergeCell ref="F92:F93"/>
    <mergeCell ref="G92:G93"/>
    <mergeCell ref="Q94:Q95"/>
    <mergeCell ref="H94:H95"/>
    <mergeCell ref="I94:I95"/>
    <mergeCell ref="J94:J95"/>
    <mergeCell ref="K94:K95"/>
    <mergeCell ref="L94:L95"/>
    <mergeCell ref="M94:M95"/>
    <mergeCell ref="N94:N95"/>
    <mergeCell ref="O98:O99"/>
    <mergeCell ref="P98:P99"/>
    <mergeCell ref="H98:H99"/>
    <mergeCell ref="I98:I99"/>
    <mergeCell ref="J98:J99"/>
    <mergeCell ref="K98:K99"/>
    <mergeCell ref="L98:L99"/>
    <mergeCell ref="M98:M99"/>
    <mergeCell ref="N98:N99"/>
    <mergeCell ref="Q96:Q97"/>
    <mergeCell ref="Q98:Q99"/>
    <mergeCell ref="N96:N97"/>
    <mergeCell ref="A94:A95"/>
    <mergeCell ref="B94:B95"/>
    <mergeCell ref="C94:C95"/>
    <mergeCell ref="D94:D95"/>
    <mergeCell ref="E94:E95"/>
    <mergeCell ref="F94:F95"/>
    <mergeCell ref="G94:G95"/>
    <mergeCell ref="O96:O97"/>
    <mergeCell ref="P96:P97"/>
    <mergeCell ref="A96:A97"/>
    <mergeCell ref="B96:B97"/>
    <mergeCell ref="C96:C97"/>
    <mergeCell ref="D96:D97"/>
    <mergeCell ref="E96:E97"/>
    <mergeCell ref="F96:F97"/>
    <mergeCell ref="G96:G97"/>
    <mergeCell ref="O94:O95"/>
    <mergeCell ref="P94:P95"/>
    <mergeCell ref="H96:H97"/>
    <mergeCell ref="I96:I97"/>
    <mergeCell ref="J96:J97"/>
    <mergeCell ref="K96:K97"/>
    <mergeCell ref="L96:L97"/>
    <mergeCell ref="M96:M97"/>
    <mergeCell ref="A98:A99"/>
    <mergeCell ref="B98:B99"/>
    <mergeCell ref="C98:C99"/>
    <mergeCell ref="D98:D99"/>
    <mergeCell ref="E98:E99"/>
    <mergeCell ref="F98:F99"/>
    <mergeCell ref="G98:G99"/>
    <mergeCell ref="O104:O105"/>
    <mergeCell ref="P104:P105"/>
    <mergeCell ref="H104:H105"/>
    <mergeCell ref="I104:I105"/>
    <mergeCell ref="J104:J105"/>
    <mergeCell ref="K104:K105"/>
    <mergeCell ref="L104:L105"/>
    <mergeCell ref="M104:M105"/>
    <mergeCell ref="N104:N105"/>
    <mergeCell ref="O100:O101"/>
    <mergeCell ref="P100:P101"/>
    <mergeCell ref="O102:O103"/>
    <mergeCell ref="P102:P103"/>
    <mergeCell ref="A102:A103"/>
    <mergeCell ref="B102:B103"/>
    <mergeCell ref="C102:C103"/>
    <mergeCell ref="D102:D103"/>
    <mergeCell ref="Q100:Q101"/>
    <mergeCell ref="H100:H101"/>
    <mergeCell ref="I100:I101"/>
    <mergeCell ref="J100:J101"/>
    <mergeCell ref="K100:K101"/>
    <mergeCell ref="L100:L101"/>
    <mergeCell ref="M100:M101"/>
    <mergeCell ref="N100:N101"/>
    <mergeCell ref="A100:A101"/>
    <mergeCell ref="B100:B101"/>
    <mergeCell ref="C100:C101"/>
    <mergeCell ref="D100:D101"/>
    <mergeCell ref="E100:E101"/>
    <mergeCell ref="F100:F101"/>
    <mergeCell ref="G100:G101"/>
    <mergeCell ref="Q102:Q103"/>
    <mergeCell ref="Q104:Q105"/>
    <mergeCell ref="H102:H103"/>
    <mergeCell ref="I102:I103"/>
    <mergeCell ref="J102:J103"/>
    <mergeCell ref="K102:K103"/>
    <mergeCell ref="L102:L103"/>
    <mergeCell ref="M102:M103"/>
    <mergeCell ref="N102:N103"/>
    <mergeCell ref="E102:E103"/>
    <mergeCell ref="F102:F103"/>
    <mergeCell ref="G102:G103"/>
    <mergeCell ref="A104:A105"/>
    <mergeCell ref="B104:B105"/>
    <mergeCell ref="C104:C105"/>
    <mergeCell ref="D104:D105"/>
    <mergeCell ref="E104:E105"/>
    <mergeCell ref="F104:F105"/>
    <mergeCell ref="G104:G105"/>
    <mergeCell ref="J6:J7"/>
    <mergeCell ref="N6:N7"/>
    <mergeCell ref="K7:M7"/>
    <mergeCell ref="O6:O7"/>
    <mergeCell ref="P6:P7"/>
    <mergeCell ref="A1:P5"/>
    <mergeCell ref="Q1:Q5"/>
    <mergeCell ref="A6:A7"/>
    <mergeCell ref="B6:B7"/>
    <mergeCell ref="D6:H6"/>
    <mergeCell ref="I6:I7"/>
    <mergeCell ref="Q6:Q7"/>
    <mergeCell ref="C6:C7"/>
    <mergeCell ref="M9:M10"/>
    <mergeCell ref="N9:N10"/>
    <mergeCell ref="O9:O10"/>
    <mergeCell ref="P9:P10"/>
    <mergeCell ref="Q9:Q10"/>
    <mergeCell ref="Q11:Q12"/>
    <mergeCell ref="F9:F10"/>
    <mergeCell ref="G9:G10"/>
    <mergeCell ref="H9:H10"/>
    <mergeCell ref="I9:I10"/>
    <mergeCell ref="J9:J10"/>
    <mergeCell ref="K9:K10"/>
    <mergeCell ref="L9:L10"/>
    <mergeCell ref="F11:F12"/>
    <mergeCell ref="G11:G12"/>
    <mergeCell ref="O11:O12"/>
    <mergeCell ref="P11:P12"/>
    <mergeCell ref="H11:H12"/>
    <mergeCell ref="I11:I12"/>
    <mergeCell ref="J11:J12"/>
    <mergeCell ref="K11:K12"/>
    <mergeCell ref="L11:L12"/>
    <mergeCell ref="M11:M12"/>
    <mergeCell ref="N11:N12"/>
    <mergeCell ref="A8:C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Q13:Q14"/>
    <mergeCell ref="H13:H14"/>
    <mergeCell ref="I13:I14"/>
    <mergeCell ref="J13:J14"/>
    <mergeCell ref="K13:K14"/>
    <mergeCell ref="L13:L14"/>
    <mergeCell ref="M13:M14"/>
    <mergeCell ref="N13:N14"/>
    <mergeCell ref="O17:O18"/>
    <mergeCell ref="P17:P18"/>
    <mergeCell ref="H17:H18"/>
    <mergeCell ref="I17:I18"/>
    <mergeCell ref="J17:J18"/>
    <mergeCell ref="K17:K18"/>
    <mergeCell ref="L17:L18"/>
    <mergeCell ref="M17:M18"/>
    <mergeCell ref="N17:N18"/>
    <mergeCell ref="Q15:Q16"/>
    <mergeCell ref="Q17:Q18"/>
    <mergeCell ref="N15:N16"/>
    <mergeCell ref="A13:A14"/>
    <mergeCell ref="B13:B14"/>
    <mergeCell ref="C13:C14"/>
    <mergeCell ref="D13:D14"/>
    <mergeCell ref="E13:E14"/>
    <mergeCell ref="F13:F14"/>
    <mergeCell ref="G13:G14"/>
    <mergeCell ref="O15:O16"/>
    <mergeCell ref="P15:P16"/>
    <mergeCell ref="A15:A16"/>
    <mergeCell ref="B15:B16"/>
    <mergeCell ref="C15:C16"/>
    <mergeCell ref="D15:D16"/>
    <mergeCell ref="E15:E16"/>
    <mergeCell ref="F15:F16"/>
    <mergeCell ref="G15:G16"/>
    <mergeCell ref="O13:O14"/>
    <mergeCell ref="P13:P14"/>
    <mergeCell ref="H15:H16"/>
    <mergeCell ref="I15:I16"/>
    <mergeCell ref="J15:J16"/>
    <mergeCell ref="K15:K16"/>
    <mergeCell ref="L15:L16"/>
    <mergeCell ref="M15:M16"/>
    <mergeCell ref="A17:A18"/>
    <mergeCell ref="B17:B18"/>
    <mergeCell ref="C17:C18"/>
    <mergeCell ref="D17:D18"/>
    <mergeCell ref="E17:E18"/>
    <mergeCell ref="F17:F18"/>
    <mergeCell ref="G17:G18"/>
    <mergeCell ref="O23:O24"/>
    <mergeCell ref="P23:P24"/>
    <mergeCell ref="H23:H24"/>
    <mergeCell ref="I23:I24"/>
    <mergeCell ref="J23:J24"/>
    <mergeCell ref="K23:K24"/>
    <mergeCell ref="L23:L24"/>
    <mergeCell ref="M23:M24"/>
    <mergeCell ref="N23:N24"/>
    <mergeCell ref="O19:O20"/>
    <mergeCell ref="P19:P20"/>
    <mergeCell ref="O21:O22"/>
    <mergeCell ref="P21:P22"/>
    <mergeCell ref="A21:A22"/>
    <mergeCell ref="B21:B22"/>
    <mergeCell ref="C21:C22"/>
    <mergeCell ref="D21:D22"/>
    <mergeCell ref="Q19:Q20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Q21:Q22"/>
    <mergeCell ref="Q23:Q24"/>
    <mergeCell ref="H21:H22"/>
    <mergeCell ref="I21:I22"/>
    <mergeCell ref="J21:J22"/>
    <mergeCell ref="K21:K22"/>
    <mergeCell ref="L21:L22"/>
    <mergeCell ref="M21:M22"/>
    <mergeCell ref="N21:N22"/>
    <mergeCell ref="E21:E22"/>
    <mergeCell ref="F21:F22"/>
    <mergeCell ref="G21:G22"/>
    <mergeCell ref="A23:A24"/>
    <mergeCell ref="B23:B24"/>
    <mergeCell ref="C23:C24"/>
    <mergeCell ref="D23:D24"/>
    <mergeCell ref="E23:E24"/>
    <mergeCell ref="F23:F24"/>
    <mergeCell ref="G23:G24"/>
    <mergeCell ref="A106:A107"/>
    <mergeCell ref="B106:B107"/>
    <mergeCell ref="C106:C107"/>
    <mergeCell ref="D106:D107"/>
    <mergeCell ref="E106:E107"/>
    <mergeCell ref="F106:F107"/>
    <mergeCell ref="G106:G107"/>
    <mergeCell ref="A108:C108"/>
    <mergeCell ref="O106:O107"/>
    <mergeCell ref="P106:P107"/>
    <mergeCell ref="Q106:Q107"/>
    <mergeCell ref="H106:H107"/>
    <mergeCell ref="I106:I107"/>
    <mergeCell ref="J106:J107"/>
    <mergeCell ref="K106:K107"/>
    <mergeCell ref="L106:L107"/>
    <mergeCell ref="M106:M107"/>
    <mergeCell ref="N106:N107"/>
    <mergeCell ref="Q25:Q26"/>
    <mergeCell ref="H25:H26"/>
    <mergeCell ref="I25:I26"/>
    <mergeCell ref="J25:J26"/>
    <mergeCell ref="K25:K26"/>
    <mergeCell ref="L25:L26"/>
    <mergeCell ref="M25:M26"/>
    <mergeCell ref="N25:N26"/>
    <mergeCell ref="O29:O30"/>
    <mergeCell ref="P29:P30"/>
    <mergeCell ref="H29:H30"/>
    <mergeCell ref="I29:I30"/>
    <mergeCell ref="J29:J30"/>
    <mergeCell ref="K29:K30"/>
    <mergeCell ref="L29:L30"/>
    <mergeCell ref="M29:M30"/>
    <mergeCell ref="N29:N30"/>
    <mergeCell ref="Q27:Q28"/>
    <mergeCell ref="Q29:Q30"/>
    <mergeCell ref="N27:N28"/>
    <mergeCell ref="A25:A26"/>
    <mergeCell ref="B25:B26"/>
    <mergeCell ref="C25:C26"/>
    <mergeCell ref="D25:D26"/>
    <mergeCell ref="E25:E26"/>
    <mergeCell ref="F25:F26"/>
    <mergeCell ref="G25:G26"/>
    <mergeCell ref="O27:O28"/>
    <mergeCell ref="P27:P28"/>
    <mergeCell ref="A27:A28"/>
    <mergeCell ref="B27:B28"/>
    <mergeCell ref="C27:C28"/>
    <mergeCell ref="D27:D28"/>
    <mergeCell ref="E27:E28"/>
    <mergeCell ref="F27:F28"/>
    <mergeCell ref="G27:G28"/>
    <mergeCell ref="O25:O26"/>
    <mergeCell ref="P25:P26"/>
    <mergeCell ref="H27:H28"/>
    <mergeCell ref="I27:I28"/>
    <mergeCell ref="J27:J28"/>
    <mergeCell ref="K27:K28"/>
    <mergeCell ref="L27:L28"/>
    <mergeCell ref="M27:M28"/>
    <mergeCell ref="A29:A30"/>
    <mergeCell ref="B29:B30"/>
    <mergeCell ref="C29:C30"/>
    <mergeCell ref="D29:D30"/>
    <mergeCell ref="E29:E30"/>
    <mergeCell ref="F29:F30"/>
    <mergeCell ref="G29:G30"/>
    <mergeCell ref="O36:O37"/>
    <mergeCell ref="P36:P37"/>
    <mergeCell ref="H36:H37"/>
    <mergeCell ref="I36:I37"/>
    <mergeCell ref="J36:J37"/>
    <mergeCell ref="K36:K37"/>
    <mergeCell ref="L36:L37"/>
    <mergeCell ref="M36:M37"/>
    <mergeCell ref="N36:N37"/>
    <mergeCell ref="O31:O32"/>
    <mergeCell ref="P31:P32"/>
    <mergeCell ref="A33:C33"/>
    <mergeCell ref="N34:N35"/>
    <mergeCell ref="O34:O35"/>
    <mergeCell ref="P34:P35"/>
    <mergeCell ref="A31:A32"/>
    <mergeCell ref="A34:A35"/>
    <mergeCell ref="Q31:Q32"/>
    <mergeCell ref="H31:H32"/>
    <mergeCell ref="I31:I32"/>
    <mergeCell ref="J31:J32"/>
    <mergeCell ref="K31:K32"/>
    <mergeCell ref="L31:L32"/>
    <mergeCell ref="M31:M32"/>
    <mergeCell ref="N31:N32"/>
    <mergeCell ref="B31:B32"/>
    <mergeCell ref="C31:C32"/>
    <mergeCell ref="D31:D32"/>
    <mergeCell ref="E31:E32"/>
    <mergeCell ref="F31:F32"/>
    <mergeCell ref="G31:G32"/>
    <mergeCell ref="Q34:Q35"/>
    <mergeCell ref="Q36:Q37"/>
    <mergeCell ref="G34:G35"/>
    <mergeCell ref="H34:H35"/>
    <mergeCell ref="I34:I35"/>
    <mergeCell ref="J34:J35"/>
    <mergeCell ref="K34:K35"/>
    <mergeCell ref="L34:L35"/>
    <mergeCell ref="M34:M35"/>
    <mergeCell ref="G36:G37"/>
    <mergeCell ref="B34:B35"/>
    <mergeCell ref="C34:C35"/>
    <mergeCell ref="D34:D35"/>
    <mergeCell ref="E34:E35"/>
    <mergeCell ref="F34:F35"/>
    <mergeCell ref="A36:A37"/>
    <mergeCell ref="B36:B37"/>
    <mergeCell ref="C36:C37"/>
    <mergeCell ref="D36:D37"/>
    <mergeCell ref="E36:E37"/>
    <mergeCell ref="F36:F37"/>
    <mergeCell ref="Q38:Q39"/>
    <mergeCell ref="H38:H39"/>
    <mergeCell ref="I38:I39"/>
    <mergeCell ref="J38:J39"/>
    <mergeCell ref="K38:K39"/>
    <mergeCell ref="L38:L39"/>
    <mergeCell ref="M38:M39"/>
    <mergeCell ref="N38:N39"/>
    <mergeCell ref="O42:O43"/>
    <mergeCell ref="P42:P43"/>
    <mergeCell ref="H42:H43"/>
    <mergeCell ref="I42:I43"/>
    <mergeCell ref="J42:J43"/>
    <mergeCell ref="K42:K43"/>
    <mergeCell ref="L42:L43"/>
    <mergeCell ref="M42:M43"/>
    <mergeCell ref="N42:N43"/>
    <mergeCell ref="Q40:Q41"/>
    <mergeCell ref="Q42:Q43"/>
    <mergeCell ref="N40:N41"/>
    <mergeCell ref="A38:A39"/>
    <mergeCell ref="B38:B39"/>
    <mergeCell ref="C38:C39"/>
    <mergeCell ref="D38:D39"/>
    <mergeCell ref="E38:E39"/>
    <mergeCell ref="F38:F39"/>
    <mergeCell ref="G38:G39"/>
    <mergeCell ref="O40:O41"/>
    <mergeCell ref="P40:P41"/>
    <mergeCell ref="A40:A41"/>
    <mergeCell ref="B40:B41"/>
    <mergeCell ref="C40:C41"/>
    <mergeCell ref="D40:D41"/>
    <mergeCell ref="E40:E41"/>
    <mergeCell ref="F40:F41"/>
    <mergeCell ref="G40:G41"/>
    <mergeCell ref="O38:O39"/>
    <mergeCell ref="P38:P39"/>
    <mergeCell ref="H40:H41"/>
    <mergeCell ref="I40:I41"/>
    <mergeCell ref="J40:J41"/>
    <mergeCell ref="K40:K41"/>
    <mergeCell ref="L40:L41"/>
    <mergeCell ref="M40:M41"/>
    <mergeCell ref="A42:A43"/>
    <mergeCell ref="B42:B43"/>
    <mergeCell ref="C42:C43"/>
    <mergeCell ref="D42:D43"/>
    <mergeCell ref="E42:E43"/>
    <mergeCell ref="F42:F43"/>
    <mergeCell ref="G42:G43"/>
    <mergeCell ref="O48:O49"/>
    <mergeCell ref="P48:P49"/>
    <mergeCell ref="H48:H49"/>
    <mergeCell ref="I48:I49"/>
    <mergeCell ref="J48:J49"/>
    <mergeCell ref="K48:K49"/>
    <mergeCell ref="L48:L49"/>
    <mergeCell ref="M48:M49"/>
    <mergeCell ref="N48:N49"/>
    <mergeCell ref="O44:O45"/>
    <mergeCell ref="P44:P45"/>
    <mergeCell ref="O46:O47"/>
    <mergeCell ref="P46:P47"/>
    <mergeCell ref="A46:A47"/>
    <mergeCell ref="B46:B47"/>
    <mergeCell ref="C46:C47"/>
    <mergeCell ref="D46:D47"/>
    <mergeCell ref="Q44:Q45"/>
    <mergeCell ref="H44:H45"/>
    <mergeCell ref="I44:I45"/>
    <mergeCell ref="J44:J45"/>
    <mergeCell ref="K44:K45"/>
    <mergeCell ref="L44:L45"/>
    <mergeCell ref="M44:M45"/>
    <mergeCell ref="N44:N45"/>
    <mergeCell ref="A44:A45"/>
    <mergeCell ref="B44:B45"/>
    <mergeCell ref="C44:C45"/>
    <mergeCell ref="D44:D45"/>
    <mergeCell ref="E44:E45"/>
    <mergeCell ref="F44:F45"/>
    <mergeCell ref="G44:G45"/>
    <mergeCell ref="Q46:Q47"/>
    <mergeCell ref="Q48:Q49"/>
    <mergeCell ref="H46:H47"/>
    <mergeCell ref="I46:I47"/>
    <mergeCell ref="J46:J47"/>
    <mergeCell ref="K46:K47"/>
    <mergeCell ref="L46:L47"/>
    <mergeCell ref="M46:M47"/>
    <mergeCell ref="N46:N47"/>
    <mergeCell ref="E46:E47"/>
    <mergeCell ref="F46:F47"/>
    <mergeCell ref="G46:G47"/>
    <mergeCell ref="A48:A49"/>
    <mergeCell ref="B48:B49"/>
    <mergeCell ref="C48:C49"/>
    <mergeCell ref="D48:D49"/>
    <mergeCell ref="E48:E49"/>
    <mergeCell ref="F48:F49"/>
    <mergeCell ref="G48:G49"/>
    <mergeCell ref="Q50:Q51"/>
    <mergeCell ref="H50:H51"/>
    <mergeCell ref="I50:I51"/>
    <mergeCell ref="J50:J51"/>
    <mergeCell ref="K50:K51"/>
    <mergeCell ref="L50:L51"/>
    <mergeCell ref="M50:M51"/>
    <mergeCell ref="N50:N51"/>
    <mergeCell ref="O54:O55"/>
    <mergeCell ref="P54:P55"/>
    <mergeCell ref="H54:H55"/>
    <mergeCell ref="I54:I55"/>
    <mergeCell ref="J54:J55"/>
    <mergeCell ref="K54:K55"/>
    <mergeCell ref="L54:L55"/>
    <mergeCell ref="M54:M55"/>
    <mergeCell ref="N54:N55"/>
    <mergeCell ref="Q52:Q53"/>
    <mergeCell ref="Q54:Q55"/>
    <mergeCell ref="N52:N53"/>
    <mergeCell ref="A50:A51"/>
    <mergeCell ref="B50:B51"/>
    <mergeCell ref="C50:C51"/>
    <mergeCell ref="D50:D51"/>
    <mergeCell ref="E50:E51"/>
    <mergeCell ref="F50:F51"/>
    <mergeCell ref="G50:G51"/>
    <mergeCell ref="O52:O53"/>
    <mergeCell ref="P52:P53"/>
    <mergeCell ref="A52:A53"/>
    <mergeCell ref="B52:B53"/>
    <mergeCell ref="C52:C53"/>
    <mergeCell ref="D52:D53"/>
    <mergeCell ref="E52:E53"/>
    <mergeCell ref="F52:F53"/>
    <mergeCell ref="G52:G53"/>
    <mergeCell ref="O50:O51"/>
    <mergeCell ref="P50:P51"/>
    <mergeCell ref="H52:H53"/>
    <mergeCell ref="I52:I53"/>
    <mergeCell ref="J52:J53"/>
    <mergeCell ref="K52:K53"/>
    <mergeCell ref="L52:L53"/>
    <mergeCell ref="M52:M53"/>
    <mergeCell ref="A54:A55"/>
    <mergeCell ref="B54:B55"/>
    <mergeCell ref="C54:C55"/>
    <mergeCell ref="D54:D55"/>
    <mergeCell ref="E54:E55"/>
    <mergeCell ref="F54:F55"/>
    <mergeCell ref="G54:G55"/>
    <mergeCell ref="O67:O68"/>
    <mergeCell ref="P67:P68"/>
    <mergeCell ref="H67:H68"/>
    <mergeCell ref="I67:I68"/>
    <mergeCell ref="J67:J68"/>
    <mergeCell ref="K67:K68"/>
    <mergeCell ref="L67:L68"/>
    <mergeCell ref="M67:M68"/>
    <mergeCell ref="N67:N68"/>
    <mergeCell ref="O63:O64"/>
    <mergeCell ref="P63:P64"/>
    <mergeCell ref="O65:O66"/>
    <mergeCell ref="P65:P66"/>
    <mergeCell ref="A65:A66"/>
    <mergeCell ref="B65:B66"/>
    <mergeCell ref="C65:C66"/>
    <mergeCell ref="D65:D66"/>
    <mergeCell ref="Q63:Q64"/>
    <mergeCell ref="H63:H64"/>
    <mergeCell ref="I63:I64"/>
    <mergeCell ref="J63:J64"/>
    <mergeCell ref="K63:K64"/>
    <mergeCell ref="L63:L64"/>
    <mergeCell ref="M63:M64"/>
    <mergeCell ref="N63:N64"/>
    <mergeCell ref="A63:A64"/>
    <mergeCell ref="B63:B64"/>
    <mergeCell ref="C63:C64"/>
    <mergeCell ref="D63:D64"/>
    <mergeCell ref="E63:E64"/>
    <mergeCell ref="F63:F64"/>
    <mergeCell ref="G63:G64"/>
    <mergeCell ref="Q65:Q66"/>
    <mergeCell ref="Q67:Q68"/>
    <mergeCell ref="H65:H66"/>
    <mergeCell ref="I65:I66"/>
    <mergeCell ref="J65:J66"/>
    <mergeCell ref="K65:K66"/>
    <mergeCell ref="L65:L66"/>
    <mergeCell ref="M65:M66"/>
    <mergeCell ref="N65:N66"/>
    <mergeCell ref="E65:E66"/>
    <mergeCell ref="F65:F66"/>
    <mergeCell ref="G65:G66"/>
    <mergeCell ref="A67:A68"/>
    <mergeCell ref="B67:B68"/>
    <mergeCell ref="C67:C68"/>
    <mergeCell ref="D67:D68"/>
    <mergeCell ref="E67:E68"/>
    <mergeCell ref="F67:F68"/>
    <mergeCell ref="G67:G68"/>
    <mergeCell ref="Q69:Q70"/>
    <mergeCell ref="H69:H70"/>
    <mergeCell ref="I69:I70"/>
    <mergeCell ref="J69:J70"/>
    <mergeCell ref="K69:K70"/>
    <mergeCell ref="L69:L70"/>
    <mergeCell ref="M69:M70"/>
    <mergeCell ref="N69:N70"/>
    <mergeCell ref="O73:O74"/>
    <mergeCell ref="P73:P74"/>
    <mergeCell ref="H73:H74"/>
    <mergeCell ref="I73:I74"/>
    <mergeCell ref="J73:J74"/>
    <mergeCell ref="K73:K74"/>
    <mergeCell ref="L73:L74"/>
    <mergeCell ref="M73:M74"/>
    <mergeCell ref="N73:N74"/>
    <mergeCell ref="A69:A70"/>
    <mergeCell ref="B69:B70"/>
    <mergeCell ref="C69:C70"/>
    <mergeCell ref="D69:D70"/>
    <mergeCell ref="E69:E70"/>
    <mergeCell ref="F69:F70"/>
    <mergeCell ref="G69:G70"/>
    <mergeCell ref="O71:O72"/>
    <mergeCell ref="P71:P72"/>
    <mergeCell ref="A71:A72"/>
    <mergeCell ref="B71:B72"/>
    <mergeCell ref="C71:C72"/>
    <mergeCell ref="D71:D72"/>
    <mergeCell ref="E71:E72"/>
    <mergeCell ref="F71:F72"/>
    <mergeCell ref="G71:G72"/>
    <mergeCell ref="O69:O70"/>
    <mergeCell ref="P69:P70"/>
    <mergeCell ref="A73:A74"/>
    <mergeCell ref="B73:B74"/>
    <mergeCell ref="C73:C74"/>
    <mergeCell ref="D73:D74"/>
    <mergeCell ref="E73:E74"/>
    <mergeCell ref="F73:F74"/>
    <mergeCell ref="G73:G74"/>
    <mergeCell ref="Q71:Q72"/>
    <mergeCell ref="Q73:Q74"/>
    <mergeCell ref="H71:H72"/>
    <mergeCell ref="I71:I72"/>
    <mergeCell ref="J71:J72"/>
    <mergeCell ref="K71:K72"/>
    <mergeCell ref="L71:L72"/>
    <mergeCell ref="M71:M72"/>
    <mergeCell ref="N71:N72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>
      <selection sqref="A1:P5"/>
    </sheetView>
  </sheetViews>
  <sheetFormatPr defaultColWidth="14.42578125" defaultRowHeight="15" customHeight="1" x14ac:dyDescent="0.25"/>
  <cols>
    <col min="1" max="1" width="40.28515625" customWidth="1"/>
    <col min="2" max="2" width="35.5703125" customWidth="1"/>
    <col min="3" max="3" width="18.7109375" customWidth="1"/>
    <col min="4" max="4" width="63.140625" customWidth="1"/>
    <col min="5" max="5" width="59.28515625" customWidth="1"/>
    <col min="6" max="6" width="49.28515625" customWidth="1"/>
    <col min="7" max="7" width="44.85546875" customWidth="1"/>
    <col min="8" max="8" width="57.42578125" customWidth="1"/>
    <col min="9" max="9" width="99.5703125" customWidth="1"/>
    <col min="10" max="10" width="75" customWidth="1"/>
    <col min="11" max="11" width="28.85546875" hidden="1" customWidth="1"/>
    <col min="12" max="12" width="51.85546875" hidden="1" customWidth="1"/>
    <col min="13" max="13" width="31.7109375" hidden="1" customWidth="1"/>
    <col min="14" max="14" width="31.140625" customWidth="1"/>
    <col min="15" max="15" width="57.5703125" customWidth="1"/>
    <col min="16" max="16" width="26.5703125" customWidth="1"/>
    <col min="17" max="17" width="97.7109375" customWidth="1"/>
    <col min="18" max="26" width="8.7109375" customWidth="1"/>
  </cols>
  <sheetData>
    <row r="1" spans="1:17" ht="46.5" customHeight="1" x14ac:dyDescent="0.25">
      <c r="A1" s="121" t="s">
        <v>65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5"/>
      <c r="Q1" s="122"/>
    </row>
    <row r="2" spans="1:17" ht="46.5" customHeight="1" x14ac:dyDescent="0.25">
      <c r="A2" s="9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97"/>
      <c r="Q2" s="82"/>
    </row>
    <row r="3" spans="1:17" ht="46.5" customHeight="1" x14ac:dyDescent="0.25">
      <c r="A3" s="96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97"/>
      <c r="Q3" s="82"/>
    </row>
    <row r="4" spans="1:17" ht="46.5" customHeight="1" x14ac:dyDescent="0.25">
      <c r="A4" s="9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97"/>
      <c r="Q4" s="82"/>
    </row>
    <row r="5" spans="1:17" ht="184.5" customHeight="1" x14ac:dyDescent="0.25">
      <c r="A5" s="152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153"/>
      <c r="Q5" s="82"/>
    </row>
    <row r="6" spans="1:17" ht="75" customHeight="1" x14ac:dyDescent="0.25">
      <c r="A6" s="127" t="s">
        <v>1</v>
      </c>
      <c r="B6" s="127" t="s">
        <v>2</v>
      </c>
      <c r="C6" s="127" t="s">
        <v>3</v>
      </c>
      <c r="D6" s="154" t="s">
        <v>58</v>
      </c>
      <c r="E6" s="64"/>
      <c r="F6" s="64"/>
      <c r="G6" s="64"/>
      <c r="H6" s="65"/>
      <c r="I6" s="125" t="s">
        <v>5</v>
      </c>
      <c r="J6" s="125" t="s">
        <v>6</v>
      </c>
      <c r="K6" s="47"/>
      <c r="L6" s="47"/>
      <c r="M6" s="47"/>
      <c r="N6" s="118" t="s">
        <v>8</v>
      </c>
      <c r="O6" s="118" t="s">
        <v>9</v>
      </c>
      <c r="P6" s="151" t="s">
        <v>10</v>
      </c>
      <c r="Q6" s="155" t="s">
        <v>11</v>
      </c>
    </row>
    <row r="7" spans="1:17" ht="67.5" customHeight="1" x14ac:dyDescent="0.25">
      <c r="A7" s="62"/>
      <c r="B7" s="62"/>
      <c r="C7" s="62"/>
      <c r="D7" s="48" t="s">
        <v>12</v>
      </c>
      <c r="E7" s="48" t="s">
        <v>13</v>
      </c>
      <c r="F7" s="48" t="s">
        <v>14</v>
      </c>
      <c r="G7" s="48" t="s">
        <v>15</v>
      </c>
      <c r="H7" s="48" t="s">
        <v>16</v>
      </c>
      <c r="I7" s="62"/>
      <c r="J7" s="62"/>
      <c r="K7" s="150" t="s">
        <v>7</v>
      </c>
      <c r="L7" s="64"/>
      <c r="M7" s="65"/>
      <c r="N7" s="62"/>
      <c r="O7" s="62"/>
      <c r="P7" s="62"/>
      <c r="Q7" s="62"/>
    </row>
    <row r="8" spans="1:17" ht="46.5" hidden="1" customHeight="1" x14ac:dyDescent="0.25">
      <c r="A8" s="114" t="s">
        <v>20</v>
      </c>
      <c r="B8" s="64"/>
      <c r="C8" s="65"/>
      <c r="D8" s="24">
        <f t="shared" ref="D8:I8" si="0">SUBTOTAL(9,D9:D26)</f>
        <v>8567580</v>
      </c>
      <c r="E8" s="24">
        <f t="shared" si="0"/>
        <v>8591268</v>
      </c>
      <c r="F8" s="24">
        <f t="shared" si="0"/>
        <v>44557663</v>
      </c>
      <c r="G8" s="24">
        <f t="shared" si="0"/>
        <v>39679269</v>
      </c>
      <c r="H8" s="24">
        <f t="shared" si="0"/>
        <v>25687057</v>
      </c>
      <c r="I8" s="24">
        <f t="shared" si="0"/>
        <v>111612800</v>
      </c>
      <c r="J8" s="24">
        <f>SUBTOTAL(9,J9:M26)</f>
        <v>127082837</v>
      </c>
      <c r="K8" s="24">
        <f>SUBTOTAL(9,K9:K24)</f>
        <v>0</v>
      </c>
      <c r="L8" s="24">
        <f>SUBTOTAL(9,L9:L24)</f>
        <v>0</v>
      </c>
      <c r="M8" s="24">
        <f>SUBTOTAL(9,M9:M24)</f>
        <v>0</v>
      </c>
      <c r="N8" s="24">
        <f>SUBTOTAL(9,N9:N24)</f>
        <v>93</v>
      </c>
      <c r="O8" s="24">
        <f>J8/N8</f>
        <v>1366482.1182795698</v>
      </c>
      <c r="P8" s="24">
        <f>SUBTOTAL(9,P9:P24)</f>
        <v>30</v>
      </c>
      <c r="Q8" s="24"/>
    </row>
    <row r="9" spans="1:17" ht="24" hidden="1" customHeight="1" x14ac:dyDescent="0.25">
      <c r="A9" s="111">
        <v>45689</v>
      </c>
      <c r="B9" s="113" t="s">
        <v>25</v>
      </c>
      <c r="C9" s="113" t="s">
        <v>22</v>
      </c>
      <c r="D9" s="109"/>
      <c r="E9" s="109">
        <v>1667190</v>
      </c>
      <c r="F9" s="109">
        <v>6818658</v>
      </c>
      <c r="G9" s="109">
        <v>5784972</v>
      </c>
      <c r="H9" s="109"/>
      <c r="I9" s="109">
        <v>12544450</v>
      </c>
      <c r="J9" s="109">
        <f>SUM(D9:H10)</f>
        <v>14270820</v>
      </c>
      <c r="K9" s="109"/>
      <c r="L9" s="109"/>
      <c r="M9" s="109"/>
      <c r="N9" s="109">
        <v>16</v>
      </c>
      <c r="O9" s="109">
        <f>J9/N9</f>
        <v>891926.25</v>
      </c>
      <c r="P9" s="109">
        <v>11</v>
      </c>
      <c r="Q9" s="109"/>
    </row>
    <row r="10" spans="1:17" ht="24" hidden="1" customHeight="1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1:17" ht="24" hidden="1" customHeight="1" x14ac:dyDescent="0.25">
      <c r="A11" s="111">
        <v>45690</v>
      </c>
      <c r="B11" s="113" t="s">
        <v>60</v>
      </c>
      <c r="C11" s="113" t="s">
        <v>22</v>
      </c>
      <c r="D11" s="109"/>
      <c r="E11" s="109">
        <v>2118312</v>
      </c>
      <c r="F11" s="109">
        <v>3455865</v>
      </c>
      <c r="G11" s="109">
        <v>872046</v>
      </c>
      <c r="H11" s="109"/>
      <c r="I11" s="109">
        <v>5684500</v>
      </c>
      <c r="J11" s="109">
        <f>SUM(D11:H12)</f>
        <v>6446223</v>
      </c>
      <c r="K11" s="109"/>
      <c r="L11" s="109"/>
      <c r="M11" s="109"/>
      <c r="N11" s="109">
        <v>9</v>
      </c>
      <c r="O11" s="109">
        <f>J11/N11</f>
        <v>716247</v>
      </c>
      <c r="P11" s="109">
        <v>3</v>
      </c>
      <c r="Q11" s="109" t="s">
        <v>59</v>
      </c>
    </row>
    <row r="12" spans="1:17" ht="24" hidden="1" customHeight="1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1:17" ht="24" hidden="1" customHeight="1" x14ac:dyDescent="0.25">
      <c r="A13" s="111">
        <v>45691</v>
      </c>
      <c r="B13" s="113" t="s">
        <v>30</v>
      </c>
      <c r="C13" s="113" t="s">
        <v>22</v>
      </c>
      <c r="D13" s="113"/>
      <c r="E13" s="109"/>
      <c r="F13" s="109">
        <v>226800</v>
      </c>
      <c r="G13" s="109">
        <v>20237081</v>
      </c>
      <c r="H13" s="109"/>
      <c r="I13" s="109">
        <v>18045750</v>
      </c>
      <c r="J13" s="109">
        <f>SUM(D13:H14)</f>
        <v>20463881</v>
      </c>
      <c r="K13" s="109"/>
      <c r="L13" s="109"/>
      <c r="M13" s="109"/>
      <c r="N13" s="109">
        <v>13</v>
      </c>
      <c r="O13" s="109">
        <f>J13/N13</f>
        <v>1574144.6923076923</v>
      </c>
      <c r="P13" s="109">
        <v>2</v>
      </c>
      <c r="Q13" s="109"/>
    </row>
    <row r="14" spans="1:17" ht="24" hidden="1" customHeight="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1:17" ht="24" hidden="1" customHeight="1" x14ac:dyDescent="0.25">
      <c r="A15" s="111">
        <v>45692</v>
      </c>
      <c r="B15" s="113" t="s">
        <v>31</v>
      </c>
      <c r="C15" s="113" t="s">
        <v>22</v>
      </c>
      <c r="D15" s="109"/>
      <c r="E15" s="109"/>
      <c r="F15" s="109">
        <v>8779134</v>
      </c>
      <c r="G15" s="109"/>
      <c r="H15" s="109"/>
      <c r="I15" s="109">
        <v>7636000</v>
      </c>
      <c r="J15" s="109">
        <f>SUM(D15:H16)</f>
        <v>8779134</v>
      </c>
      <c r="K15" s="109"/>
      <c r="L15" s="109"/>
      <c r="M15" s="109"/>
      <c r="N15" s="109">
        <v>5</v>
      </c>
      <c r="O15" s="109">
        <f>J15/N15</f>
        <v>1755826.8</v>
      </c>
      <c r="P15" s="109">
        <v>5</v>
      </c>
      <c r="Q15" s="147"/>
    </row>
    <row r="16" spans="1:17" ht="24" hidden="1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 spans="1:17" ht="24" hidden="1" customHeight="1" x14ac:dyDescent="0.25">
      <c r="A17" s="111">
        <v>45693</v>
      </c>
      <c r="B17" s="113" t="s">
        <v>32</v>
      </c>
      <c r="C17" s="113" t="s">
        <v>22</v>
      </c>
      <c r="D17" s="109"/>
      <c r="E17" s="109">
        <v>4805766</v>
      </c>
      <c r="F17" s="109">
        <v>14850711</v>
      </c>
      <c r="G17" s="109"/>
      <c r="H17" s="109">
        <v>13219973</v>
      </c>
      <c r="I17" s="109">
        <v>28788800</v>
      </c>
      <c r="J17" s="109">
        <f>SUM(D17:H18)</f>
        <v>32876450</v>
      </c>
      <c r="K17" s="109"/>
      <c r="L17" s="109"/>
      <c r="M17" s="109"/>
      <c r="N17" s="109">
        <v>21</v>
      </c>
      <c r="O17" s="109">
        <f>J17/N17</f>
        <v>1565545.2380952381</v>
      </c>
      <c r="P17" s="109">
        <v>0</v>
      </c>
      <c r="Q17" s="109"/>
    </row>
    <row r="18" spans="1:17" ht="24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1:17" ht="24" hidden="1" customHeight="1" x14ac:dyDescent="0.25">
      <c r="A19" s="111">
        <v>45694</v>
      </c>
      <c r="B19" s="113" t="s">
        <v>21</v>
      </c>
      <c r="C19" s="113" t="s">
        <v>22</v>
      </c>
      <c r="D19" s="109">
        <v>7990080</v>
      </c>
      <c r="E19" s="109"/>
      <c r="F19" s="109"/>
      <c r="G19" s="109"/>
      <c r="H19" s="109">
        <v>8590277</v>
      </c>
      <c r="I19" s="109">
        <v>14615200</v>
      </c>
      <c r="J19" s="109">
        <f>SUM(D19:H20)</f>
        <v>16580357</v>
      </c>
      <c r="K19" s="109"/>
      <c r="L19" s="109"/>
      <c r="M19" s="109"/>
      <c r="N19" s="109">
        <v>10</v>
      </c>
      <c r="O19" s="109">
        <f>J19/N19</f>
        <v>1658035.7</v>
      </c>
      <c r="P19" s="109">
        <v>3</v>
      </c>
      <c r="Q19" s="109"/>
    </row>
    <row r="20" spans="1:17" ht="24" hidden="1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1:17" ht="24" hidden="1" customHeight="1" x14ac:dyDescent="0.25">
      <c r="A21" s="111">
        <v>45695</v>
      </c>
      <c r="B21" s="113" t="s">
        <v>23</v>
      </c>
      <c r="C21" s="113" t="s">
        <v>22</v>
      </c>
      <c r="D21" s="109">
        <v>577500</v>
      </c>
      <c r="E21" s="109"/>
      <c r="F21" s="109"/>
      <c r="G21" s="109">
        <v>12785170</v>
      </c>
      <c r="H21" s="109">
        <v>2836758</v>
      </c>
      <c r="I21" s="109">
        <v>14275950</v>
      </c>
      <c r="J21" s="109">
        <f>SUM(D21:H22)</f>
        <v>16199428</v>
      </c>
      <c r="K21" s="109"/>
      <c r="L21" s="109"/>
      <c r="M21" s="109"/>
      <c r="N21" s="109">
        <v>14</v>
      </c>
      <c r="O21" s="109">
        <f>J21/N21</f>
        <v>1157102</v>
      </c>
      <c r="P21" s="109">
        <v>3</v>
      </c>
      <c r="Q21" s="109"/>
    </row>
    <row r="22" spans="1:17" ht="24" hidden="1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1:17" ht="24" hidden="1" customHeight="1" x14ac:dyDescent="0.25">
      <c r="A23" s="111">
        <v>45696</v>
      </c>
      <c r="B23" s="113" t="s">
        <v>25</v>
      </c>
      <c r="C23" s="113" t="s">
        <v>22</v>
      </c>
      <c r="D23" s="109"/>
      <c r="E23" s="109"/>
      <c r="F23" s="109">
        <v>2860305</v>
      </c>
      <c r="G23" s="109"/>
      <c r="H23" s="109"/>
      <c r="I23" s="109">
        <v>2520000</v>
      </c>
      <c r="J23" s="109">
        <f>SUM(D23:H24)</f>
        <v>2860305</v>
      </c>
      <c r="K23" s="109"/>
      <c r="L23" s="109"/>
      <c r="M23" s="109"/>
      <c r="N23" s="109">
        <v>5</v>
      </c>
      <c r="O23" s="109">
        <f>J23/N23</f>
        <v>572061</v>
      </c>
      <c r="P23" s="109">
        <v>3</v>
      </c>
      <c r="Q23" s="109"/>
    </row>
    <row r="24" spans="1:17" ht="24" hidden="1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</row>
    <row r="25" spans="1:17" ht="24" hidden="1" customHeight="1" x14ac:dyDescent="0.25">
      <c r="A25" s="111">
        <v>45697</v>
      </c>
      <c r="B25" s="113" t="s">
        <v>60</v>
      </c>
      <c r="C25" s="113" t="s">
        <v>22</v>
      </c>
      <c r="D25" s="109"/>
      <c r="E25" s="109"/>
      <c r="F25" s="109">
        <v>7566190</v>
      </c>
      <c r="G25" s="109"/>
      <c r="H25" s="109">
        <v>1040049</v>
      </c>
      <c r="I25" s="109">
        <v>7502150</v>
      </c>
      <c r="J25" s="109">
        <f>SUM(D25:H26)</f>
        <v>8606239</v>
      </c>
      <c r="K25" s="109"/>
      <c r="L25" s="109"/>
      <c r="M25" s="109"/>
      <c r="N25" s="109">
        <v>4</v>
      </c>
      <c r="O25" s="109">
        <f>J25/N25</f>
        <v>2151559.75</v>
      </c>
      <c r="P25" s="109">
        <v>3</v>
      </c>
      <c r="Q25" s="109"/>
    </row>
    <row r="26" spans="1:17" ht="24" hidden="1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</row>
    <row r="27" spans="1:17" ht="46.5" hidden="1" customHeight="1" x14ac:dyDescent="0.25">
      <c r="A27" s="114" t="s">
        <v>29</v>
      </c>
      <c r="B27" s="64"/>
      <c r="C27" s="65"/>
      <c r="D27" s="24">
        <f t="shared" ref="D27:N27" si="1">SUM(D28:D41)</f>
        <v>17348717</v>
      </c>
      <c r="E27" s="24">
        <f t="shared" si="1"/>
        <v>12282141</v>
      </c>
      <c r="F27" s="24">
        <f t="shared" si="1"/>
        <v>150002803</v>
      </c>
      <c r="G27" s="24">
        <f t="shared" si="1"/>
        <v>29861970</v>
      </c>
      <c r="H27" s="24">
        <f t="shared" si="1"/>
        <v>26643024</v>
      </c>
      <c r="I27" s="24">
        <f t="shared" si="1"/>
        <v>206804450</v>
      </c>
      <c r="J27" s="24">
        <f t="shared" si="1"/>
        <v>236138655</v>
      </c>
      <c r="K27" s="24">
        <f t="shared" si="1"/>
        <v>0</v>
      </c>
      <c r="L27" s="24">
        <f t="shared" si="1"/>
        <v>0</v>
      </c>
      <c r="M27" s="24">
        <f t="shared" si="1"/>
        <v>0</v>
      </c>
      <c r="N27" s="24">
        <f t="shared" si="1"/>
        <v>156</v>
      </c>
      <c r="O27" s="24">
        <f>J27/N27</f>
        <v>1513709.326923077</v>
      </c>
      <c r="P27" s="24">
        <f>SUM(P28:P41)</f>
        <v>74</v>
      </c>
      <c r="Q27" s="24"/>
    </row>
    <row r="28" spans="1:17" ht="24" hidden="1" customHeight="1" x14ac:dyDescent="0.25">
      <c r="A28" s="111">
        <v>45698</v>
      </c>
      <c r="B28" s="113" t="s">
        <v>30</v>
      </c>
      <c r="C28" s="113" t="s">
        <v>22</v>
      </c>
      <c r="D28" s="109"/>
      <c r="E28" s="109">
        <v>4423311</v>
      </c>
      <c r="F28" s="109">
        <v>11119416</v>
      </c>
      <c r="G28" s="109"/>
      <c r="H28" s="109">
        <v>354004</v>
      </c>
      <c r="I28" s="109">
        <v>13881800</v>
      </c>
      <c r="J28" s="109">
        <f>SUM(D28:H29)</f>
        <v>15896731</v>
      </c>
      <c r="K28" s="109"/>
      <c r="L28" s="109"/>
      <c r="M28" s="109"/>
      <c r="N28" s="109">
        <v>13</v>
      </c>
      <c r="O28" s="109">
        <f>J28/N28</f>
        <v>1222825.4615384615</v>
      </c>
      <c r="P28" s="109">
        <v>7</v>
      </c>
      <c r="Q28" s="109"/>
    </row>
    <row r="29" spans="1:17" ht="24" hidden="1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spans="1:17" ht="24" hidden="1" customHeight="1" x14ac:dyDescent="0.25">
      <c r="A30" s="111">
        <v>45699</v>
      </c>
      <c r="B30" s="113" t="s">
        <v>31</v>
      </c>
      <c r="C30" s="113" t="s">
        <v>22</v>
      </c>
      <c r="D30" s="109"/>
      <c r="E30" s="109">
        <v>1621053</v>
      </c>
      <c r="F30" s="109">
        <v>10993878</v>
      </c>
      <c r="G30" s="109"/>
      <c r="H30" s="109"/>
      <c r="I30" s="109">
        <v>11066500</v>
      </c>
      <c r="J30" s="109">
        <f>SUM(D30:H31)</f>
        <v>12614931</v>
      </c>
      <c r="K30" s="109"/>
      <c r="L30" s="109"/>
      <c r="M30" s="109"/>
      <c r="N30" s="109">
        <v>13</v>
      </c>
      <c r="O30" s="109">
        <f>J30/N30</f>
        <v>970379.30769230775</v>
      </c>
      <c r="P30" s="109">
        <v>5</v>
      </c>
      <c r="Q30" s="109"/>
    </row>
    <row r="31" spans="1:17" ht="51.75" hidden="1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</row>
    <row r="32" spans="1:17" ht="24" hidden="1" customHeight="1" x14ac:dyDescent="0.25">
      <c r="A32" s="111">
        <v>45700</v>
      </c>
      <c r="B32" s="113" t="s">
        <v>32</v>
      </c>
      <c r="C32" s="113" t="s">
        <v>22</v>
      </c>
      <c r="D32" s="113"/>
      <c r="E32" s="109"/>
      <c r="F32" s="109">
        <v>10211712</v>
      </c>
      <c r="G32" s="109">
        <v>6191655</v>
      </c>
      <c r="H32" s="109"/>
      <c r="I32" s="109">
        <v>14425050</v>
      </c>
      <c r="J32" s="109">
        <f>SUM(D32:H33)</f>
        <v>16403367</v>
      </c>
      <c r="K32" s="109"/>
      <c r="L32" s="109"/>
      <c r="M32" s="109"/>
      <c r="N32" s="109">
        <v>11</v>
      </c>
      <c r="O32" s="109">
        <f>J32/N32</f>
        <v>1491215.1818181819</v>
      </c>
      <c r="P32" s="109">
        <v>3</v>
      </c>
      <c r="Q32" s="149" t="s">
        <v>61</v>
      </c>
    </row>
    <row r="33" spans="1:17" ht="24" hidden="1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</row>
    <row r="34" spans="1:17" ht="24" hidden="1" customHeight="1" x14ac:dyDescent="0.25">
      <c r="A34" s="111">
        <v>45701</v>
      </c>
      <c r="B34" s="113" t="s">
        <v>21</v>
      </c>
      <c r="C34" s="113" t="s">
        <v>22</v>
      </c>
      <c r="D34" s="109">
        <v>5270945</v>
      </c>
      <c r="E34" s="109">
        <v>2535057</v>
      </c>
      <c r="F34" s="109"/>
      <c r="G34" s="109"/>
      <c r="H34" s="109"/>
      <c r="I34" s="109">
        <f>7617000-733400</f>
        <v>6883600</v>
      </c>
      <c r="J34" s="109">
        <f>SUM(D34:H35)</f>
        <v>7806002</v>
      </c>
      <c r="K34" s="109"/>
      <c r="L34" s="109"/>
      <c r="M34" s="109"/>
      <c r="N34" s="109">
        <v>18</v>
      </c>
      <c r="O34" s="109">
        <f>J34/N34</f>
        <v>433666.77777777775</v>
      </c>
      <c r="P34" s="109">
        <v>3</v>
      </c>
      <c r="Q34" s="109"/>
    </row>
    <row r="35" spans="1:17" ht="24" hidden="1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</row>
    <row r="36" spans="1:17" ht="24" hidden="1" customHeight="1" x14ac:dyDescent="0.25">
      <c r="A36" s="111">
        <v>45702</v>
      </c>
      <c r="B36" s="113" t="s">
        <v>23</v>
      </c>
      <c r="C36" s="113" t="s">
        <v>22</v>
      </c>
      <c r="D36" s="109">
        <v>8596392</v>
      </c>
      <c r="E36" s="109"/>
      <c r="F36" s="109">
        <f>2572920+21395010+50419572</f>
        <v>74387502</v>
      </c>
      <c r="G36" s="109">
        <v>4659732</v>
      </c>
      <c r="H36" s="109"/>
      <c r="I36" s="109">
        <v>76784000</v>
      </c>
      <c r="J36" s="109">
        <f>SUM(D36:H37)</f>
        <v>87643626</v>
      </c>
      <c r="K36" s="109"/>
      <c r="L36" s="109"/>
      <c r="M36" s="109"/>
      <c r="N36" s="109">
        <v>63</v>
      </c>
      <c r="O36" s="109">
        <f>J36/N36</f>
        <v>1391168.6666666667</v>
      </c>
      <c r="P36" s="109">
        <v>42</v>
      </c>
      <c r="Q36" s="148"/>
    </row>
    <row r="37" spans="1:17" ht="24" hidden="1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spans="1:17" ht="24" hidden="1" customHeight="1" x14ac:dyDescent="0.25">
      <c r="A38" s="111">
        <v>45703</v>
      </c>
      <c r="B38" s="113" t="s">
        <v>25</v>
      </c>
      <c r="C38" s="113" t="s">
        <v>22</v>
      </c>
      <c r="D38" s="109">
        <v>3481380</v>
      </c>
      <c r="E38" s="109"/>
      <c r="F38" s="109">
        <v>43290295</v>
      </c>
      <c r="G38" s="109">
        <v>19010583</v>
      </c>
      <c r="H38" s="109">
        <v>26289020</v>
      </c>
      <c r="I38" s="109">
        <v>80533500</v>
      </c>
      <c r="J38" s="109">
        <f>SUM(D38:H39)</f>
        <v>92071278</v>
      </c>
      <c r="K38" s="109"/>
      <c r="L38" s="109"/>
      <c r="M38" s="109"/>
      <c r="N38" s="109">
        <v>36</v>
      </c>
      <c r="O38" s="109">
        <f>J38/N38</f>
        <v>2557535.5</v>
      </c>
      <c r="P38" s="109">
        <v>10</v>
      </c>
      <c r="Q38" s="109" t="s">
        <v>63</v>
      </c>
    </row>
    <row r="39" spans="1:17" ht="24" hidden="1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</row>
    <row r="40" spans="1:17" ht="24" hidden="1" customHeight="1" x14ac:dyDescent="0.25">
      <c r="A40" s="111">
        <v>45704</v>
      </c>
      <c r="B40" s="113" t="s">
        <v>60</v>
      </c>
      <c r="C40" s="113" t="s">
        <v>22</v>
      </c>
      <c r="D40" s="109"/>
      <c r="E40" s="109">
        <v>3702720</v>
      </c>
      <c r="F40" s="109"/>
      <c r="G40" s="109"/>
      <c r="H40" s="109"/>
      <c r="I40" s="109">
        <v>3230000</v>
      </c>
      <c r="J40" s="109">
        <f>SUM(D40:H41)</f>
        <v>3702720</v>
      </c>
      <c r="K40" s="109"/>
      <c r="L40" s="109"/>
      <c r="M40" s="109"/>
      <c r="N40" s="109">
        <v>2</v>
      </c>
      <c r="O40" s="109">
        <f>J40/N40</f>
        <v>1851360</v>
      </c>
      <c r="P40" s="109">
        <v>4</v>
      </c>
      <c r="Q40" s="147"/>
    </row>
    <row r="41" spans="1:17" ht="24" hidden="1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</row>
    <row r="42" spans="1:17" ht="46.5" hidden="1" customHeight="1" x14ac:dyDescent="0.25">
      <c r="A42" s="114" t="s">
        <v>34</v>
      </c>
      <c r="B42" s="64"/>
      <c r="C42" s="65"/>
      <c r="D42" s="24">
        <f>SUM(D53:D56)</f>
        <v>10289034</v>
      </c>
      <c r="E42" s="24">
        <f>SUM(E53:E56)</f>
        <v>0</v>
      </c>
      <c r="F42" s="24">
        <f>SUM(F53:F56)</f>
        <v>0</v>
      </c>
      <c r="G42" s="24">
        <f>SUM(G53:G56)</f>
        <v>0</v>
      </c>
      <c r="H42" s="24">
        <f>SUM(H53:H56)</f>
        <v>836665</v>
      </c>
      <c r="I42" s="24">
        <f t="shared" ref="I42:N42" si="2">SUM(I43:I56)</f>
        <v>162856050</v>
      </c>
      <c r="J42" s="24">
        <f t="shared" si="2"/>
        <v>186516682</v>
      </c>
      <c r="K42" s="24">
        <f t="shared" si="2"/>
        <v>0</v>
      </c>
      <c r="L42" s="24">
        <f t="shared" si="2"/>
        <v>0</v>
      </c>
      <c r="M42" s="24">
        <f t="shared" si="2"/>
        <v>0</v>
      </c>
      <c r="N42" s="24">
        <f t="shared" si="2"/>
        <v>92</v>
      </c>
      <c r="O42" s="24">
        <f>J42/N42</f>
        <v>2027355.2391304348</v>
      </c>
      <c r="P42" s="24">
        <f>SUM(P43:P56)</f>
        <v>45</v>
      </c>
      <c r="Q42" s="24"/>
    </row>
    <row r="43" spans="1:17" ht="24" hidden="1" customHeight="1" x14ac:dyDescent="0.25">
      <c r="A43" s="111">
        <v>45705</v>
      </c>
      <c r="B43" s="113" t="s">
        <v>30</v>
      </c>
      <c r="C43" s="113" t="s">
        <v>22</v>
      </c>
      <c r="D43" s="109"/>
      <c r="E43" s="109"/>
      <c r="F43" s="109">
        <v>14043372</v>
      </c>
      <c r="G43" s="109"/>
      <c r="H43" s="109"/>
      <c r="I43" s="109">
        <v>12268000</v>
      </c>
      <c r="J43" s="109">
        <f>SUM(D43:H44)</f>
        <v>14043372</v>
      </c>
      <c r="K43" s="109"/>
      <c r="L43" s="109"/>
      <c r="M43" s="109"/>
      <c r="N43" s="109">
        <v>10</v>
      </c>
      <c r="O43" s="109">
        <f>J43/N43</f>
        <v>1404337.2</v>
      </c>
      <c r="P43" s="109">
        <v>9</v>
      </c>
      <c r="Q43" s="109"/>
    </row>
    <row r="44" spans="1:17" ht="24" hidden="1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spans="1:17" ht="24" hidden="1" customHeight="1" x14ac:dyDescent="0.25">
      <c r="A45" s="111">
        <v>45706</v>
      </c>
      <c r="B45" s="113" t="s">
        <v>31</v>
      </c>
      <c r="C45" s="113" t="s">
        <v>22</v>
      </c>
      <c r="D45" s="109"/>
      <c r="E45" s="109"/>
      <c r="F45" s="109">
        <v>7434966</v>
      </c>
      <c r="G45" s="109">
        <v>11899346</v>
      </c>
      <c r="H45" s="109">
        <v>1455300</v>
      </c>
      <c r="I45" s="109">
        <v>18282250</v>
      </c>
      <c r="J45" s="109">
        <f>SUM(D45:H46)</f>
        <v>20789612</v>
      </c>
      <c r="K45" s="109"/>
      <c r="L45" s="109"/>
      <c r="M45" s="109"/>
      <c r="N45" s="109">
        <v>17</v>
      </c>
      <c r="O45" s="109">
        <f>J45/N45</f>
        <v>1222918.3529411764</v>
      </c>
      <c r="P45" s="109">
        <v>6</v>
      </c>
      <c r="Q45" s="109"/>
    </row>
    <row r="46" spans="1:17" ht="51.75" hidden="1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</row>
    <row r="47" spans="1:17" ht="24" hidden="1" customHeight="1" x14ac:dyDescent="0.25">
      <c r="A47" s="111">
        <v>45707</v>
      </c>
      <c r="B47" s="113" t="s">
        <v>32</v>
      </c>
      <c r="C47" s="113" t="s">
        <v>22</v>
      </c>
      <c r="D47" s="113"/>
      <c r="E47" s="109"/>
      <c r="F47" s="109">
        <v>26514901</v>
      </c>
      <c r="G47" s="109">
        <v>578340</v>
      </c>
      <c r="H47" s="109"/>
      <c r="I47" s="109">
        <v>23735450</v>
      </c>
      <c r="J47" s="109">
        <f>SUM(D47:H48)</f>
        <v>27093241</v>
      </c>
      <c r="K47" s="109"/>
      <c r="L47" s="109"/>
      <c r="M47" s="109"/>
      <c r="N47" s="109">
        <v>14</v>
      </c>
      <c r="O47" s="109">
        <f>J47/N47</f>
        <v>1935231.5</v>
      </c>
      <c r="P47" s="109">
        <v>11</v>
      </c>
      <c r="Q47" s="157" t="s">
        <v>61</v>
      </c>
    </row>
    <row r="48" spans="1:17" ht="24" hidden="1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</row>
    <row r="49" spans="1:17" ht="24" hidden="1" customHeight="1" x14ac:dyDescent="0.25">
      <c r="A49" s="111">
        <v>45708</v>
      </c>
      <c r="B49" s="113" t="s">
        <v>21</v>
      </c>
      <c r="C49" s="113" t="s">
        <v>22</v>
      </c>
      <c r="D49" s="109"/>
      <c r="E49" s="109"/>
      <c r="F49" s="109"/>
      <c r="G49" s="109">
        <v>26664366</v>
      </c>
      <c r="H49" s="109"/>
      <c r="I49" s="109">
        <v>23513550</v>
      </c>
      <c r="J49" s="109">
        <f>SUM(D49:H50)</f>
        <v>26664366</v>
      </c>
      <c r="K49" s="109"/>
      <c r="L49" s="109"/>
      <c r="M49" s="109"/>
      <c r="N49" s="109">
        <v>13</v>
      </c>
      <c r="O49" s="109">
        <f>J49/N49</f>
        <v>2051105.076923077</v>
      </c>
      <c r="P49" s="109">
        <v>1</v>
      </c>
      <c r="Q49" s="157"/>
    </row>
    <row r="50" spans="1:17" ht="24" hidden="1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</row>
    <row r="51" spans="1:17" ht="24" hidden="1" customHeight="1" x14ac:dyDescent="0.25">
      <c r="A51" s="111">
        <v>45709</v>
      </c>
      <c r="B51" s="113" t="s">
        <v>23</v>
      </c>
      <c r="C51" s="113" t="s">
        <v>22</v>
      </c>
      <c r="D51" s="109"/>
      <c r="E51" s="109">
        <v>4512480</v>
      </c>
      <c r="F51" s="109">
        <f>3822840+78465072</f>
        <v>82287912</v>
      </c>
      <c r="G51" s="109"/>
      <c r="H51" s="109"/>
      <c r="I51" s="109">
        <v>75268000</v>
      </c>
      <c r="J51" s="109">
        <f>SUM(D51:H52)</f>
        <v>86800392</v>
      </c>
      <c r="K51" s="109"/>
      <c r="L51" s="109"/>
      <c r="M51" s="109"/>
      <c r="N51" s="109">
        <v>31</v>
      </c>
      <c r="O51" s="109">
        <f>J51/N51</f>
        <v>2800012.6451612902</v>
      </c>
      <c r="P51" s="109">
        <v>14</v>
      </c>
      <c r="Q51" s="148"/>
    </row>
    <row r="52" spans="1:17" ht="24" hidden="1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spans="1:17" ht="24" hidden="1" customHeight="1" x14ac:dyDescent="0.25">
      <c r="A53" s="111">
        <v>45710</v>
      </c>
      <c r="B53" s="113" t="s">
        <v>25</v>
      </c>
      <c r="C53" s="113" t="s">
        <v>22</v>
      </c>
      <c r="D53" s="109">
        <v>10289034</v>
      </c>
      <c r="E53" s="109"/>
      <c r="F53" s="109"/>
      <c r="G53" s="109"/>
      <c r="H53" s="109">
        <v>836665</v>
      </c>
      <c r="I53" s="109">
        <v>9788800</v>
      </c>
      <c r="J53" s="109">
        <f>SUM(D53:H54)</f>
        <v>11125699</v>
      </c>
      <c r="K53" s="109"/>
      <c r="L53" s="109"/>
      <c r="M53" s="109"/>
      <c r="N53" s="109">
        <v>7</v>
      </c>
      <c r="O53" s="109">
        <f>J53/N53</f>
        <v>1589385.5714285714</v>
      </c>
      <c r="P53" s="109">
        <v>4</v>
      </c>
      <c r="Q53" s="109"/>
    </row>
    <row r="54" spans="1:17" ht="24" hidden="1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</row>
    <row r="55" spans="1:17" ht="24" hidden="1" customHeight="1" x14ac:dyDescent="0.25">
      <c r="A55" s="111">
        <v>45711</v>
      </c>
      <c r="B55" s="113" t="s">
        <v>60</v>
      </c>
      <c r="C55" s="113" t="s">
        <v>22</v>
      </c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47"/>
    </row>
    <row r="56" spans="1:17" ht="24" hidden="1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</row>
    <row r="57" spans="1:17" ht="46.5" customHeight="1" x14ac:dyDescent="0.25">
      <c r="A57" s="114" t="s">
        <v>36</v>
      </c>
      <c r="B57" s="64"/>
      <c r="C57" s="65"/>
      <c r="D57" s="24">
        <f t="shared" ref="D57:N57" si="3">SUM(D58:D71)</f>
        <v>41934247</v>
      </c>
      <c r="E57" s="24">
        <f t="shared" si="3"/>
        <v>4050690</v>
      </c>
      <c r="F57" s="24">
        <f t="shared" si="3"/>
        <v>103849007</v>
      </c>
      <c r="G57" s="24">
        <f t="shared" si="3"/>
        <v>16267278</v>
      </c>
      <c r="H57" s="24">
        <f t="shared" si="3"/>
        <v>4157338</v>
      </c>
      <c r="I57" s="24">
        <f t="shared" si="3"/>
        <v>149170100</v>
      </c>
      <c r="J57" s="24">
        <f t="shared" si="3"/>
        <v>170258560</v>
      </c>
      <c r="K57" s="24">
        <f t="shared" si="3"/>
        <v>0</v>
      </c>
      <c r="L57" s="24">
        <f t="shared" si="3"/>
        <v>0</v>
      </c>
      <c r="M57" s="24">
        <f t="shared" si="3"/>
        <v>0</v>
      </c>
      <c r="N57" s="24">
        <f t="shared" si="3"/>
        <v>107</v>
      </c>
      <c r="O57" s="24">
        <f>J57/N57</f>
        <v>1591201.4953271027</v>
      </c>
      <c r="P57" s="24">
        <f>SUM(P58:P71)</f>
        <v>49</v>
      </c>
      <c r="Q57" s="24"/>
    </row>
    <row r="58" spans="1:17" ht="24" customHeight="1" x14ac:dyDescent="0.25">
      <c r="A58" s="111">
        <v>45712</v>
      </c>
      <c r="B58" s="113" t="s">
        <v>30</v>
      </c>
      <c r="C58" s="113" t="s">
        <v>22</v>
      </c>
      <c r="D58" s="109">
        <v>404250</v>
      </c>
      <c r="E58" s="109">
        <v>3272766</v>
      </c>
      <c r="F58" s="109">
        <v>27741101</v>
      </c>
      <c r="G58" s="109"/>
      <c r="H58" s="109"/>
      <c r="I58" s="109">
        <v>27497700</v>
      </c>
      <c r="J58" s="109">
        <f>SUM(D58:H59)</f>
        <v>31418117</v>
      </c>
      <c r="K58" s="109"/>
      <c r="L58" s="109"/>
      <c r="M58" s="109"/>
      <c r="N58" s="109">
        <v>27</v>
      </c>
      <c r="O58" s="109">
        <f>J58/N58</f>
        <v>1163633.9629629629</v>
      </c>
      <c r="P58" s="109">
        <v>14</v>
      </c>
      <c r="Q58" s="109"/>
    </row>
    <row r="59" spans="1:17" ht="24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</row>
    <row r="60" spans="1:17" ht="24" customHeight="1" x14ac:dyDescent="0.25">
      <c r="A60" s="111">
        <v>45713</v>
      </c>
      <c r="B60" s="113" t="s">
        <v>31</v>
      </c>
      <c r="C60" s="113" t="s">
        <v>22</v>
      </c>
      <c r="D60" s="109"/>
      <c r="E60" s="109"/>
      <c r="F60" s="109">
        <v>35625513</v>
      </c>
      <c r="G60" s="109"/>
      <c r="H60" s="109"/>
      <c r="I60" s="109">
        <v>31029500</v>
      </c>
      <c r="J60" s="109">
        <f>SUM(D60:H61)</f>
        <v>35625513</v>
      </c>
      <c r="K60" s="109"/>
      <c r="L60" s="109"/>
      <c r="M60" s="109"/>
      <c r="N60" s="109">
        <v>13</v>
      </c>
      <c r="O60" s="109">
        <f>J60/N60</f>
        <v>2740424.076923077</v>
      </c>
      <c r="P60" s="109">
        <v>7</v>
      </c>
      <c r="Q60" s="109"/>
    </row>
    <row r="61" spans="1:17" ht="51.75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</row>
    <row r="62" spans="1:17" ht="24" customHeight="1" x14ac:dyDescent="0.25">
      <c r="A62" s="111">
        <v>45714</v>
      </c>
      <c r="B62" s="113" t="s">
        <v>32</v>
      </c>
      <c r="C62" s="113" t="s">
        <v>22</v>
      </c>
      <c r="D62" s="113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49"/>
    </row>
    <row r="63" spans="1:17" ht="24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spans="1:17" ht="24" customHeight="1" x14ac:dyDescent="0.25">
      <c r="A64" s="111">
        <v>45715</v>
      </c>
      <c r="B64" s="113" t="s">
        <v>21</v>
      </c>
      <c r="C64" s="113" t="s">
        <v>22</v>
      </c>
      <c r="D64" s="109">
        <v>38809321</v>
      </c>
      <c r="E64" s="109">
        <v>777924</v>
      </c>
      <c r="F64" s="109">
        <v>4166862</v>
      </c>
      <c r="G64" s="109">
        <v>10000000</v>
      </c>
      <c r="H64" s="109">
        <v>3242596</v>
      </c>
      <c r="I64" s="109">
        <v>50119050</v>
      </c>
      <c r="J64" s="109">
        <f>SUM(D64:H65)</f>
        <v>56996703</v>
      </c>
      <c r="K64" s="109"/>
      <c r="L64" s="109"/>
      <c r="M64" s="109"/>
      <c r="N64" s="109">
        <v>29</v>
      </c>
      <c r="O64" s="109">
        <f>J64/N64</f>
        <v>1965403.551724138</v>
      </c>
      <c r="P64" s="109">
        <v>8</v>
      </c>
      <c r="Q64" s="109"/>
    </row>
    <row r="65" spans="1:17" ht="24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</row>
    <row r="66" spans="1:17" ht="24" customHeight="1" x14ac:dyDescent="0.25">
      <c r="A66" s="111">
        <v>45716</v>
      </c>
      <c r="B66" s="113" t="s">
        <v>23</v>
      </c>
      <c r="C66" s="113" t="s">
        <v>22</v>
      </c>
      <c r="D66" s="109">
        <v>1210566</v>
      </c>
      <c r="E66" s="109"/>
      <c r="F66" s="109">
        <v>30253944</v>
      </c>
      <c r="G66" s="109">
        <v>6267278</v>
      </c>
      <c r="H66" s="109">
        <v>914742</v>
      </c>
      <c r="I66" s="109">
        <v>33883350</v>
      </c>
      <c r="J66" s="109">
        <f>SUM(D66:H67)</f>
        <v>38646530</v>
      </c>
      <c r="K66" s="109"/>
      <c r="L66" s="109"/>
      <c r="M66" s="109"/>
      <c r="N66" s="109">
        <v>28</v>
      </c>
      <c r="O66" s="109">
        <f>J66/N66</f>
        <v>1380233.2142857143</v>
      </c>
      <c r="P66" s="109">
        <v>16</v>
      </c>
      <c r="Q66" s="156" t="s">
        <v>66</v>
      </c>
    </row>
    <row r="67" spans="1:17" ht="37.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</row>
    <row r="68" spans="1:17" ht="24" customHeight="1" x14ac:dyDescent="0.25">
      <c r="A68" s="111">
        <v>45717</v>
      </c>
      <c r="B68" s="113" t="s">
        <v>25</v>
      </c>
      <c r="C68" s="113" t="s">
        <v>22</v>
      </c>
      <c r="D68" s="109">
        <v>1510110</v>
      </c>
      <c r="E68" s="109"/>
      <c r="F68" s="109">
        <v>6061587</v>
      </c>
      <c r="G68" s="109"/>
      <c r="H68" s="109"/>
      <c r="I68" s="109">
        <v>6640500</v>
      </c>
      <c r="J68" s="109">
        <f>SUM(D68:H69)</f>
        <v>7571697</v>
      </c>
      <c r="K68" s="109"/>
      <c r="L68" s="109"/>
      <c r="M68" s="109"/>
      <c r="N68" s="109">
        <v>10</v>
      </c>
      <c r="O68" s="109">
        <f>J68/N68</f>
        <v>757169.7</v>
      </c>
      <c r="P68" s="109">
        <v>4</v>
      </c>
      <c r="Q68" s="109"/>
    </row>
    <row r="69" spans="1:17" ht="24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</row>
    <row r="70" spans="1:17" ht="24" customHeight="1" x14ac:dyDescent="0.25">
      <c r="A70" s="111">
        <v>45718</v>
      </c>
      <c r="B70" s="113" t="s">
        <v>60</v>
      </c>
      <c r="C70" s="113" t="s">
        <v>22</v>
      </c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47"/>
    </row>
    <row r="71" spans="1:17" ht="24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</row>
    <row r="72" spans="1:17" ht="46.5" customHeight="1" x14ac:dyDescent="0.25">
      <c r="A72" s="108" t="s">
        <v>40</v>
      </c>
      <c r="B72" s="64"/>
      <c r="C72" s="65"/>
      <c r="D72" s="30">
        <f t="shared" ref="D72:I72" si="4">D8+D27+D42+D57</f>
        <v>78139578</v>
      </c>
      <c r="E72" s="30">
        <f t="shared" si="4"/>
        <v>24924099</v>
      </c>
      <c r="F72" s="30">
        <f t="shared" si="4"/>
        <v>298409473</v>
      </c>
      <c r="G72" s="30">
        <f t="shared" si="4"/>
        <v>85808517</v>
      </c>
      <c r="H72" s="30">
        <f t="shared" si="4"/>
        <v>57324084</v>
      </c>
      <c r="I72" s="30">
        <f t="shared" si="4"/>
        <v>630443400</v>
      </c>
      <c r="J72" s="30">
        <f>J8+J27+J42+J57+2000</f>
        <v>719998734</v>
      </c>
      <c r="K72" s="30">
        <f>K8+K27+K42+K57</f>
        <v>0</v>
      </c>
      <c r="L72" s="30">
        <f>L8+L27+L42+L57</f>
        <v>0</v>
      </c>
      <c r="M72" s="30">
        <f>M8+M27+M42+M57</f>
        <v>0</v>
      </c>
      <c r="N72" s="30">
        <f>N8+N27+N42+N57</f>
        <v>448</v>
      </c>
      <c r="O72" s="30">
        <f>J72/N72</f>
        <v>1607140.03125</v>
      </c>
      <c r="P72" s="30">
        <f>P8+P27+P42+P57</f>
        <v>198</v>
      </c>
      <c r="Q72" s="30"/>
    </row>
    <row r="73" spans="1:17" ht="46.5" customHeight="1" x14ac:dyDescent="0.7">
      <c r="A73" s="19"/>
      <c r="B73" s="19"/>
      <c r="C73" s="19"/>
      <c r="D73" s="31"/>
      <c r="E73" s="31"/>
      <c r="F73" s="31"/>
      <c r="G73" s="31"/>
      <c r="H73" s="31"/>
      <c r="I73" s="31"/>
      <c r="J73" s="31"/>
      <c r="K73" s="19"/>
      <c r="L73" s="19"/>
      <c r="M73" s="19"/>
      <c r="N73" s="31"/>
      <c r="O73" s="31"/>
      <c r="P73" s="19"/>
      <c r="Q73" s="19"/>
    </row>
    <row r="74" spans="1:17" ht="46.5" customHeight="1" x14ac:dyDescent="0.7">
      <c r="A74" s="19"/>
      <c r="B74" s="19"/>
      <c r="C74" s="19"/>
      <c r="D74" s="31"/>
      <c r="E74" s="31"/>
      <c r="F74" s="31"/>
      <c r="G74" s="31"/>
      <c r="H74" s="31"/>
      <c r="I74" s="31"/>
      <c r="J74" s="31"/>
      <c r="K74" s="19"/>
      <c r="L74" s="19"/>
      <c r="M74" s="19"/>
      <c r="N74" s="31"/>
      <c r="O74" s="31"/>
      <c r="P74" s="19"/>
      <c r="Q74" s="19"/>
    </row>
    <row r="75" spans="1:17" ht="46.5" customHeight="1" x14ac:dyDescent="0.7">
      <c r="A75" s="19"/>
      <c r="B75" s="19"/>
      <c r="C75" s="19"/>
      <c r="D75" s="31"/>
      <c r="E75" s="31"/>
      <c r="F75" s="31"/>
      <c r="G75" s="31"/>
      <c r="H75" s="31"/>
      <c r="I75" s="31"/>
      <c r="J75" s="31"/>
      <c r="K75" s="19"/>
      <c r="L75" s="19"/>
      <c r="M75" s="19"/>
      <c r="N75" s="31"/>
      <c r="O75" s="31"/>
      <c r="P75" s="19"/>
      <c r="Q75" s="19"/>
    </row>
    <row r="76" spans="1:17" ht="46.5" customHeight="1" x14ac:dyDescent="0.7">
      <c r="A76" s="19"/>
      <c r="B76" s="19"/>
      <c r="C76" s="19"/>
      <c r="D76" s="31"/>
      <c r="E76" s="31"/>
      <c r="F76" s="31"/>
      <c r="G76" s="31"/>
      <c r="H76" s="31"/>
      <c r="I76" s="31"/>
      <c r="J76" s="31"/>
      <c r="K76" s="19"/>
      <c r="L76" s="19"/>
      <c r="M76" s="19"/>
      <c r="N76" s="31"/>
      <c r="O76" s="31"/>
      <c r="P76" s="19"/>
      <c r="Q76" s="19"/>
    </row>
    <row r="77" spans="1:17" ht="46.5" customHeight="1" x14ac:dyDescent="0.7">
      <c r="A77" s="19"/>
      <c r="B77" s="19"/>
      <c r="C77" s="19"/>
      <c r="D77" s="31"/>
      <c r="E77" s="31"/>
      <c r="F77" s="31"/>
      <c r="G77" s="31"/>
      <c r="H77" s="31"/>
      <c r="I77" s="31"/>
      <c r="J77" s="31"/>
      <c r="K77" s="19"/>
      <c r="L77" s="19"/>
      <c r="M77" s="19"/>
      <c r="N77" s="31"/>
      <c r="O77" s="31"/>
      <c r="P77" s="19"/>
      <c r="Q77" s="19"/>
    </row>
    <row r="78" spans="1:17" ht="46.5" customHeight="1" x14ac:dyDescent="0.7">
      <c r="A78" s="19"/>
      <c r="B78" s="19"/>
      <c r="C78" s="19"/>
      <c r="D78" s="31"/>
      <c r="E78" s="31"/>
      <c r="F78" s="31"/>
      <c r="G78" s="31"/>
      <c r="H78" s="31"/>
      <c r="I78" s="31"/>
      <c r="J78" s="31"/>
      <c r="K78" s="19"/>
      <c r="L78" s="19"/>
      <c r="M78" s="19"/>
      <c r="N78" s="31"/>
      <c r="O78" s="31"/>
      <c r="P78" s="19"/>
      <c r="Q78" s="19"/>
    </row>
    <row r="79" spans="1:17" ht="46.5" customHeight="1" x14ac:dyDescent="0.7">
      <c r="A79" s="19"/>
      <c r="B79" s="19"/>
      <c r="C79" s="19"/>
      <c r="D79" s="31"/>
      <c r="E79" s="31"/>
      <c r="F79" s="31"/>
      <c r="G79" s="31"/>
      <c r="H79" s="31"/>
      <c r="I79" s="31"/>
      <c r="J79" s="31"/>
      <c r="K79" s="19"/>
      <c r="L79" s="19"/>
      <c r="M79" s="19"/>
      <c r="N79" s="31"/>
      <c r="O79" s="31"/>
      <c r="P79" s="19"/>
      <c r="Q79" s="19"/>
    </row>
    <row r="80" spans="1:17" ht="46.5" customHeight="1" x14ac:dyDescent="0.7">
      <c r="A80" s="19"/>
      <c r="B80" s="19"/>
      <c r="C80" s="19"/>
      <c r="D80" s="31"/>
      <c r="E80" s="31"/>
      <c r="F80" s="31"/>
      <c r="G80" s="31"/>
      <c r="H80" s="31"/>
      <c r="I80" s="31"/>
      <c r="J80" s="31"/>
      <c r="K80" s="19"/>
      <c r="L80" s="19"/>
      <c r="M80" s="19"/>
      <c r="N80" s="31"/>
      <c r="O80" s="31"/>
      <c r="P80" s="19"/>
      <c r="Q80" s="19"/>
    </row>
    <row r="81" spans="1:17" ht="46.5" customHeight="1" x14ac:dyDescent="0.7">
      <c r="A81" s="19"/>
      <c r="B81" s="19"/>
      <c r="C81" s="19"/>
      <c r="D81" s="31"/>
      <c r="E81" s="31"/>
      <c r="F81" s="31"/>
      <c r="G81" s="31"/>
      <c r="H81" s="31"/>
      <c r="I81" s="31"/>
      <c r="J81" s="31"/>
      <c r="K81" s="19"/>
      <c r="L81" s="19"/>
      <c r="M81" s="19"/>
      <c r="N81" s="31"/>
      <c r="O81" s="31"/>
      <c r="P81" s="19"/>
      <c r="Q81" s="19"/>
    </row>
    <row r="82" spans="1:17" ht="46.5" customHeight="1" x14ac:dyDescent="0.7">
      <c r="A82" s="19"/>
      <c r="B82" s="19"/>
      <c r="C82" s="19"/>
      <c r="D82" s="31"/>
      <c r="E82" s="31"/>
      <c r="F82" s="31"/>
      <c r="G82" s="31"/>
      <c r="H82" s="31"/>
      <c r="I82" s="31"/>
      <c r="J82" s="31"/>
      <c r="K82" s="19"/>
      <c r="L82" s="19"/>
      <c r="M82" s="19"/>
      <c r="N82" s="31"/>
      <c r="O82" s="31"/>
      <c r="P82" s="19"/>
      <c r="Q82" s="19"/>
    </row>
    <row r="83" spans="1:17" ht="46.5" customHeight="1" x14ac:dyDescent="0.7">
      <c r="A83" s="19"/>
      <c r="B83" s="19"/>
      <c r="C83" s="19"/>
      <c r="D83" s="31"/>
      <c r="E83" s="31"/>
      <c r="F83" s="31"/>
      <c r="G83" s="31"/>
      <c r="H83" s="31"/>
      <c r="I83" s="31"/>
      <c r="J83" s="31"/>
      <c r="K83" s="19"/>
      <c r="L83" s="19"/>
      <c r="M83" s="19"/>
      <c r="N83" s="31"/>
      <c r="O83" s="31"/>
      <c r="P83" s="19"/>
      <c r="Q83" s="19"/>
    </row>
    <row r="84" spans="1:17" ht="46.5" customHeight="1" x14ac:dyDescent="0.7">
      <c r="A84" s="19"/>
      <c r="B84" s="19"/>
      <c r="C84" s="19"/>
      <c r="D84" s="31"/>
      <c r="E84" s="31"/>
      <c r="F84" s="31"/>
      <c r="G84" s="31"/>
      <c r="H84" s="31"/>
      <c r="I84" s="31"/>
      <c r="J84" s="31"/>
      <c r="K84" s="19"/>
      <c r="L84" s="19"/>
      <c r="M84" s="19"/>
      <c r="N84" s="31"/>
      <c r="O84" s="31"/>
      <c r="P84" s="19"/>
      <c r="Q84" s="19"/>
    </row>
    <row r="85" spans="1:17" ht="46.5" customHeight="1" x14ac:dyDescent="0.7">
      <c r="A85" s="19"/>
      <c r="B85" s="19"/>
      <c r="C85" s="19"/>
      <c r="D85" s="31"/>
      <c r="E85" s="31"/>
      <c r="F85" s="31"/>
      <c r="G85" s="31"/>
      <c r="H85" s="31"/>
      <c r="I85" s="31"/>
      <c r="J85" s="31"/>
      <c r="K85" s="19"/>
      <c r="L85" s="19"/>
      <c r="M85" s="19"/>
      <c r="N85" s="31"/>
      <c r="O85" s="31"/>
      <c r="P85" s="19"/>
      <c r="Q85" s="19"/>
    </row>
    <row r="86" spans="1:17" ht="46.5" customHeight="1" x14ac:dyDescent="0.7">
      <c r="A86" s="19"/>
      <c r="B86" s="19"/>
      <c r="C86" s="19"/>
      <c r="D86" s="31"/>
      <c r="E86" s="31"/>
      <c r="F86" s="31"/>
      <c r="G86" s="31"/>
      <c r="H86" s="31"/>
      <c r="I86" s="31"/>
      <c r="J86" s="31"/>
      <c r="K86" s="19"/>
      <c r="L86" s="19"/>
      <c r="M86" s="19"/>
      <c r="N86" s="31"/>
      <c r="O86" s="31"/>
      <c r="P86" s="19"/>
      <c r="Q86" s="19"/>
    </row>
    <row r="87" spans="1:17" ht="46.5" customHeight="1" x14ac:dyDescent="0.7">
      <c r="A87" s="19"/>
      <c r="B87" s="19"/>
      <c r="C87" s="19"/>
      <c r="D87" s="31"/>
      <c r="E87" s="31"/>
      <c r="F87" s="31"/>
      <c r="G87" s="31"/>
      <c r="H87" s="31"/>
      <c r="I87" s="31"/>
      <c r="J87" s="31"/>
      <c r="K87" s="19"/>
      <c r="L87" s="19"/>
      <c r="M87" s="19"/>
      <c r="N87" s="31"/>
      <c r="O87" s="31"/>
      <c r="P87" s="19"/>
      <c r="Q87" s="19"/>
    </row>
    <row r="88" spans="1:17" ht="46.5" customHeight="1" x14ac:dyDescent="0.7">
      <c r="A88" s="19"/>
      <c r="B88" s="19"/>
      <c r="C88" s="19"/>
      <c r="D88" s="31"/>
      <c r="E88" s="31"/>
      <c r="F88" s="31"/>
      <c r="G88" s="31"/>
      <c r="H88" s="31"/>
      <c r="I88" s="31"/>
      <c r="J88" s="31"/>
      <c r="K88" s="19"/>
      <c r="L88" s="19"/>
      <c r="M88" s="19"/>
      <c r="N88" s="31"/>
      <c r="O88" s="31"/>
      <c r="P88" s="19"/>
      <c r="Q88" s="19"/>
    </row>
    <row r="89" spans="1:17" ht="46.5" customHeight="1" x14ac:dyDescent="0.7">
      <c r="A89" s="19"/>
      <c r="B89" s="19"/>
      <c r="C89" s="19"/>
      <c r="D89" s="31"/>
      <c r="E89" s="31"/>
      <c r="F89" s="31"/>
      <c r="G89" s="31"/>
      <c r="H89" s="31"/>
      <c r="I89" s="31"/>
      <c r="J89" s="31"/>
      <c r="K89" s="19"/>
      <c r="L89" s="19"/>
      <c r="M89" s="19"/>
      <c r="N89" s="31"/>
      <c r="O89" s="31"/>
      <c r="P89" s="19"/>
      <c r="Q89" s="19"/>
    </row>
    <row r="90" spans="1:17" ht="46.5" customHeight="1" x14ac:dyDescent="0.7">
      <c r="A90" s="19"/>
      <c r="B90" s="19"/>
      <c r="C90" s="19"/>
      <c r="D90" s="31"/>
      <c r="E90" s="31"/>
      <c r="F90" s="31"/>
      <c r="G90" s="31"/>
      <c r="H90" s="31"/>
      <c r="I90" s="31"/>
      <c r="J90" s="31"/>
      <c r="K90" s="19"/>
      <c r="L90" s="19"/>
      <c r="M90" s="19"/>
      <c r="N90" s="31"/>
      <c r="O90" s="31"/>
      <c r="P90" s="19"/>
      <c r="Q90" s="19"/>
    </row>
    <row r="91" spans="1:17" ht="46.5" customHeight="1" x14ac:dyDescent="0.7">
      <c r="A91" s="19"/>
      <c r="B91" s="19"/>
      <c r="C91" s="19"/>
      <c r="D91" s="31"/>
      <c r="E91" s="31"/>
      <c r="F91" s="31"/>
      <c r="G91" s="31"/>
      <c r="H91" s="31"/>
      <c r="I91" s="31"/>
      <c r="J91" s="31"/>
      <c r="K91" s="19"/>
      <c r="L91" s="19"/>
      <c r="M91" s="19"/>
      <c r="N91" s="31"/>
      <c r="O91" s="31"/>
      <c r="P91" s="19"/>
      <c r="Q91" s="19"/>
    </row>
    <row r="92" spans="1:17" ht="46.5" customHeight="1" x14ac:dyDescent="0.7">
      <c r="A92" s="19"/>
      <c r="B92" s="19"/>
      <c r="C92" s="19"/>
      <c r="D92" s="31"/>
      <c r="E92" s="31"/>
      <c r="F92" s="31"/>
      <c r="G92" s="31"/>
      <c r="H92" s="31"/>
      <c r="I92" s="31"/>
      <c r="J92" s="31"/>
      <c r="K92" s="19"/>
      <c r="L92" s="19"/>
      <c r="M92" s="19"/>
      <c r="N92" s="31"/>
      <c r="O92" s="31"/>
      <c r="P92" s="19"/>
      <c r="Q92" s="19"/>
    </row>
    <row r="93" spans="1:17" ht="46.5" customHeight="1" x14ac:dyDescent="0.7">
      <c r="A93" s="19"/>
      <c r="B93" s="19"/>
      <c r="C93" s="19"/>
      <c r="D93" s="31"/>
      <c r="E93" s="31"/>
      <c r="F93" s="31"/>
      <c r="G93" s="31"/>
      <c r="H93" s="31"/>
      <c r="I93" s="31"/>
      <c r="J93" s="31"/>
      <c r="K93" s="19"/>
      <c r="L93" s="19"/>
      <c r="M93" s="19"/>
      <c r="N93" s="31"/>
      <c r="O93" s="31"/>
      <c r="P93" s="19"/>
      <c r="Q93" s="19"/>
    </row>
    <row r="94" spans="1:17" ht="46.5" customHeight="1" x14ac:dyDescent="0.7">
      <c r="A94" s="19"/>
      <c r="B94" s="19"/>
      <c r="C94" s="19"/>
      <c r="D94" s="31"/>
      <c r="E94" s="31"/>
      <c r="F94" s="31"/>
      <c r="G94" s="31"/>
      <c r="H94" s="31"/>
      <c r="I94" s="31"/>
      <c r="J94" s="31"/>
      <c r="K94" s="19"/>
      <c r="L94" s="19"/>
      <c r="M94" s="19"/>
      <c r="N94" s="31"/>
      <c r="O94" s="31"/>
      <c r="P94" s="19"/>
      <c r="Q94" s="19"/>
    </row>
    <row r="95" spans="1:17" ht="46.5" customHeight="1" x14ac:dyDescent="0.7">
      <c r="A95" s="19"/>
      <c r="B95" s="19"/>
      <c r="C95" s="19"/>
      <c r="D95" s="31"/>
      <c r="E95" s="31"/>
      <c r="F95" s="31"/>
      <c r="G95" s="31"/>
      <c r="H95" s="31"/>
      <c r="I95" s="31"/>
      <c r="J95" s="31"/>
      <c r="K95" s="19"/>
      <c r="L95" s="19"/>
      <c r="M95" s="19"/>
      <c r="N95" s="31"/>
      <c r="O95" s="31"/>
      <c r="P95" s="19"/>
      <c r="Q95" s="19"/>
    </row>
    <row r="96" spans="1:17" ht="46.5" customHeight="1" x14ac:dyDescent="0.7">
      <c r="A96" s="19"/>
      <c r="B96" s="19"/>
      <c r="C96" s="19"/>
      <c r="D96" s="31"/>
      <c r="E96" s="31"/>
      <c r="F96" s="31"/>
      <c r="G96" s="31"/>
      <c r="H96" s="31"/>
      <c r="I96" s="31"/>
      <c r="J96" s="31"/>
      <c r="K96" s="19"/>
      <c r="L96" s="19"/>
      <c r="M96" s="19"/>
      <c r="N96" s="31"/>
      <c r="O96" s="31"/>
      <c r="P96" s="19"/>
      <c r="Q96" s="19"/>
    </row>
    <row r="97" spans="1:17" ht="46.5" customHeight="1" x14ac:dyDescent="0.7">
      <c r="A97" s="19"/>
      <c r="B97" s="19"/>
      <c r="C97" s="19"/>
      <c r="D97" s="31"/>
      <c r="E97" s="31"/>
      <c r="F97" s="31"/>
      <c r="G97" s="31"/>
      <c r="H97" s="31"/>
      <c r="I97" s="31"/>
      <c r="J97" s="31"/>
      <c r="K97" s="19"/>
      <c r="L97" s="19"/>
      <c r="M97" s="19"/>
      <c r="N97" s="31"/>
      <c r="O97" s="31"/>
      <c r="P97" s="19"/>
      <c r="Q97" s="19"/>
    </row>
    <row r="98" spans="1:17" ht="46.5" customHeight="1" x14ac:dyDescent="0.7">
      <c r="A98" s="19"/>
      <c r="B98" s="19"/>
      <c r="C98" s="19"/>
      <c r="D98" s="31"/>
      <c r="E98" s="31"/>
      <c r="F98" s="31"/>
      <c r="G98" s="31"/>
      <c r="H98" s="31"/>
      <c r="I98" s="31"/>
      <c r="J98" s="31"/>
      <c r="K98" s="19"/>
      <c r="L98" s="19"/>
      <c r="M98" s="19"/>
      <c r="N98" s="31"/>
      <c r="O98" s="31"/>
      <c r="P98" s="19"/>
      <c r="Q98" s="19"/>
    </row>
    <row r="99" spans="1:17" ht="46.5" customHeight="1" x14ac:dyDescent="0.7">
      <c r="A99" s="19"/>
      <c r="B99" s="19"/>
      <c r="C99" s="19"/>
      <c r="D99" s="31"/>
      <c r="E99" s="31"/>
      <c r="F99" s="31"/>
      <c r="G99" s="31"/>
      <c r="H99" s="31"/>
      <c r="I99" s="31"/>
      <c r="J99" s="31"/>
      <c r="K99" s="19"/>
      <c r="L99" s="19"/>
      <c r="M99" s="19"/>
      <c r="N99" s="31"/>
      <c r="O99" s="31"/>
      <c r="P99" s="19"/>
      <c r="Q99" s="19"/>
    </row>
    <row r="100" spans="1:17" ht="46.5" customHeight="1" x14ac:dyDescent="0.7">
      <c r="A100" s="19"/>
      <c r="B100" s="19"/>
      <c r="C100" s="19"/>
      <c r="D100" s="31"/>
      <c r="E100" s="31"/>
      <c r="F100" s="31"/>
      <c r="G100" s="31"/>
      <c r="H100" s="31"/>
      <c r="I100" s="31"/>
      <c r="J100" s="31"/>
      <c r="K100" s="19"/>
      <c r="L100" s="19"/>
      <c r="M100" s="19"/>
      <c r="N100" s="31"/>
      <c r="O100" s="31"/>
      <c r="P100" s="19"/>
      <c r="Q100" s="19"/>
    </row>
    <row r="101" spans="1:17" ht="46.5" customHeight="1" x14ac:dyDescent="0.7">
      <c r="A101" s="19"/>
      <c r="B101" s="19"/>
      <c r="C101" s="19"/>
      <c r="D101" s="31"/>
      <c r="E101" s="31"/>
      <c r="F101" s="31"/>
      <c r="G101" s="31"/>
      <c r="H101" s="31"/>
      <c r="I101" s="31"/>
      <c r="J101" s="31"/>
      <c r="K101" s="19"/>
      <c r="L101" s="19"/>
      <c r="M101" s="19"/>
      <c r="N101" s="31"/>
      <c r="O101" s="31"/>
      <c r="P101" s="19"/>
      <c r="Q101" s="19"/>
    </row>
    <row r="102" spans="1:17" ht="46.5" customHeight="1" x14ac:dyDescent="0.7">
      <c r="A102" s="19"/>
      <c r="B102" s="19"/>
      <c r="C102" s="19"/>
      <c r="D102" s="31"/>
      <c r="E102" s="31"/>
      <c r="F102" s="31"/>
      <c r="G102" s="31"/>
      <c r="H102" s="31"/>
      <c r="I102" s="31"/>
      <c r="J102" s="31"/>
      <c r="K102" s="19"/>
      <c r="L102" s="19"/>
      <c r="M102" s="19"/>
      <c r="N102" s="31"/>
      <c r="O102" s="31"/>
      <c r="P102" s="19"/>
      <c r="Q102" s="19"/>
    </row>
    <row r="103" spans="1:17" ht="46.5" customHeight="1" x14ac:dyDescent="0.7">
      <c r="A103" s="19"/>
      <c r="B103" s="19"/>
      <c r="C103" s="19"/>
      <c r="D103" s="31"/>
      <c r="E103" s="31"/>
      <c r="F103" s="31"/>
      <c r="G103" s="31"/>
      <c r="H103" s="31"/>
      <c r="I103" s="31"/>
      <c r="J103" s="31"/>
      <c r="K103" s="19"/>
      <c r="L103" s="19"/>
      <c r="M103" s="19"/>
      <c r="N103" s="31"/>
      <c r="O103" s="31"/>
      <c r="P103" s="19"/>
      <c r="Q103" s="19"/>
    </row>
    <row r="104" spans="1:17" ht="46.5" customHeight="1" x14ac:dyDescent="0.7">
      <c r="A104" s="19"/>
      <c r="B104" s="19"/>
      <c r="C104" s="19"/>
      <c r="D104" s="31"/>
      <c r="E104" s="31"/>
      <c r="F104" s="31"/>
      <c r="G104" s="31"/>
      <c r="H104" s="31"/>
      <c r="I104" s="31"/>
      <c r="J104" s="31"/>
      <c r="K104" s="19"/>
      <c r="L104" s="19"/>
      <c r="M104" s="19"/>
      <c r="N104" s="31"/>
      <c r="O104" s="31"/>
      <c r="P104" s="19"/>
      <c r="Q104" s="19"/>
    </row>
    <row r="105" spans="1:17" ht="46.5" customHeight="1" x14ac:dyDescent="0.7">
      <c r="A105" s="19"/>
      <c r="B105" s="19"/>
      <c r="C105" s="19"/>
      <c r="D105" s="31"/>
      <c r="E105" s="31"/>
      <c r="F105" s="31"/>
      <c r="G105" s="31"/>
      <c r="H105" s="31"/>
      <c r="I105" s="31"/>
      <c r="J105" s="31"/>
      <c r="K105" s="19"/>
      <c r="L105" s="19"/>
      <c r="M105" s="19"/>
      <c r="N105" s="31"/>
      <c r="O105" s="31"/>
      <c r="P105" s="19"/>
      <c r="Q105" s="19"/>
    </row>
    <row r="106" spans="1:17" ht="46.5" customHeight="1" x14ac:dyDescent="0.7">
      <c r="A106" s="19"/>
      <c r="B106" s="19"/>
      <c r="C106" s="19"/>
      <c r="D106" s="31"/>
      <c r="E106" s="31"/>
      <c r="F106" s="31"/>
      <c r="G106" s="31"/>
      <c r="H106" s="31"/>
      <c r="I106" s="31"/>
      <c r="J106" s="31"/>
      <c r="K106" s="19"/>
      <c r="L106" s="19"/>
      <c r="M106" s="19"/>
      <c r="N106" s="31"/>
      <c r="O106" s="31"/>
      <c r="P106" s="19"/>
      <c r="Q106" s="19"/>
    </row>
    <row r="107" spans="1:17" ht="46.5" customHeight="1" x14ac:dyDescent="0.7">
      <c r="A107" s="19"/>
      <c r="B107" s="19"/>
      <c r="C107" s="19"/>
      <c r="D107" s="31"/>
      <c r="E107" s="31"/>
      <c r="F107" s="31"/>
      <c r="G107" s="31"/>
      <c r="H107" s="31"/>
      <c r="I107" s="31"/>
      <c r="J107" s="31"/>
      <c r="K107" s="19"/>
      <c r="L107" s="19"/>
      <c r="M107" s="19"/>
      <c r="N107" s="31"/>
      <c r="O107" s="31"/>
      <c r="P107" s="19"/>
      <c r="Q107" s="19"/>
    </row>
    <row r="108" spans="1:17" ht="46.5" customHeight="1" x14ac:dyDescent="0.7">
      <c r="A108" s="19"/>
      <c r="B108" s="19"/>
      <c r="C108" s="19"/>
      <c r="D108" s="31"/>
      <c r="E108" s="31"/>
      <c r="F108" s="31"/>
      <c r="G108" s="31"/>
      <c r="H108" s="31"/>
      <c r="I108" s="31"/>
      <c r="J108" s="31"/>
      <c r="K108" s="19"/>
      <c r="L108" s="19"/>
      <c r="M108" s="19"/>
      <c r="N108" s="31"/>
      <c r="O108" s="31"/>
      <c r="P108" s="19"/>
      <c r="Q108" s="19"/>
    </row>
    <row r="109" spans="1:17" ht="46.5" customHeight="1" x14ac:dyDescent="0.7">
      <c r="A109" s="19"/>
      <c r="B109" s="19"/>
      <c r="C109" s="19"/>
      <c r="D109" s="31"/>
      <c r="E109" s="31"/>
      <c r="F109" s="31"/>
      <c r="G109" s="31"/>
      <c r="H109" s="31"/>
      <c r="I109" s="31"/>
      <c r="J109" s="31"/>
      <c r="K109" s="19"/>
      <c r="L109" s="19"/>
      <c r="M109" s="19"/>
      <c r="N109" s="31"/>
      <c r="O109" s="31"/>
      <c r="P109" s="19"/>
      <c r="Q109" s="19"/>
    </row>
    <row r="110" spans="1:17" ht="46.5" customHeight="1" x14ac:dyDescent="0.7">
      <c r="A110" s="19"/>
      <c r="B110" s="19"/>
      <c r="C110" s="19"/>
      <c r="D110" s="31"/>
      <c r="E110" s="31"/>
      <c r="F110" s="31"/>
      <c r="G110" s="31"/>
      <c r="H110" s="31"/>
      <c r="I110" s="31"/>
      <c r="J110" s="31"/>
      <c r="K110" s="19"/>
      <c r="L110" s="19"/>
      <c r="M110" s="19"/>
      <c r="N110" s="31"/>
      <c r="O110" s="31"/>
      <c r="P110" s="19"/>
      <c r="Q110" s="19"/>
    </row>
    <row r="111" spans="1:17" ht="46.5" customHeight="1" x14ac:dyDescent="0.7">
      <c r="A111" s="19"/>
      <c r="B111" s="19"/>
      <c r="C111" s="19"/>
      <c r="D111" s="31"/>
      <c r="E111" s="31"/>
      <c r="F111" s="31"/>
      <c r="G111" s="31"/>
      <c r="H111" s="31"/>
      <c r="I111" s="31"/>
      <c r="J111" s="31"/>
      <c r="K111" s="19"/>
      <c r="L111" s="19"/>
      <c r="M111" s="19"/>
      <c r="N111" s="31"/>
      <c r="O111" s="31"/>
      <c r="P111" s="19"/>
      <c r="Q111" s="19"/>
    </row>
    <row r="112" spans="1:17" ht="46.5" customHeight="1" x14ac:dyDescent="0.7">
      <c r="A112" s="19"/>
      <c r="B112" s="19"/>
      <c r="C112" s="19"/>
      <c r="D112" s="31"/>
      <c r="E112" s="31"/>
      <c r="F112" s="31"/>
      <c r="G112" s="31"/>
      <c r="H112" s="31"/>
      <c r="I112" s="31"/>
      <c r="J112" s="31"/>
      <c r="K112" s="19"/>
      <c r="L112" s="19"/>
      <c r="M112" s="19"/>
      <c r="N112" s="31"/>
      <c r="O112" s="31"/>
      <c r="P112" s="19"/>
      <c r="Q112" s="19"/>
    </row>
    <row r="113" spans="1:17" ht="46.5" customHeight="1" x14ac:dyDescent="0.7">
      <c r="A113" s="19"/>
      <c r="B113" s="19"/>
      <c r="C113" s="19"/>
      <c r="D113" s="31"/>
      <c r="E113" s="31"/>
      <c r="F113" s="31"/>
      <c r="G113" s="31"/>
      <c r="H113" s="31"/>
      <c r="I113" s="31"/>
      <c r="J113" s="31"/>
      <c r="K113" s="19"/>
      <c r="L113" s="19"/>
      <c r="M113" s="19"/>
      <c r="N113" s="31"/>
      <c r="O113" s="31"/>
      <c r="P113" s="19"/>
      <c r="Q113" s="19"/>
    </row>
    <row r="114" spans="1:17" ht="46.5" customHeight="1" x14ac:dyDescent="0.7">
      <c r="A114" s="19"/>
      <c r="B114" s="19"/>
      <c r="C114" s="19"/>
      <c r="D114" s="31"/>
      <c r="E114" s="31"/>
      <c r="F114" s="31"/>
      <c r="G114" s="31"/>
      <c r="H114" s="31"/>
      <c r="I114" s="31"/>
      <c r="J114" s="31"/>
      <c r="K114" s="19"/>
      <c r="L114" s="19"/>
      <c r="M114" s="19"/>
      <c r="N114" s="31"/>
      <c r="O114" s="31"/>
      <c r="P114" s="19"/>
      <c r="Q114" s="19"/>
    </row>
    <row r="115" spans="1:17" ht="46.5" customHeight="1" x14ac:dyDescent="0.7">
      <c r="A115" s="19"/>
      <c r="B115" s="19"/>
      <c r="C115" s="19"/>
      <c r="D115" s="31"/>
      <c r="E115" s="31"/>
      <c r="F115" s="31"/>
      <c r="G115" s="31"/>
      <c r="H115" s="31"/>
      <c r="I115" s="31"/>
      <c r="J115" s="31"/>
      <c r="K115" s="19"/>
      <c r="L115" s="19"/>
      <c r="M115" s="19"/>
      <c r="N115" s="31"/>
      <c r="O115" s="31"/>
      <c r="P115" s="19"/>
      <c r="Q115" s="19"/>
    </row>
    <row r="116" spans="1:17" ht="46.5" customHeight="1" x14ac:dyDescent="0.7">
      <c r="A116" s="19"/>
      <c r="B116" s="19"/>
      <c r="C116" s="19"/>
      <c r="D116" s="31"/>
      <c r="E116" s="31"/>
      <c r="F116" s="31"/>
      <c r="G116" s="31"/>
      <c r="H116" s="31"/>
      <c r="I116" s="31"/>
      <c r="J116" s="31"/>
      <c r="K116" s="19"/>
      <c r="L116" s="19"/>
      <c r="M116" s="19"/>
      <c r="N116" s="31"/>
      <c r="O116" s="31"/>
      <c r="P116" s="19"/>
      <c r="Q116" s="19"/>
    </row>
    <row r="117" spans="1:17" ht="46.5" customHeight="1" x14ac:dyDescent="0.7">
      <c r="A117" s="19"/>
      <c r="B117" s="19"/>
      <c r="C117" s="19"/>
      <c r="D117" s="31"/>
      <c r="E117" s="31"/>
      <c r="F117" s="31"/>
      <c r="G117" s="31"/>
      <c r="H117" s="31"/>
      <c r="I117" s="31"/>
      <c r="J117" s="31"/>
      <c r="K117" s="19"/>
      <c r="L117" s="19"/>
      <c r="M117" s="19"/>
      <c r="N117" s="31"/>
      <c r="O117" s="31"/>
      <c r="P117" s="19"/>
      <c r="Q117" s="19"/>
    </row>
    <row r="118" spans="1:17" ht="46.5" customHeight="1" x14ac:dyDescent="0.7">
      <c r="A118" s="19"/>
      <c r="B118" s="19"/>
      <c r="C118" s="19"/>
      <c r="D118" s="31"/>
      <c r="E118" s="31"/>
      <c r="F118" s="31"/>
      <c r="G118" s="31"/>
      <c r="H118" s="31"/>
      <c r="I118" s="31"/>
      <c r="J118" s="31"/>
      <c r="K118" s="19"/>
      <c r="L118" s="19"/>
      <c r="M118" s="19"/>
      <c r="N118" s="31"/>
      <c r="O118" s="31"/>
      <c r="P118" s="19"/>
      <c r="Q118" s="19"/>
    </row>
    <row r="119" spans="1:17" ht="46.5" customHeight="1" x14ac:dyDescent="0.7">
      <c r="A119" s="19"/>
      <c r="B119" s="19"/>
      <c r="C119" s="19"/>
      <c r="D119" s="31"/>
      <c r="E119" s="31"/>
      <c r="F119" s="31"/>
      <c r="G119" s="31"/>
      <c r="H119" s="31"/>
      <c r="I119" s="31"/>
      <c r="J119" s="31"/>
      <c r="K119" s="19"/>
      <c r="L119" s="19"/>
      <c r="M119" s="19"/>
      <c r="N119" s="31"/>
      <c r="O119" s="31"/>
      <c r="P119" s="19"/>
      <c r="Q119" s="19"/>
    </row>
    <row r="120" spans="1:17" ht="46.5" customHeight="1" x14ac:dyDescent="0.7">
      <c r="A120" s="19"/>
      <c r="B120" s="19"/>
      <c r="C120" s="19"/>
      <c r="D120" s="31"/>
      <c r="E120" s="31"/>
      <c r="F120" s="31"/>
      <c r="G120" s="31"/>
      <c r="H120" s="31"/>
      <c r="I120" s="31"/>
      <c r="J120" s="31"/>
      <c r="K120" s="19"/>
      <c r="L120" s="19"/>
      <c r="M120" s="19"/>
      <c r="N120" s="31"/>
      <c r="O120" s="31"/>
      <c r="P120" s="19"/>
      <c r="Q120" s="19"/>
    </row>
    <row r="121" spans="1:17" ht="46.5" customHeight="1" x14ac:dyDescent="0.7">
      <c r="A121" s="19"/>
      <c r="B121" s="19"/>
      <c r="C121" s="19"/>
      <c r="D121" s="31"/>
      <c r="E121" s="31"/>
      <c r="F121" s="31"/>
      <c r="G121" s="31"/>
      <c r="H121" s="31"/>
      <c r="I121" s="31"/>
      <c r="J121" s="31"/>
      <c r="K121" s="19"/>
      <c r="L121" s="19"/>
      <c r="M121" s="19"/>
      <c r="N121" s="31"/>
      <c r="O121" s="31"/>
      <c r="P121" s="19"/>
      <c r="Q121" s="19"/>
    </row>
    <row r="122" spans="1:17" ht="46.5" customHeight="1" x14ac:dyDescent="0.7">
      <c r="A122" s="19"/>
      <c r="B122" s="19"/>
      <c r="C122" s="19"/>
      <c r="D122" s="31"/>
      <c r="E122" s="31"/>
      <c r="F122" s="31"/>
      <c r="G122" s="31"/>
      <c r="H122" s="31"/>
      <c r="I122" s="31"/>
      <c r="J122" s="31"/>
      <c r="K122" s="19"/>
      <c r="L122" s="19"/>
      <c r="M122" s="19"/>
      <c r="N122" s="31"/>
      <c r="O122" s="31"/>
      <c r="P122" s="19"/>
      <c r="Q122" s="19"/>
    </row>
    <row r="123" spans="1:17" ht="46.5" customHeight="1" x14ac:dyDescent="0.7">
      <c r="A123" s="19"/>
      <c r="B123" s="19"/>
      <c r="C123" s="19"/>
      <c r="D123" s="31"/>
      <c r="E123" s="31"/>
      <c r="F123" s="31"/>
      <c r="G123" s="31"/>
      <c r="H123" s="31"/>
      <c r="I123" s="31"/>
      <c r="J123" s="31"/>
      <c r="K123" s="19"/>
      <c r="L123" s="19"/>
      <c r="M123" s="19"/>
      <c r="N123" s="31"/>
      <c r="O123" s="31"/>
      <c r="P123" s="19"/>
      <c r="Q123" s="19"/>
    </row>
    <row r="124" spans="1:17" ht="46.5" customHeight="1" x14ac:dyDescent="0.7">
      <c r="A124" s="19"/>
      <c r="B124" s="19"/>
      <c r="C124" s="19"/>
      <c r="D124" s="31"/>
      <c r="E124" s="31"/>
      <c r="F124" s="31"/>
      <c r="G124" s="31"/>
      <c r="H124" s="31"/>
      <c r="I124" s="31"/>
      <c r="J124" s="31"/>
      <c r="K124" s="19"/>
      <c r="L124" s="19"/>
      <c r="M124" s="19"/>
      <c r="N124" s="31"/>
      <c r="O124" s="31"/>
      <c r="P124" s="19"/>
      <c r="Q124" s="19"/>
    </row>
    <row r="125" spans="1:17" ht="46.5" customHeight="1" x14ac:dyDescent="0.7">
      <c r="A125" s="19"/>
      <c r="B125" s="19"/>
      <c r="C125" s="19"/>
      <c r="D125" s="31"/>
      <c r="E125" s="31"/>
      <c r="F125" s="31"/>
      <c r="G125" s="31"/>
      <c r="H125" s="31"/>
      <c r="I125" s="31"/>
      <c r="J125" s="31"/>
      <c r="K125" s="19"/>
      <c r="L125" s="19"/>
      <c r="M125" s="19"/>
      <c r="N125" s="31"/>
      <c r="O125" s="31"/>
      <c r="P125" s="19"/>
      <c r="Q125" s="19"/>
    </row>
    <row r="126" spans="1:17" ht="46.5" customHeight="1" x14ac:dyDescent="0.7">
      <c r="A126" s="19"/>
      <c r="B126" s="19"/>
      <c r="C126" s="19"/>
      <c r="D126" s="31"/>
      <c r="E126" s="31"/>
      <c r="F126" s="31"/>
      <c r="G126" s="31"/>
      <c r="H126" s="31"/>
      <c r="I126" s="31"/>
      <c r="J126" s="31"/>
      <c r="K126" s="19"/>
      <c r="L126" s="19"/>
      <c r="M126" s="19"/>
      <c r="N126" s="31"/>
      <c r="O126" s="31"/>
      <c r="P126" s="19"/>
      <c r="Q126" s="19"/>
    </row>
    <row r="127" spans="1:17" ht="46.5" customHeight="1" x14ac:dyDescent="0.7">
      <c r="A127" s="19"/>
      <c r="B127" s="19"/>
      <c r="C127" s="19"/>
      <c r="D127" s="31"/>
      <c r="E127" s="31"/>
      <c r="F127" s="31"/>
      <c r="G127" s="31"/>
      <c r="H127" s="31"/>
      <c r="I127" s="31"/>
      <c r="J127" s="31"/>
      <c r="K127" s="19"/>
      <c r="L127" s="19"/>
      <c r="M127" s="19"/>
      <c r="N127" s="31"/>
      <c r="O127" s="31"/>
      <c r="P127" s="19"/>
      <c r="Q127" s="19"/>
    </row>
    <row r="128" spans="1:17" ht="46.5" customHeight="1" x14ac:dyDescent="0.7">
      <c r="A128" s="19"/>
      <c r="B128" s="19"/>
      <c r="C128" s="19"/>
      <c r="D128" s="31"/>
      <c r="E128" s="31"/>
      <c r="F128" s="31"/>
      <c r="G128" s="31"/>
      <c r="H128" s="31"/>
      <c r="I128" s="31"/>
      <c r="J128" s="31"/>
      <c r="K128" s="19"/>
      <c r="L128" s="19"/>
      <c r="M128" s="19"/>
      <c r="N128" s="31"/>
      <c r="O128" s="31"/>
      <c r="P128" s="19"/>
      <c r="Q128" s="19"/>
    </row>
    <row r="129" spans="1:17" ht="46.5" customHeight="1" x14ac:dyDescent="0.7">
      <c r="A129" s="19"/>
      <c r="B129" s="19"/>
      <c r="C129" s="19"/>
      <c r="D129" s="31"/>
      <c r="E129" s="31"/>
      <c r="F129" s="31"/>
      <c r="G129" s="31"/>
      <c r="H129" s="31"/>
      <c r="I129" s="31"/>
      <c r="J129" s="31"/>
      <c r="K129" s="19"/>
      <c r="L129" s="19"/>
      <c r="M129" s="19"/>
      <c r="N129" s="31"/>
      <c r="O129" s="31"/>
      <c r="P129" s="19"/>
      <c r="Q129" s="19"/>
    </row>
    <row r="130" spans="1:17" ht="46.5" customHeight="1" x14ac:dyDescent="0.7">
      <c r="A130" s="19"/>
      <c r="B130" s="19"/>
      <c r="C130" s="19"/>
      <c r="D130" s="31"/>
      <c r="E130" s="31"/>
      <c r="F130" s="31"/>
      <c r="G130" s="31"/>
      <c r="H130" s="31"/>
      <c r="I130" s="31"/>
      <c r="J130" s="31"/>
      <c r="K130" s="19"/>
      <c r="L130" s="19"/>
      <c r="M130" s="19"/>
      <c r="N130" s="31"/>
      <c r="O130" s="31"/>
      <c r="P130" s="19"/>
      <c r="Q130" s="19"/>
    </row>
    <row r="131" spans="1:17" ht="46.5" customHeight="1" x14ac:dyDescent="0.7">
      <c r="A131" s="19"/>
      <c r="B131" s="19"/>
      <c r="C131" s="19"/>
      <c r="D131" s="31"/>
      <c r="E131" s="31"/>
      <c r="F131" s="31"/>
      <c r="G131" s="31"/>
      <c r="H131" s="31"/>
      <c r="I131" s="31"/>
      <c r="J131" s="31"/>
      <c r="K131" s="19"/>
      <c r="L131" s="19"/>
      <c r="M131" s="19"/>
      <c r="N131" s="31"/>
      <c r="O131" s="31"/>
      <c r="P131" s="19"/>
      <c r="Q131" s="19"/>
    </row>
    <row r="132" spans="1:17" ht="46.5" customHeight="1" x14ac:dyDescent="0.7">
      <c r="A132" s="19"/>
      <c r="B132" s="19"/>
      <c r="C132" s="19"/>
      <c r="D132" s="31"/>
      <c r="E132" s="31"/>
      <c r="F132" s="31"/>
      <c r="G132" s="31"/>
      <c r="H132" s="31"/>
      <c r="I132" s="31"/>
      <c r="J132" s="31"/>
      <c r="K132" s="19"/>
      <c r="L132" s="19"/>
      <c r="M132" s="19"/>
      <c r="N132" s="31"/>
      <c r="O132" s="31"/>
      <c r="P132" s="19"/>
      <c r="Q132" s="19"/>
    </row>
    <row r="133" spans="1:17" ht="46.5" customHeight="1" x14ac:dyDescent="0.7">
      <c r="A133" s="19"/>
      <c r="B133" s="19"/>
      <c r="C133" s="19"/>
      <c r="D133" s="31"/>
      <c r="E133" s="31"/>
      <c r="F133" s="31"/>
      <c r="G133" s="31"/>
      <c r="H133" s="31"/>
      <c r="I133" s="31"/>
      <c r="J133" s="31"/>
      <c r="K133" s="19"/>
      <c r="L133" s="19"/>
      <c r="M133" s="19"/>
      <c r="N133" s="31"/>
      <c r="O133" s="31"/>
      <c r="P133" s="19"/>
      <c r="Q133" s="19"/>
    </row>
    <row r="134" spans="1:17" ht="46.5" customHeight="1" x14ac:dyDescent="0.7">
      <c r="A134" s="19"/>
      <c r="B134" s="19"/>
      <c r="C134" s="19"/>
      <c r="D134" s="31"/>
      <c r="E134" s="31"/>
      <c r="F134" s="31"/>
      <c r="G134" s="31"/>
      <c r="H134" s="31"/>
      <c r="I134" s="31"/>
      <c r="J134" s="31"/>
      <c r="K134" s="19"/>
      <c r="L134" s="19"/>
      <c r="M134" s="19"/>
      <c r="N134" s="31"/>
      <c r="O134" s="31"/>
      <c r="P134" s="19"/>
      <c r="Q134" s="19"/>
    </row>
    <row r="135" spans="1:17" ht="46.5" customHeight="1" x14ac:dyDescent="0.7">
      <c r="A135" s="19"/>
      <c r="B135" s="19"/>
      <c r="C135" s="19"/>
      <c r="D135" s="31"/>
      <c r="E135" s="31"/>
      <c r="F135" s="31"/>
      <c r="G135" s="31"/>
      <c r="H135" s="31"/>
      <c r="I135" s="31"/>
      <c r="J135" s="31"/>
      <c r="K135" s="19"/>
      <c r="L135" s="19"/>
      <c r="M135" s="19"/>
      <c r="N135" s="31"/>
      <c r="O135" s="31"/>
      <c r="P135" s="19"/>
      <c r="Q135" s="19"/>
    </row>
    <row r="136" spans="1:17" ht="46.5" customHeight="1" x14ac:dyDescent="0.7">
      <c r="A136" s="19"/>
      <c r="B136" s="19"/>
      <c r="C136" s="19"/>
      <c r="D136" s="31"/>
      <c r="E136" s="31"/>
      <c r="F136" s="31"/>
      <c r="G136" s="31"/>
      <c r="H136" s="31"/>
      <c r="I136" s="31"/>
      <c r="J136" s="31"/>
      <c r="K136" s="19"/>
      <c r="L136" s="19"/>
      <c r="M136" s="19"/>
      <c r="N136" s="31"/>
      <c r="O136" s="31"/>
      <c r="P136" s="19"/>
      <c r="Q136" s="19"/>
    </row>
    <row r="137" spans="1:17" ht="46.5" customHeight="1" x14ac:dyDescent="0.7">
      <c r="A137" s="19"/>
      <c r="B137" s="19"/>
      <c r="C137" s="19"/>
      <c r="D137" s="31"/>
      <c r="E137" s="31"/>
      <c r="F137" s="31"/>
      <c r="G137" s="31"/>
      <c r="H137" s="31"/>
      <c r="I137" s="31"/>
      <c r="J137" s="31"/>
      <c r="K137" s="19"/>
      <c r="L137" s="19"/>
      <c r="M137" s="19"/>
      <c r="N137" s="31"/>
      <c r="O137" s="31"/>
      <c r="P137" s="19"/>
      <c r="Q137" s="19"/>
    </row>
    <row r="138" spans="1:17" ht="46.5" customHeight="1" x14ac:dyDescent="0.7">
      <c r="A138" s="19"/>
      <c r="B138" s="19"/>
      <c r="C138" s="19"/>
      <c r="D138" s="31"/>
      <c r="E138" s="31"/>
      <c r="F138" s="31"/>
      <c r="G138" s="31"/>
      <c r="H138" s="31"/>
      <c r="I138" s="31"/>
      <c r="J138" s="31"/>
      <c r="K138" s="19"/>
      <c r="L138" s="19"/>
      <c r="M138" s="19"/>
      <c r="N138" s="31"/>
      <c r="O138" s="31"/>
      <c r="P138" s="19"/>
      <c r="Q138" s="19"/>
    </row>
    <row r="139" spans="1:17" ht="46.5" customHeight="1" x14ac:dyDescent="0.7">
      <c r="A139" s="19"/>
      <c r="B139" s="19"/>
      <c r="C139" s="19"/>
      <c r="D139" s="31"/>
      <c r="E139" s="31"/>
      <c r="F139" s="31"/>
      <c r="G139" s="31"/>
      <c r="H139" s="31"/>
      <c r="I139" s="31"/>
      <c r="J139" s="31"/>
      <c r="K139" s="19"/>
      <c r="L139" s="19"/>
      <c r="M139" s="19"/>
      <c r="N139" s="31"/>
      <c r="O139" s="31"/>
      <c r="P139" s="19"/>
      <c r="Q139" s="19"/>
    </row>
    <row r="140" spans="1:17" ht="46.5" customHeight="1" x14ac:dyDescent="0.7">
      <c r="A140" s="19"/>
      <c r="B140" s="19"/>
      <c r="C140" s="19"/>
      <c r="D140" s="31"/>
      <c r="E140" s="31"/>
      <c r="F140" s="31"/>
      <c r="G140" s="31"/>
      <c r="H140" s="31"/>
      <c r="I140" s="31"/>
      <c r="J140" s="31"/>
      <c r="K140" s="19"/>
      <c r="L140" s="19"/>
      <c r="M140" s="19"/>
      <c r="N140" s="31"/>
      <c r="O140" s="31"/>
      <c r="P140" s="19"/>
      <c r="Q140" s="19"/>
    </row>
    <row r="141" spans="1:17" ht="46.5" customHeight="1" x14ac:dyDescent="0.7">
      <c r="A141" s="19"/>
      <c r="B141" s="19"/>
      <c r="C141" s="19"/>
      <c r="D141" s="31"/>
      <c r="E141" s="31"/>
      <c r="F141" s="31"/>
      <c r="G141" s="31"/>
      <c r="H141" s="31"/>
      <c r="I141" s="31"/>
      <c r="J141" s="31"/>
      <c r="K141" s="19"/>
      <c r="L141" s="19"/>
      <c r="M141" s="19"/>
      <c r="N141" s="31"/>
      <c r="O141" s="31"/>
      <c r="P141" s="19"/>
      <c r="Q141" s="19"/>
    </row>
    <row r="142" spans="1:17" ht="46.5" customHeight="1" x14ac:dyDescent="0.7">
      <c r="A142" s="19"/>
      <c r="B142" s="19"/>
      <c r="C142" s="19"/>
      <c r="D142" s="31"/>
      <c r="E142" s="31"/>
      <c r="F142" s="31"/>
      <c r="G142" s="31"/>
      <c r="H142" s="31"/>
      <c r="I142" s="31"/>
      <c r="J142" s="31"/>
      <c r="K142" s="19"/>
      <c r="L142" s="19"/>
      <c r="M142" s="19"/>
      <c r="N142" s="31"/>
      <c r="O142" s="31"/>
      <c r="P142" s="19"/>
      <c r="Q142" s="19"/>
    </row>
    <row r="143" spans="1:17" ht="46.5" customHeight="1" x14ac:dyDescent="0.7">
      <c r="A143" s="19"/>
      <c r="B143" s="19"/>
      <c r="C143" s="19"/>
      <c r="D143" s="31"/>
      <c r="E143" s="31"/>
      <c r="F143" s="31"/>
      <c r="G143" s="31"/>
      <c r="H143" s="31"/>
      <c r="I143" s="31"/>
      <c r="J143" s="31"/>
      <c r="K143" s="19"/>
      <c r="L143" s="19"/>
      <c r="M143" s="19"/>
      <c r="N143" s="31"/>
      <c r="O143" s="31"/>
      <c r="P143" s="19"/>
      <c r="Q143" s="19"/>
    </row>
    <row r="144" spans="1:17" ht="46.5" customHeight="1" x14ac:dyDescent="0.7">
      <c r="A144" s="19"/>
      <c r="B144" s="19"/>
      <c r="C144" s="19"/>
      <c r="D144" s="31"/>
      <c r="E144" s="31"/>
      <c r="F144" s="31"/>
      <c r="G144" s="31"/>
      <c r="H144" s="31"/>
      <c r="I144" s="31"/>
      <c r="J144" s="31"/>
      <c r="K144" s="19"/>
      <c r="L144" s="19"/>
      <c r="M144" s="19"/>
      <c r="N144" s="31"/>
      <c r="O144" s="31"/>
      <c r="P144" s="19"/>
      <c r="Q144" s="19"/>
    </row>
    <row r="145" spans="1:17" ht="46.5" customHeight="1" x14ac:dyDescent="0.7">
      <c r="A145" s="19"/>
      <c r="B145" s="19"/>
      <c r="C145" s="19"/>
      <c r="D145" s="31"/>
      <c r="E145" s="31"/>
      <c r="F145" s="31"/>
      <c r="G145" s="31"/>
      <c r="H145" s="31"/>
      <c r="I145" s="31"/>
      <c r="J145" s="31"/>
      <c r="K145" s="19"/>
      <c r="L145" s="19"/>
      <c r="M145" s="19"/>
      <c r="N145" s="31"/>
      <c r="O145" s="31"/>
      <c r="P145" s="19"/>
      <c r="Q145" s="19"/>
    </row>
    <row r="146" spans="1:17" ht="46.5" customHeight="1" x14ac:dyDescent="0.7">
      <c r="A146" s="19"/>
      <c r="B146" s="19"/>
      <c r="C146" s="19"/>
      <c r="D146" s="31"/>
      <c r="E146" s="31"/>
      <c r="F146" s="31"/>
      <c r="G146" s="31"/>
      <c r="H146" s="31"/>
      <c r="I146" s="31"/>
      <c r="J146" s="31"/>
      <c r="K146" s="19"/>
      <c r="L146" s="19"/>
      <c r="M146" s="19"/>
      <c r="N146" s="31"/>
      <c r="O146" s="31"/>
      <c r="P146" s="19"/>
      <c r="Q146" s="19"/>
    </row>
    <row r="147" spans="1:17" ht="46.5" customHeight="1" x14ac:dyDescent="0.7">
      <c r="A147" s="19"/>
      <c r="B147" s="19"/>
      <c r="C147" s="19"/>
      <c r="D147" s="31"/>
      <c r="E147" s="31"/>
      <c r="F147" s="31"/>
      <c r="G147" s="31"/>
      <c r="H147" s="31"/>
      <c r="I147" s="31"/>
      <c r="J147" s="31"/>
      <c r="K147" s="19"/>
      <c r="L147" s="19"/>
      <c r="M147" s="19"/>
      <c r="N147" s="31"/>
      <c r="O147" s="31"/>
      <c r="P147" s="19"/>
      <c r="Q147" s="19"/>
    </row>
    <row r="148" spans="1:17" ht="46.5" customHeight="1" x14ac:dyDescent="0.7">
      <c r="A148" s="19"/>
      <c r="B148" s="19"/>
      <c r="C148" s="19"/>
      <c r="D148" s="31"/>
      <c r="E148" s="31"/>
      <c r="F148" s="31"/>
      <c r="G148" s="31"/>
      <c r="H148" s="31"/>
      <c r="I148" s="31"/>
      <c r="J148" s="31"/>
      <c r="K148" s="19"/>
      <c r="L148" s="19"/>
      <c r="M148" s="19"/>
      <c r="N148" s="31"/>
      <c r="O148" s="31"/>
      <c r="P148" s="19"/>
      <c r="Q148" s="19"/>
    </row>
    <row r="149" spans="1:17" ht="46.5" customHeight="1" x14ac:dyDescent="0.7">
      <c r="A149" s="19"/>
      <c r="B149" s="19"/>
      <c r="C149" s="19"/>
      <c r="D149" s="31"/>
      <c r="E149" s="31"/>
      <c r="F149" s="31"/>
      <c r="G149" s="31"/>
      <c r="H149" s="31"/>
      <c r="I149" s="31"/>
      <c r="J149" s="31"/>
      <c r="K149" s="19"/>
      <c r="L149" s="19"/>
      <c r="M149" s="19"/>
      <c r="N149" s="31"/>
      <c r="O149" s="31"/>
      <c r="P149" s="19"/>
      <c r="Q149" s="19"/>
    </row>
    <row r="150" spans="1:17" ht="46.5" customHeight="1" x14ac:dyDescent="0.7">
      <c r="A150" s="19"/>
      <c r="B150" s="19"/>
      <c r="C150" s="19"/>
      <c r="D150" s="31"/>
      <c r="E150" s="31"/>
      <c r="F150" s="31"/>
      <c r="G150" s="31"/>
      <c r="H150" s="31"/>
      <c r="I150" s="31"/>
      <c r="J150" s="31"/>
      <c r="K150" s="19"/>
      <c r="L150" s="19"/>
      <c r="M150" s="19"/>
      <c r="N150" s="31"/>
      <c r="O150" s="31"/>
      <c r="P150" s="19"/>
      <c r="Q150" s="19"/>
    </row>
    <row r="151" spans="1:17" ht="46.5" customHeight="1" x14ac:dyDescent="0.7">
      <c r="A151" s="19"/>
      <c r="B151" s="19"/>
      <c r="C151" s="19"/>
      <c r="D151" s="31"/>
      <c r="E151" s="31"/>
      <c r="F151" s="31"/>
      <c r="G151" s="31"/>
      <c r="H151" s="31"/>
      <c r="I151" s="31"/>
      <c r="J151" s="31"/>
      <c r="K151" s="19"/>
      <c r="L151" s="19"/>
      <c r="M151" s="19"/>
      <c r="N151" s="31"/>
      <c r="O151" s="31"/>
      <c r="P151" s="19"/>
      <c r="Q151" s="19"/>
    </row>
    <row r="152" spans="1:17" ht="46.5" customHeight="1" x14ac:dyDescent="0.7">
      <c r="A152" s="19"/>
      <c r="B152" s="19"/>
      <c r="C152" s="19"/>
      <c r="D152" s="31"/>
      <c r="E152" s="31"/>
      <c r="F152" s="31"/>
      <c r="G152" s="31"/>
      <c r="H152" s="31"/>
      <c r="I152" s="31"/>
      <c r="J152" s="31"/>
      <c r="K152" s="19"/>
      <c r="L152" s="19"/>
      <c r="M152" s="19"/>
      <c r="N152" s="31"/>
      <c r="O152" s="31"/>
      <c r="P152" s="19"/>
      <c r="Q152" s="19"/>
    </row>
    <row r="153" spans="1:17" ht="46.5" customHeight="1" x14ac:dyDescent="0.7">
      <c r="A153" s="19"/>
      <c r="B153" s="19"/>
      <c r="C153" s="19"/>
      <c r="D153" s="31"/>
      <c r="E153" s="31"/>
      <c r="F153" s="31"/>
      <c r="G153" s="31"/>
      <c r="H153" s="31"/>
      <c r="I153" s="31"/>
      <c r="J153" s="31"/>
      <c r="K153" s="19"/>
      <c r="L153" s="19"/>
      <c r="M153" s="19"/>
      <c r="N153" s="31"/>
      <c r="O153" s="31"/>
      <c r="P153" s="19"/>
      <c r="Q153" s="19"/>
    </row>
    <row r="154" spans="1:17" ht="46.5" customHeight="1" x14ac:dyDescent="0.7">
      <c r="A154" s="19"/>
      <c r="B154" s="19"/>
      <c r="C154" s="19"/>
      <c r="D154" s="31"/>
      <c r="E154" s="31"/>
      <c r="F154" s="31"/>
      <c r="G154" s="31"/>
      <c r="H154" s="31"/>
      <c r="I154" s="31"/>
      <c r="J154" s="31"/>
      <c r="K154" s="19"/>
      <c r="L154" s="19"/>
      <c r="M154" s="19"/>
      <c r="N154" s="31"/>
      <c r="O154" s="31"/>
      <c r="P154" s="19"/>
      <c r="Q154" s="19"/>
    </row>
    <row r="155" spans="1:17" ht="46.5" customHeight="1" x14ac:dyDescent="0.7">
      <c r="A155" s="19"/>
      <c r="B155" s="19"/>
      <c r="C155" s="19"/>
      <c r="D155" s="31"/>
      <c r="E155" s="31"/>
      <c r="F155" s="31"/>
      <c r="G155" s="31"/>
      <c r="H155" s="31"/>
      <c r="I155" s="31"/>
      <c r="J155" s="31"/>
      <c r="K155" s="19"/>
      <c r="L155" s="19"/>
      <c r="M155" s="19"/>
      <c r="N155" s="31"/>
      <c r="O155" s="31"/>
      <c r="P155" s="19"/>
      <c r="Q155" s="19"/>
    </row>
    <row r="156" spans="1:17" ht="46.5" customHeight="1" x14ac:dyDescent="0.7">
      <c r="A156" s="19"/>
      <c r="B156" s="19"/>
      <c r="C156" s="19"/>
      <c r="D156" s="31"/>
      <c r="E156" s="31"/>
      <c r="F156" s="31"/>
      <c r="G156" s="31"/>
      <c r="H156" s="31"/>
      <c r="I156" s="31"/>
      <c r="J156" s="31"/>
      <c r="K156" s="19"/>
      <c r="L156" s="19"/>
      <c r="M156" s="19"/>
      <c r="N156" s="31"/>
      <c r="O156" s="31"/>
      <c r="P156" s="19"/>
      <c r="Q156" s="19"/>
    </row>
    <row r="157" spans="1:17" ht="46.5" customHeight="1" x14ac:dyDescent="0.7">
      <c r="A157" s="19"/>
      <c r="B157" s="19"/>
      <c r="C157" s="19"/>
      <c r="D157" s="31"/>
      <c r="E157" s="31"/>
      <c r="F157" s="31"/>
      <c r="G157" s="31"/>
      <c r="H157" s="31"/>
      <c r="I157" s="31"/>
      <c r="J157" s="31"/>
      <c r="K157" s="19"/>
      <c r="L157" s="19"/>
      <c r="M157" s="19"/>
      <c r="N157" s="31"/>
      <c r="O157" s="31"/>
      <c r="P157" s="19"/>
      <c r="Q157" s="19"/>
    </row>
    <row r="158" spans="1:17" ht="46.5" customHeight="1" x14ac:dyDescent="0.7">
      <c r="A158" s="19"/>
      <c r="B158" s="19"/>
      <c r="C158" s="19"/>
      <c r="D158" s="31"/>
      <c r="E158" s="31"/>
      <c r="F158" s="31"/>
      <c r="G158" s="31"/>
      <c r="H158" s="31"/>
      <c r="I158" s="31"/>
      <c r="J158" s="31"/>
      <c r="K158" s="19"/>
      <c r="L158" s="19"/>
      <c r="M158" s="19"/>
      <c r="N158" s="31"/>
      <c r="O158" s="31"/>
      <c r="P158" s="19"/>
      <c r="Q158" s="19"/>
    </row>
    <row r="159" spans="1:17" ht="46.5" customHeight="1" x14ac:dyDescent="0.7">
      <c r="A159" s="19"/>
      <c r="B159" s="19"/>
      <c r="C159" s="19"/>
      <c r="D159" s="31"/>
      <c r="E159" s="31"/>
      <c r="F159" s="31"/>
      <c r="G159" s="31"/>
      <c r="H159" s="31"/>
      <c r="I159" s="31"/>
      <c r="J159" s="31"/>
      <c r="K159" s="19"/>
      <c r="L159" s="19"/>
      <c r="M159" s="19"/>
      <c r="N159" s="31"/>
      <c r="O159" s="31"/>
      <c r="P159" s="19"/>
      <c r="Q159" s="19"/>
    </row>
    <row r="160" spans="1:17" ht="46.5" customHeight="1" x14ac:dyDescent="0.7">
      <c r="A160" s="19"/>
      <c r="B160" s="19"/>
      <c r="C160" s="19"/>
      <c r="D160" s="31"/>
      <c r="E160" s="31"/>
      <c r="F160" s="31"/>
      <c r="G160" s="31"/>
      <c r="H160" s="31"/>
      <c r="I160" s="31"/>
      <c r="J160" s="31"/>
      <c r="K160" s="19"/>
      <c r="L160" s="19"/>
      <c r="M160" s="19"/>
      <c r="N160" s="31"/>
      <c r="O160" s="31"/>
      <c r="P160" s="19"/>
      <c r="Q160" s="19"/>
    </row>
    <row r="161" spans="1:17" ht="46.5" customHeight="1" x14ac:dyDescent="0.7">
      <c r="A161" s="19"/>
      <c r="B161" s="19"/>
      <c r="C161" s="19"/>
      <c r="D161" s="31"/>
      <c r="E161" s="31"/>
      <c r="F161" s="31"/>
      <c r="G161" s="31"/>
      <c r="H161" s="31"/>
      <c r="I161" s="31"/>
      <c r="J161" s="31"/>
      <c r="K161" s="19"/>
      <c r="L161" s="19"/>
      <c r="M161" s="19"/>
      <c r="N161" s="31"/>
      <c r="O161" s="31"/>
      <c r="P161" s="19"/>
      <c r="Q161" s="19"/>
    </row>
    <row r="162" spans="1:17" ht="46.5" customHeight="1" x14ac:dyDescent="0.7">
      <c r="A162" s="19"/>
      <c r="B162" s="19"/>
      <c r="C162" s="19"/>
      <c r="D162" s="31"/>
      <c r="E162" s="31"/>
      <c r="F162" s="31"/>
      <c r="G162" s="31"/>
      <c r="H162" s="31"/>
      <c r="I162" s="31"/>
      <c r="J162" s="31"/>
      <c r="K162" s="19"/>
      <c r="L162" s="19"/>
      <c r="M162" s="19"/>
      <c r="N162" s="31"/>
      <c r="O162" s="31"/>
      <c r="P162" s="19"/>
      <c r="Q162" s="19"/>
    </row>
    <row r="163" spans="1:17" ht="46.5" customHeight="1" x14ac:dyDescent="0.7">
      <c r="A163" s="19"/>
      <c r="B163" s="19"/>
      <c r="C163" s="19"/>
      <c r="D163" s="31"/>
      <c r="E163" s="31"/>
      <c r="F163" s="31"/>
      <c r="G163" s="31"/>
      <c r="H163" s="31"/>
      <c r="I163" s="31"/>
      <c r="J163" s="31"/>
      <c r="K163" s="19"/>
      <c r="L163" s="19"/>
      <c r="M163" s="19"/>
      <c r="N163" s="31"/>
      <c r="O163" s="31"/>
      <c r="P163" s="19"/>
      <c r="Q163" s="19"/>
    </row>
    <row r="164" spans="1:17" ht="46.5" customHeight="1" x14ac:dyDescent="0.7">
      <c r="A164" s="19"/>
      <c r="B164" s="19"/>
      <c r="C164" s="19"/>
      <c r="D164" s="31"/>
      <c r="E164" s="31"/>
      <c r="F164" s="31"/>
      <c r="G164" s="31"/>
      <c r="H164" s="31"/>
      <c r="I164" s="31"/>
      <c r="J164" s="31"/>
      <c r="K164" s="19"/>
      <c r="L164" s="19"/>
      <c r="M164" s="19"/>
      <c r="N164" s="31"/>
      <c r="O164" s="31"/>
      <c r="P164" s="19"/>
      <c r="Q164" s="19"/>
    </row>
    <row r="165" spans="1:17" ht="46.5" customHeight="1" x14ac:dyDescent="0.7">
      <c r="A165" s="19"/>
      <c r="B165" s="19"/>
      <c r="C165" s="19"/>
      <c r="D165" s="31"/>
      <c r="E165" s="31"/>
      <c r="F165" s="31"/>
      <c r="G165" s="31"/>
      <c r="H165" s="31"/>
      <c r="I165" s="31"/>
      <c r="J165" s="31"/>
      <c r="K165" s="19"/>
      <c r="L165" s="19"/>
      <c r="M165" s="19"/>
      <c r="N165" s="31"/>
      <c r="O165" s="31"/>
      <c r="P165" s="19"/>
      <c r="Q165" s="19"/>
    </row>
    <row r="166" spans="1:17" ht="46.5" customHeight="1" x14ac:dyDescent="0.7">
      <c r="A166" s="19"/>
      <c r="B166" s="19"/>
      <c r="C166" s="19"/>
      <c r="D166" s="31"/>
      <c r="E166" s="31"/>
      <c r="F166" s="31"/>
      <c r="G166" s="31"/>
      <c r="H166" s="31"/>
      <c r="I166" s="31"/>
      <c r="J166" s="31"/>
      <c r="K166" s="19"/>
      <c r="L166" s="19"/>
      <c r="M166" s="19"/>
      <c r="N166" s="31"/>
      <c r="O166" s="31"/>
      <c r="P166" s="19"/>
      <c r="Q166" s="19"/>
    </row>
    <row r="167" spans="1:17" ht="46.5" customHeight="1" x14ac:dyDescent="0.7">
      <c r="A167" s="19"/>
      <c r="B167" s="19"/>
      <c r="C167" s="19"/>
      <c r="D167" s="31"/>
      <c r="E167" s="31"/>
      <c r="F167" s="31"/>
      <c r="G167" s="31"/>
      <c r="H167" s="31"/>
      <c r="I167" s="31"/>
      <c r="J167" s="31"/>
      <c r="K167" s="19"/>
      <c r="L167" s="19"/>
      <c r="M167" s="19"/>
      <c r="N167" s="31"/>
      <c r="O167" s="31"/>
      <c r="P167" s="19"/>
      <c r="Q167" s="19"/>
    </row>
    <row r="168" spans="1:17" ht="46.5" customHeight="1" x14ac:dyDescent="0.7">
      <c r="A168" s="19"/>
      <c r="B168" s="19"/>
      <c r="C168" s="19"/>
      <c r="D168" s="31"/>
      <c r="E168" s="31"/>
      <c r="F168" s="31"/>
      <c r="G168" s="31"/>
      <c r="H168" s="31"/>
      <c r="I168" s="31"/>
      <c r="J168" s="31"/>
      <c r="K168" s="19"/>
      <c r="L168" s="19"/>
      <c r="M168" s="19"/>
      <c r="N168" s="31"/>
      <c r="O168" s="31"/>
      <c r="P168" s="19"/>
      <c r="Q168" s="19"/>
    </row>
    <row r="169" spans="1:17" ht="46.5" customHeight="1" x14ac:dyDescent="0.7">
      <c r="A169" s="19"/>
      <c r="B169" s="19"/>
      <c r="C169" s="19"/>
      <c r="D169" s="31"/>
      <c r="E169" s="31"/>
      <c r="F169" s="31"/>
      <c r="G169" s="31"/>
      <c r="H169" s="31"/>
      <c r="I169" s="31"/>
      <c r="J169" s="31"/>
      <c r="K169" s="19"/>
      <c r="L169" s="19"/>
      <c r="M169" s="19"/>
      <c r="N169" s="31"/>
      <c r="O169" s="31"/>
      <c r="P169" s="19"/>
      <c r="Q169" s="19"/>
    </row>
    <row r="170" spans="1:17" ht="46.5" customHeight="1" x14ac:dyDescent="0.7">
      <c r="A170" s="19"/>
      <c r="B170" s="19"/>
      <c r="C170" s="19"/>
      <c r="D170" s="31"/>
      <c r="E170" s="31"/>
      <c r="F170" s="31"/>
      <c r="G170" s="31"/>
      <c r="H170" s="31"/>
      <c r="I170" s="31"/>
      <c r="J170" s="31"/>
      <c r="K170" s="19"/>
      <c r="L170" s="19"/>
      <c r="M170" s="19"/>
      <c r="N170" s="31"/>
      <c r="O170" s="31"/>
      <c r="P170" s="19"/>
      <c r="Q170" s="19"/>
    </row>
    <row r="171" spans="1:17" ht="46.5" customHeight="1" x14ac:dyDescent="0.7">
      <c r="A171" s="19"/>
      <c r="B171" s="19"/>
      <c r="C171" s="19"/>
      <c r="D171" s="31"/>
      <c r="E171" s="31"/>
      <c r="F171" s="31"/>
      <c r="G171" s="31"/>
      <c r="H171" s="31"/>
      <c r="I171" s="31"/>
      <c r="J171" s="31"/>
      <c r="K171" s="19"/>
      <c r="L171" s="19"/>
      <c r="M171" s="19"/>
      <c r="N171" s="31"/>
      <c r="O171" s="31"/>
      <c r="P171" s="19"/>
      <c r="Q171" s="19"/>
    </row>
    <row r="172" spans="1:17" ht="46.5" customHeight="1" x14ac:dyDescent="0.7">
      <c r="A172" s="19"/>
      <c r="B172" s="19"/>
      <c r="C172" s="19"/>
      <c r="D172" s="31"/>
      <c r="E172" s="31"/>
      <c r="F172" s="31"/>
      <c r="G172" s="31"/>
      <c r="H172" s="31"/>
      <c r="I172" s="31"/>
      <c r="J172" s="31"/>
      <c r="K172" s="19"/>
      <c r="L172" s="19"/>
      <c r="M172" s="19"/>
      <c r="N172" s="31"/>
      <c r="O172" s="31"/>
      <c r="P172" s="19"/>
      <c r="Q172" s="19"/>
    </row>
    <row r="173" spans="1:17" ht="46.5" customHeight="1" x14ac:dyDescent="0.7">
      <c r="A173" s="19"/>
      <c r="B173" s="19"/>
      <c r="C173" s="19"/>
      <c r="D173" s="31"/>
      <c r="E173" s="31"/>
      <c r="F173" s="31"/>
      <c r="G173" s="31"/>
      <c r="H173" s="31"/>
      <c r="I173" s="31"/>
      <c r="J173" s="31"/>
      <c r="K173" s="19"/>
      <c r="L173" s="19"/>
      <c r="M173" s="19"/>
      <c r="N173" s="31"/>
      <c r="O173" s="31"/>
      <c r="P173" s="19"/>
      <c r="Q173" s="19"/>
    </row>
    <row r="174" spans="1:17" ht="46.5" customHeight="1" x14ac:dyDescent="0.7">
      <c r="A174" s="19"/>
      <c r="B174" s="19"/>
      <c r="C174" s="19"/>
      <c r="D174" s="31"/>
      <c r="E174" s="31"/>
      <c r="F174" s="31"/>
      <c r="G174" s="31"/>
      <c r="H174" s="31"/>
      <c r="I174" s="31"/>
      <c r="J174" s="31"/>
      <c r="K174" s="19"/>
      <c r="L174" s="19"/>
      <c r="M174" s="19"/>
      <c r="N174" s="31"/>
      <c r="O174" s="31"/>
      <c r="P174" s="19"/>
      <c r="Q174" s="19"/>
    </row>
    <row r="175" spans="1:17" ht="46.5" customHeight="1" x14ac:dyDescent="0.7">
      <c r="A175" s="19"/>
      <c r="B175" s="19"/>
      <c r="C175" s="19"/>
      <c r="D175" s="31"/>
      <c r="E175" s="31"/>
      <c r="F175" s="31"/>
      <c r="G175" s="31"/>
      <c r="H175" s="31"/>
      <c r="I175" s="31"/>
      <c r="J175" s="31"/>
      <c r="K175" s="19"/>
      <c r="L175" s="19"/>
      <c r="M175" s="19"/>
      <c r="N175" s="31"/>
      <c r="O175" s="31"/>
      <c r="P175" s="19"/>
      <c r="Q175" s="19"/>
    </row>
    <row r="176" spans="1:17" ht="46.5" customHeight="1" x14ac:dyDescent="0.7">
      <c r="A176" s="19"/>
      <c r="B176" s="19"/>
      <c r="C176" s="19"/>
      <c r="D176" s="31"/>
      <c r="E176" s="31"/>
      <c r="F176" s="31"/>
      <c r="G176" s="31"/>
      <c r="H176" s="31"/>
      <c r="I176" s="31"/>
      <c r="J176" s="31"/>
      <c r="K176" s="19"/>
      <c r="L176" s="19"/>
      <c r="M176" s="19"/>
      <c r="N176" s="31"/>
      <c r="O176" s="31"/>
      <c r="P176" s="19"/>
      <c r="Q176" s="19"/>
    </row>
    <row r="177" spans="1:17" ht="46.5" customHeight="1" x14ac:dyDescent="0.7">
      <c r="A177" s="19"/>
      <c r="B177" s="19"/>
      <c r="C177" s="19"/>
      <c r="D177" s="31"/>
      <c r="E177" s="31"/>
      <c r="F177" s="31"/>
      <c r="G177" s="31"/>
      <c r="H177" s="31"/>
      <c r="I177" s="31"/>
      <c r="J177" s="31"/>
      <c r="K177" s="19"/>
      <c r="L177" s="19"/>
      <c r="M177" s="19"/>
      <c r="N177" s="31"/>
      <c r="O177" s="31"/>
      <c r="P177" s="19"/>
      <c r="Q177" s="19"/>
    </row>
    <row r="178" spans="1:17" ht="46.5" customHeight="1" x14ac:dyDescent="0.7">
      <c r="A178" s="19"/>
      <c r="B178" s="19"/>
      <c r="C178" s="19"/>
      <c r="D178" s="31"/>
      <c r="E178" s="31"/>
      <c r="F178" s="31"/>
      <c r="G178" s="31"/>
      <c r="H178" s="31"/>
      <c r="I178" s="31"/>
      <c r="J178" s="31"/>
      <c r="K178" s="19"/>
      <c r="L178" s="19"/>
      <c r="M178" s="19"/>
      <c r="N178" s="31"/>
      <c r="O178" s="31"/>
      <c r="P178" s="19"/>
      <c r="Q178" s="19"/>
    </row>
    <row r="179" spans="1:17" ht="46.5" customHeight="1" x14ac:dyDescent="0.7">
      <c r="A179" s="19"/>
      <c r="B179" s="19"/>
      <c r="C179" s="19"/>
      <c r="D179" s="31"/>
      <c r="E179" s="31"/>
      <c r="F179" s="31"/>
      <c r="G179" s="31"/>
      <c r="H179" s="31"/>
      <c r="I179" s="31"/>
      <c r="J179" s="31"/>
      <c r="K179" s="19"/>
      <c r="L179" s="19"/>
      <c r="M179" s="19"/>
      <c r="N179" s="31"/>
      <c r="O179" s="31"/>
      <c r="P179" s="19"/>
      <c r="Q179" s="19"/>
    </row>
    <row r="180" spans="1:17" ht="46.5" customHeight="1" x14ac:dyDescent="0.7">
      <c r="A180" s="19"/>
      <c r="B180" s="19"/>
      <c r="C180" s="19"/>
      <c r="D180" s="31"/>
      <c r="E180" s="31"/>
      <c r="F180" s="31"/>
      <c r="G180" s="31"/>
      <c r="H180" s="31"/>
      <c r="I180" s="31"/>
      <c r="J180" s="31"/>
      <c r="K180" s="19"/>
      <c r="L180" s="19"/>
      <c r="M180" s="19"/>
      <c r="N180" s="31"/>
      <c r="O180" s="31"/>
      <c r="P180" s="19"/>
      <c r="Q180" s="19"/>
    </row>
    <row r="181" spans="1:17" ht="46.5" customHeight="1" x14ac:dyDescent="0.7">
      <c r="A181" s="19"/>
      <c r="B181" s="19"/>
      <c r="C181" s="19"/>
      <c r="D181" s="31"/>
      <c r="E181" s="31"/>
      <c r="F181" s="31"/>
      <c r="G181" s="31"/>
      <c r="H181" s="31"/>
      <c r="I181" s="31"/>
      <c r="J181" s="31"/>
      <c r="K181" s="19"/>
      <c r="L181" s="19"/>
      <c r="M181" s="19"/>
      <c r="N181" s="31"/>
      <c r="O181" s="31"/>
      <c r="P181" s="19"/>
      <c r="Q181" s="19"/>
    </row>
    <row r="182" spans="1:17" ht="46.5" customHeight="1" x14ac:dyDescent="0.7">
      <c r="A182" s="19"/>
      <c r="B182" s="19"/>
      <c r="C182" s="19"/>
      <c r="D182" s="31"/>
      <c r="E182" s="31"/>
      <c r="F182" s="31"/>
      <c r="G182" s="31"/>
      <c r="H182" s="31"/>
      <c r="I182" s="31"/>
      <c r="J182" s="31"/>
      <c r="K182" s="19"/>
      <c r="L182" s="19"/>
      <c r="M182" s="19"/>
      <c r="N182" s="31"/>
      <c r="O182" s="31"/>
      <c r="P182" s="19"/>
      <c r="Q182" s="19"/>
    </row>
    <row r="183" spans="1:17" ht="46.5" customHeight="1" x14ac:dyDescent="0.7">
      <c r="A183" s="19"/>
      <c r="B183" s="19"/>
      <c r="C183" s="19"/>
      <c r="D183" s="31"/>
      <c r="E183" s="31"/>
      <c r="F183" s="31"/>
      <c r="G183" s="31"/>
      <c r="H183" s="31"/>
      <c r="I183" s="31"/>
      <c r="J183" s="31"/>
      <c r="K183" s="19"/>
      <c r="L183" s="19"/>
      <c r="M183" s="19"/>
      <c r="N183" s="31"/>
      <c r="O183" s="31"/>
      <c r="P183" s="19"/>
      <c r="Q183" s="19"/>
    </row>
    <row r="184" spans="1:17" ht="46.5" customHeight="1" x14ac:dyDescent="0.7">
      <c r="A184" s="19"/>
      <c r="B184" s="19"/>
      <c r="C184" s="19"/>
      <c r="D184" s="31"/>
      <c r="E184" s="31"/>
      <c r="F184" s="31"/>
      <c r="G184" s="31"/>
      <c r="H184" s="31"/>
      <c r="I184" s="31"/>
      <c r="J184" s="31"/>
      <c r="K184" s="19"/>
      <c r="L184" s="19"/>
      <c r="M184" s="19"/>
      <c r="N184" s="31"/>
      <c r="O184" s="31"/>
      <c r="P184" s="19"/>
      <c r="Q184" s="19"/>
    </row>
    <row r="185" spans="1:17" ht="46.5" customHeight="1" x14ac:dyDescent="0.7">
      <c r="A185" s="19"/>
      <c r="B185" s="19"/>
      <c r="C185" s="19"/>
      <c r="D185" s="31"/>
      <c r="E185" s="31"/>
      <c r="F185" s="31"/>
      <c r="G185" s="31"/>
      <c r="H185" s="31"/>
      <c r="I185" s="31"/>
      <c r="J185" s="31"/>
      <c r="K185" s="19"/>
      <c r="L185" s="19"/>
      <c r="M185" s="19"/>
      <c r="N185" s="31"/>
      <c r="O185" s="31"/>
      <c r="P185" s="19"/>
      <c r="Q185" s="19"/>
    </row>
    <row r="186" spans="1:17" ht="46.5" customHeight="1" x14ac:dyDescent="0.7">
      <c r="A186" s="19"/>
      <c r="B186" s="19"/>
      <c r="C186" s="19"/>
      <c r="D186" s="31"/>
      <c r="E186" s="31"/>
      <c r="F186" s="31"/>
      <c r="G186" s="31"/>
      <c r="H186" s="31"/>
      <c r="I186" s="31"/>
      <c r="J186" s="31"/>
      <c r="K186" s="19"/>
      <c r="L186" s="19"/>
      <c r="M186" s="19"/>
      <c r="N186" s="31"/>
      <c r="O186" s="31"/>
      <c r="P186" s="19"/>
      <c r="Q186" s="19"/>
    </row>
    <row r="187" spans="1:17" ht="46.5" customHeight="1" x14ac:dyDescent="0.7">
      <c r="A187" s="19"/>
      <c r="B187" s="19"/>
      <c r="C187" s="19"/>
      <c r="D187" s="31"/>
      <c r="E187" s="31"/>
      <c r="F187" s="31"/>
      <c r="G187" s="31"/>
      <c r="H187" s="31"/>
      <c r="I187" s="31"/>
      <c r="J187" s="31"/>
      <c r="K187" s="19"/>
      <c r="L187" s="19"/>
      <c r="M187" s="19"/>
      <c r="N187" s="31"/>
      <c r="O187" s="31"/>
      <c r="P187" s="19"/>
      <c r="Q187" s="19"/>
    </row>
    <row r="188" spans="1:17" ht="46.5" customHeight="1" x14ac:dyDescent="0.7">
      <c r="A188" s="19"/>
      <c r="B188" s="19"/>
      <c r="C188" s="19"/>
      <c r="D188" s="31"/>
      <c r="E188" s="31"/>
      <c r="F188" s="31"/>
      <c r="G188" s="31"/>
      <c r="H188" s="31"/>
      <c r="I188" s="31"/>
      <c r="J188" s="31"/>
      <c r="K188" s="19"/>
      <c r="L188" s="19"/>
      <c r="M188" s="19"/>
      <c r="N188" s="31"/>
      <c r="O188" s="31"/>
      <c r="P188" s="19"/>
      <c r="Q188" s="19"/>
    </row>
    <row r="189" spans="1:17" ht="46.5" customHeight="1" x14ac:dyDescent="0.7">
      <c r="A189" s="19"/>
      <c r="B189" s="19"/>
      <c r="C189" s="19"/>
      <c r="D189" s="31"/>
      <c r="E189" s="31"/>
      <c r="F189" s="31"/>
      <c r="G189" s="31"/>
      <c r="H189" s="31"/>
      <c r="I189" s="31"/>
      <c r="J189" s="31"/>
      <c r="K189" s="19"/>
      <c r="L189" s="19"/>
      <c r="M189" s="19"/>
      <c r="N189" s="31"/>
      <c r="O189" s="31"/>
      <c r="P189" s="19"/>
      <c r="Q189" s="19"/>
    </row>
    <row r="190" spans="1:17" ht="46.5" customHeight="1" x14ac:dyDescent="0.7">
      <c r="A190" s="19"/>
      <c r="B190" s="19"/>
      <c r="C190" s="19"/>
      <c r="D190" s="31"/>
      <c r="E190" s="31"/>
      <c r="F190" s="31"/>
      <c r="G190" s="31"/>
      <c r="H190" s="31"/>
      <c r="I190" s="31"/>
      <c r="J190" s="31"/>
      <c r="K190" s="19"/>
      <c r="L190" s="19"/>
      <c r="M190" s="19"/>
      <c r="N190" s="31"/>
      <c r="O190" s="31"/>
      <c r="P190" s="19"/>
      <c r="Q190" s="19"/>
    </row>
    <row r="191" spans="1:17" ht="46.5" customHeight="1" x14ac:dyDescent="0.7">
      <c r="A191" s="19"/>
      <c r="B191" s="19"/>
      <c r="C191" s="19"/>
      <c r="D191" s="31"/>
      <c r="E191" s="31"/>
      <c r="F191" s="31"/>
      <c r="G191" s="31"/>
      <c r="H191" s="31"/>
      <c r="I191" s="31"/>
      <c r="J191" s="31"/>
      <c r="K191" s="19"/>
      <c r="L191" s="19"/>
      <c r="M191" s="19"/>
      <c r="N191" s="31"/>
      <c r="O191" s="31"/>
      <c r="P191" s="19"/>
      <c r="Q191" s="19"/>
    </row>
    <row r="192" spans="1:17" ht="46.5" customHeight="1" x14ac:dyDescent="0.7">
      <c r="A192" s="19"/>
      <c r="B192" s="19"/>
      <c r="C192" s="19"/>
      <c r="D192" s="31"/>
      <c r="E192" s="31"/>
      <c r="F192" s="31"/>
      <c r="G192" s="31"/>
      <c r="H192" s="31"/>
      <c r="I192" s="31"/>
      <c r="J192" s="31"/>
      <c r="K192" s="19"/>
      <c r="L192" s="19"/>
      <c r="M192" s="19"/>
      <c r="N192" s="31"/>
      <c r="O192" s="31"/>
      <c r="P192" s="19"/>
      <c r="Q192" s="19"/>
    </row>
    <row r="193" spans="1:17" ht="46.5" customHeight="1" x14ac:dyDescent="0.7">
      <c r="A193" s="19"/>
      <c r="B193" s="19"/>
      <c r="C193" s="19"/>
      <c r="D193" s="31"/>
      <c r="E193" s="31"/>
      <c r="F193" s="31"/>
      <c r="G193" s="31"/>
      <c r="H193" s="31"/>
      <c r="I193" s="31"/>
      <c r="J193" s="31"/>
      <c r="K193" s="19"/>
      <c r="L193" s="19"/>
      <c r="M193" s="19"/>
      <c r="N193" s="31"/>
      <c r="O193" s="31"/>
      <c r="P193" s="19"/>
      <c r="Q193" s="19"/>
    </row>
    <row r="194" spans="1:17" ht="46.5" customHeight="1" x14ac:dyDescent="0.7">
      <c r="A194" s="19"/>
      <c r="B194" s="19"/>
      <c r="C194" s="19"/>
      <c r="D194" s="31"/>
      <c r="E194" s="31"/>
      <c r="F194" s="31"/>
      <c r="G194" s="31"/>
      <c r="H194" s="31"/>
      <c r="I194" s="31"/>
      <c r="J194" s="31"/>
      <c r="K194" s="19"/>
      <c r="L194" s="19"/>
      <c r="M194" s="19"/>
      <c r="N194" s="31"/>
      <c r="O194" s="31"/>
      <c r="P194" s="19"/>
      <c r="Q194" s="19"/>
    </row>
    <row r="195" spans="1:17" ht="46.5" customHeight="1" x14ac:dyDescent="0.7">
      <c r="A195" s="19"/>
      <c r="B195" s="19"/>
      <c r="C195" s="19"/>
      <c r="D195" s="31"/>
      <c r="E195" s="31"/>
      <c r="F195" s="31"/>
      <c r="G195" s="31"/>
      <c r="H195" s="31"/>
      <c r="I195" s="31"/>
      <c r="J195" s="31"/>
      <c r="K195" s="19"/>
      <c r="L195" s="19"/>
      <c r="M195" s="19"/>
      <c r="N195" s="31"/>
      <c r="O195" s="31"/>
      <c r="P195" s="19"/>
      <c r="Q195" s="19"/>
    </row>
    <row r="196" spans="1:17" ht="46.5" customHeight="1" x14ac:dyDescent="0.7">
      <c r="A196" s="19"/>
      <c r="B196" s="19"/>
      <c r="C196" s="19"/>
      <c r="D196" s="31"/>
      <c r="E196" s="31"/>
      <c r="F196" s="31"/>
      <c r="G196" s="31"/>
      <c r="H196" s="31"/>
      <c r="I196" s="31"/>
      <c r="J196" s="31"/>
      <c r="K196" s="19"/>
      <c r="L196" s="19"/>
      <c r="M196" s="19"/>
      <c r="N196" s="31"/>
      <c r="O196" s="31"/>
      <c r="P196" s="19"/>
      <c r="Q196" s="19"/>
    </row>
    <row r="197" spans="1:17" ht="46.5" customHeight="1" x14ac:dyDescent="0.7">
      <c r="A197" s="19"/>
      <c r="B197" s="19"/>
      <c r="C197" s="19"/>
      <c r="D197" s="31"/>
      <c r="E197" s="31"/>
      <c r="F197" s="31"/>
      <c r="G197" s="31"/>
      <c r="H197" s="31"/>
      <c r="I197" s="31"/>
      <c r="J197" s="31"/>
      <c r="K197" s="19"/>
      <c r="L197" s="19"/>
      <c r="M197" s="19"/>
      <c r="N197" s="31"/>
      <c r="O197" s="31"/>
      <c r="P197" s="19"/>
      <c r="Q197" s="19"/>
    </row>
    <row r="198" spans="1:17" ht="46.5" customHeight="1" x14ac:dyDescent="0.7">
      <c r="A198" s="19"/>
      <c r="B198" s="19"/>
      <c r="C198" s="19"/>
      <c r="D198" s="31"/>
      <c r="E198" s="31"/>
      <c r="F198" s="31"/>
      <c r="G198" s="31"/>
      <c r="H198" s="31"/>
      <c r="I198" s="31"/>
      <c r="J198" s="31"/>
      <c r="K198" s="19"/>
      <c r="L198" s="19"/>
      <c r="M198" s="19"/>
      <c r="N198" s="31"/>
      <c r="O198" s="31"/>
      <c r="P198" s="19"/>
      <c r="Q198" s="19"/>
    </row>
    <row r="199" spans="1:17" ht="46.5" customHeight="1" x14ac:dyDescent="0.7">
      <c r="A199" s="19"/>
      <c r="B199" s="19"/>
      <c r="C199" s="19"/>
      <c r="D199" s="31"/>
      <c r="E199" s="31"/>
      <c r="F199" s="31"/>
      <c r="G199" s="31"/>
      <c r="H199" s="31"/>
      <c r="I199" s="31"/>
      <c r="J199" s="31"/>
      <c r="K199" s="19"/>
      <c r="L199" s="19"/>
      <c r="M199" s="19"/>
      <c r="N199" s="31"/>
      <c r="O199" s="31"/>
      <c r="P199" s="19"/>
      <c r="Q199" s="19"/>
    </row>
    <row r="200" spans="1:17" ht="46.5" customHeight="1" x14ac:dyDescent="0.7">
      <c r="A200" s="19"/>
      <c r="B200" s="19"/>
      <c r="C200" s="19"/>
      <c r="D200" s="31"/>
      <c r="E200" s="31"/>
      <c r="F200" s="31"/>
      <c r="G200" s="31"/>
      <c r="H200" s="31"/>
      <c r="I200" s="31"/>
      <c r="J200" s="31"/>
      <c r="K200" s="19"/>
      <c r="L200" s="19"/>
      <c r="M200" s="19"/>
      <c r="N200" s="31"/>
      <c r="O200" s="31"/>
      <c r="P200" s="19"/>
      <c r="Q200" s="19"/>
    </row>
    <row r="201" spans="1:17" ht="46.5" customHeight="1" x14ac:dyDescent="0.7">
      <c r="A201" s="19"/>
      <c r="B201" s="19"/>
      <c r="C201" s="19"/>
      <c r="D201" s="31"/>
      <c r="E201" s="31"/>
      <c r="F201" s="31"/>
      <c r="G201" s="31"/>
      <c r="H201" s="31"/>
      <c r="I201" s="31"/>
      <c r="J201" s="31"/>
      <c r="K201" s="19"/>
      <c r="L201" s="19"/>
      <c r="M201" s="19"/>
      <c r="N201" s="31"/>
      <c r="O201" s="31"/>
      <c r="P201" s="19"/>
      <c r="Q201" s="19"/>
    </row>
    <row r="202" spans="1:17" ht="46.5" customHeight="1" x14ac:dyDescent="0.7">
      <c r="A202" s="19"/>
      <c r="B202" s="19"/>
      <c r="C202" s="19"/>
      <c r="D202" s="31"/>
      <c r="E202" s="31"/>
      <c r="F202" s="31"/>
      <c r="G202" s="31"/>
      <c r="H202" s="31"/>
      <c r="I202" s="31"/>
      <c r="J202" s="31"/>
      <c r="K202" s="19"/>
      <c r="L202" s="19"/>
      <c r="M202" s="19"/>
      <c r="N202" s="31"/>
      <c r="O202" s="31"/>
      <c r="P202" s="19"/>
      <c r="Q202" s="19"/>
    </row>
    <row r="203" spans="1:17" ht="46.5" customHeight="1" x14ac:dyDescent="0.7">
      <c r="A203" s="19"/>
      <c r="B203" s="19"/>
      <c r="C203" s="19"/>
      <c r="D203" s="31"/>
      <c r="E203" s="31"/>
      <c r="F203" s="31"/>
      <c r="G203" s="31"/>
      <c r="H203" s="31"/>
      <c r="I203" s="31"/>
      <c r="J203" s="31"/>
      <c r="K203" s="19"/>
      <c r="L203" s="19"/>
      <c r="M203" s="19"/>
      <c r="N203" s="31"/>
      <c r="O203" s="31"/>
      <c r="P203" s="19"/>
      <c r="Q203" s="19"/>
    </row>
    <row r="204" spans="1:17" ht="46.5" customHeight="1" x14ac:dyDescent="0.7">
      <c r="A204" s="19"/>
      <c r="B204" s="19"/>
      <c r="C204" s="19"/>
      <c r="D204" s="31"/>
      <c r="E204" s="31"/>
      <c r="F204" s="31"/>
      <c r="G204" s="31"/>
      <c r="H204" s="31"/>
      <c r="I204" s="31"/>
      <c r="J204" s="31"/>
      <c r="K204" s="19"/>
      <c r="L204" s="19"/>
      <c r="M204" s="19"/>
      <c r="N204" s="31"/>
      <c r="O204" s="31"/>
      <c r="P204" s="19"/>
      <c r="Q204" s="19"/>
    </row>
    <row r="205" spans="1:17" ht="46.5" customHeight="1" x14ac:dyDescent="0.7">
      <c r="A205" s="19"/>
      <c r="B205" s="19"/>
      <c r="C205" s="19"/>
      <c r="D205" s="31"/>
      <c r="E205" s="31"/>
      <c r="F205" s="31"/>
      <c r="G205" s="31"/>
      <c r="H205" s="31"/>
      <c r="I205" s="31"/>
      <c r="J205" s="31"/>
      <c r="K205" s="19"/>
      <c r="L205" s="19"/>
      <c r="M205" s="19"/>
      <c r="N205" s="31"/>
      <c r="O205" s="31"/>
      <c r="P205" s="19"/>
      <c r="Q205" s="19"/>
    </row>
    <row r="206" spans="1:17" ht="46.5" customHeight="1" x14ac:dyDescent="0.7">
      <c r="A206" s="19"/>
      <c r="B206" s="19"/>
      <c r="C206" s="19"/>
      <c r="D206" s="31"/>
      <c r="E206" s="31"/>
      <c r="F206" s="31"/>
      <c r="G206" s="31"/>
      <c r="H206" s="31"/>
      <c r="I206" s="31"/>
      <c r="J206" s="31"/>
      <c r="K206" s="19"/>
      <c r="L206" s="19"/>
      <c r="M206" s="19"/>
      <c r="N206" s="31"/>
      <c r="O206" s="31"/>
      <c r="P206" s="19"/>
      <c r="Q206" s="19"/>
    </row>
    <row r="207" spans="1:17" ht="46.5" customHeight="1" x14ac:dyDescent="0.7">
      <c r="A207" s="19"/>
      <c r="B207" s="19"/>
      <c r="C207" s="19"/>
      <c r="D207" s="31"/>
      <c r="E207" s="31"/>
      <c r="F207" s="31"/>
      <c r="G207" s="31"/>
      <c r="H207" s="31"/>
      <c r="I207" s="31"/>
      <c r="J207" s="31"/>
      <c r="K207" s="19"/>
      <c r="L207" s="19"/>
      <c r="M207" s="19"/>
      <c r="N207" s="31"/>
      <c r="O207" s="31"/>
      <c r="P207" s="19"/>
      <c r="Q207" s="19"/>
    </row>
    <row r="208" spans="1:17" ht="46.5" customHeight="1" x14ac:dyDescent="0.7">
      <c r="A208" s="19"/>
      <c r="B208" s="19"/>
      <c r="C208" s="19"/>
      <c r="D208" s="31"/>
      <c r="E208" s="31"/>
      <c r="F208" s="31"/>
      <c r="G208" s="31"/>
      <c r="H208" s="31"/>
      <c r="I208" s="31"/>
      <c r="J208" s="31"/>
      <c r="K208" s="19"/>
      <c r="L208" s="19"/>
      <c r="M208" s="19"/>
      <c r="N208" s="31"/>
      <c r="O208" s="31"/>
      <c r="P208" s="19"/>
      <c r="Q208" s="19"/>
    </row>
    <row r="209" spans="1:17" ht="46.5" customHeight="1" x14ac:dyDescent="0.7">
      <c r="A209" s="19"/>
      <c r="B209" s="19"/>
      <c r="C209" s="19"/>
      <c r="D209" s="31"/>
      <c r="E209" s="31"/>
      <c r="F209" s="31"/>
      <c r="G209" s="31"/>
      <c r="H209" s="31"/>
      <c r="I209" s="31"/>
      <c r="J209" s="31"/>
      <c r="K209" s="19"/>
      <c r="L209" s="19"/>
      <c r="M209" s="19"/>
      <c r="N209" s="31"/>
      <c r="O209" s="31"/>
      <c r="P209" s="19"/>
      <c r="Q209" s="19"/>
    </row>
    <row r="210" spans="1:17" ht="46.5" customHeight="1" x14ac:dyDescent="0.7">
      <c r="A210" s="19"/>
      <c r="B210" s="19"/>
      <c r="C210" s="19"/>
      <c r="D210" s="31"/>
      <c r="E210" s="31"/>
      <c r="F210" s="31"/>
      <c r="G210" s="31"/>
      <c r="H210" s="31"/>
      <c r="I210" s="31"/>
      <c r="J210" s="31"/>
      <c r="K210" s="19"/>
      <c r="L210" s="19"/>
      <c r="M210" s="19"/>
      <c r="N210" s="31"/>
      <c r="O210" s="31"/>
      <c r="P210" s="19"/>
      <c r="Q210" s="19"/>
    </row>
    <row r="211" spans="1:17" ht="46.5" customHeight="1" x14ac:dyDescent="0.7">
      <c r="A211" s="19"/>
      <c r="B211" s="19"/>
      <c r="C211" s="19"/>
      <c r="D211" s="31"/>
      <c r="E211" s="31"/>
      <c r="F211" s="31"/>
      <c r="G211" s="31"/>
      <c r="H211" s="31"/>
      <c r="I211" s="31"/>
      <c r="J211" s="31"/>
      <c r="K211" s="19"/>
      <c r="L211" s="19"/>
      <c r="M211" s="19"/>
      <c r="N211" s="31"/>
      <c r="O211" s="31"/>
      <c r="P211" s="19"/>
      <c r="Q211" s="19"/>
    </row>
    <row r="212" spans="1:17" ht="46.5" customHeight="1" x14ac:dyDescent="0.7">
      <c r="A212" s="19"/>
      <c r="B212" s="19"/>
      <c r="C212" s="19"/>
      <c r="D212" s="31"/>
      <c r="E212" s="31"/>
      <c r="F212" s="31"/>
      <c r="G212" s="31"/>
      <c r="H212" s="31"/>
      <c r="I212" s="31"/>
      <c r="J212" s="31"/>
      <c r="K212" s="19"/>
      <c r="L212" s="19"/>
      <c r="M212" s="19"/>
      <c r="N212" s="31"/>
      <c r="O212" s="31"/>
      <c r="P212" s="19"/>
      <c r="Q212" s="19"/>
    </row>
    <row r="213" spans="1:17" ht="46.5" customHeight="1" x14ac:dyDescent="0.7">
      <c r="A213" s="19"/>
      <c r="B213" s="19"/>
      <c r="C213" s="19"/>
      <c r="D213" s="31"/>
      <c r="E213" s="31"/>
      <c r="F213" s="31"/>
      <c r="G213" s="31"/>
      <c r="H213" s="31"/>
      <c r="I213" s="31"/>
      <c r="J213" s="31"/>
      <c r="K213" s="19"/>
      <c r="L213" s="19"/>
      <c r="M213" s="19"/>
      <c r="N213" s="31"/>
      <c r="O213" s="31"/>
      <c r="P213" s="19"/>
      <c r="Q213" s="19"/>
    </row>
    <row r="214" spans="1:17" ht="46.5" customHeight="1" x14ac:dyDescent="0.7">
      <c r="A214" s="19"/>
      <c r="B214" s="19"/>
      <c r="C214" s="19"/>
      <c r="D214" s="31"/>
      <c r="E214" s="31"/>
      <c r="F214" s="31"/>
      <c r="G214" s="31"/>
      <c r="H214" s="31"/>
      <c r="I214" s="31"/>
      <c r="J214" s="31"/>
      <c r="K214" s="19"/>
      <c r="L214" s="19"/>
      <c r="M214" s="19"/>
      <c r="N214" s="31"/>
      <c r="O214" s="31"/>
      <c r="P214" s="19"/>
      <c r="Q214" s="19"/>
    </row>
    <row r="215" spans="1:17" ht="46.5" customHeight="1" x14ac:dyDescent="0.7">
      <c r="A215" s="19"/>
      <c r="B215" s="19"/>
      <c r="C215" s="19"/>
      <c r="D215" s="31"/>
      <c r="E215" s="31"/>
      <c r="F215" s="31"/>
      <c r="G215" s="31"/>
      <c r="H215" s="31"/>
      <c r="I215" s="31"/>
      <c r="J215" s="31"/>
      <c r="K215" s="19"/>
      <c r="L215" s="19"/>
      <c r="M215" s="19"/>
      <c r="N215" s="31"/>
      <c r="O215" s="31"/>
      <c r="P215" s="19"/>
      <c r="Q215" s="19"/>
    </row>
    <row r="216" spans="1:17" ht="46.5" customHeight="1" x14ac:dyDescent="0.7">
      <c r="A216" s="19"/>
      <c r="B216" s="19"/>
      <c r="C216" s="19"/>
      <c r="D216" s="31"/>
      <c r="E216" s="31"/>
      <c r="F216" s="31"/>
      <c r="G216" s="31"/>
      <c r="H216" s="31"/>
      <c r="I216" s="31"/>
      <c r="J216" s="31"/>
      <c r="K216" s="19"/>
      <c r="L216" s="19"/>
      <c r="M216" s="19"/>
      <c r="N216" s="31"/>
      <c r="O216" s="31"/>
      <c r="P216" s="19"/>
      <c r="Q216" s="19"/>
    </row>
    <row r="217" spans="1:17" ht="46.5" customHeight="1" x14ac:dyDescent="0.7">
      <c r="A217" s="19"/>
      <c r="B217" s="19"/>
      <c r="C217" s="19"/>
      <c r="D217" s="31"/>
      <c r="E217" s="31"/>
      <c r="F217" s="31"/>
      <c r="G217" s="31"/>
      <c r="H217" s="31"/>
      <c r="I217" s="31"/>
      <c r="J217" s="31"/>
      <c r="K217" s="19"/>
      <c r="L217" s="19"/>
      <c r="M217" s="19"/>
      <c r="N217" s="31"/>
      <c r="O217" s="31"/>
      <c r="P217" s="19"/>
      <c r="Q217" s="19"/>
    </row>
    <row r="218" spans="1:17" ht="46.5" customHeight="1" x14ac:dyDescent="0.7">
      <c r="A218" s="19"/>
      <c r="B218" s="19"/>
      <c r="C218" s="19"/>
      <c r="D218" s="31"/>
      <c r="E218" s="31"/>
      <c r="F218" s="31"/>
      <c r="G218" s="31"/>
      <c r="H218" s="31"/>
      <c r="I218" s="31"/>
      <c r="J218" s="31"/>
      <c r="K218" s="19"/>
      <c r="L218" s="19"/>
      <c r="M218" s="19"/>
      <c r="N218" s="31"/>
      <c r="O218" s="31"/>
      <c r="P218" s="19"/>
      <c r="Q218" s="19"/>
    </row>
    <row r="219" spans="1:17" ht="46.5" customHeight="1" x14ac:dyDescent="0.7">
      <c r="A219" s="19"/>
      <c r="B219" s="19"/>
      <c r="C219" s="19"/>
      <c r="D219" s="31"/>
      <c r="E219" s="31"/>
      <c r="F219" s="31"/>
      <c r="G219" s="31"/>
      <c r="H219" s="31"/>
      <c r="I219" s="31"/>
      <c r="J219" s="31"/>
      <c r="K219" s="19"/>
      <c r="L219" s="19"/>
      <c r="M219" s="19"/>
      <c r="N219" s="31"/>
      <c r="O219" s="31"/>
      <c r="P219" s="19"/>
      <c r="Q219" s="19"/>
    </row>
    <row r="220" spans="1:17" ht="46.5" customHeight="1" x14ac:dyDescent="0.7">
      <c r="A220" s="19"/>
      <c r="B220" s="19"/>
      <c r="C220" s="19"/>
      <c r="D220" s="31"/>
      <c r="E220" s="31"/>
      <c r="F220" s="31"/>
      <c r="G220" s="31"/>
      <c r="H220" s="31"/>
      <c r="I220" s="31"/>
      <c r="J220" s="31"/>
      <c r="K220" s="19"/>
      <c r="L220" s="19"/>
      <c r="M220" s="19"/>
      <c r="N220" s="31"/>
      <c r="O220" s="31"/>
      <c r="P220" s="19"/>
      <c r="Q220" s="19"/>
    </row>
    <row r="221" spans="1:17" ht="46.5" customHeight="1" x14ac:dyDescent="0.7">
      <c r="A221" s="19"/>
      <c r="B221" s="19"/>
      <c r="C221" s="19"/>
      <c r="D221" s="31"/>
      <c r="E221" s="31"/>
      <c r="F221" s="31"/>
      <c r="G221" s="31"/>
      <c r="H221" s="31"/>
      <c r="I221" s="31"/>
      <c r="J221" s="31"/>
      <c r="K221" s="19"/>
      <c r="L221" s="19"/>
      <c r="M221" s="19"/>
      <c r="N221" s="31"/>
      <c r="O221" s="31"/>
      <c r="P221" s="19"/>
      <c r="Q221" s="19"/>
    </row>
    <row r="222" spans="1:17" ht="46.5" customHeight="1" x14ac:dyDescent="0.7">
      <c r="A222" s="19"/>
      <c r="B222" s="19"/>
      <c r="C222" s="19"/>
      <c r="D222" s="31"/>
      <c r="E222" s="31"/>
      <c r="F222" s="31"/>
      <c r="G222" s="31"/>
      <c r="H222" s="31"/>
      <c r="I222" s="31"/>
      <c r="J222" s="31"/>
      <c r="K222" s="19"/>
      <c r="L222" s="19"/>
      <c r="M222" s="19"/>
      <c r="N222" s="31"/>
      <c r="O222" s="31"/>
      <c r="P222" s="19"/>
      <c r="Q222" s="19"/>
    </row>
    <row r="223" spans="1:17" ht="46.5" customHeight="1" x14ac:dyDescent="0.7">
      <c r="A223" s="19"/>
      <c r="B223" s="19"/>
      <c r="C223" s="19"/>
      <c r="D223" s="31"/>
      <c r="E223" s="31"/>
      <c r="F223" s="31"/>
      <c r="G223" s="31"/>
      <c r="H223" s="31"/>
      <c r="I223" s="31"/>
      <c r="J223" s="31"/>
      <c r="K223" s="19"/>
      <c r="L223" s="19"/>
      <c r="M223" s="19"/>
      <c r="N223" s="31"/>
      <c r="O223" s="31"/>
      <c r="P223" s="19"/>
      <c r="Q223" s="19"/>
    </row>
    <row r="224" spans="1:17" ht="46.5" customHeight="1" x14ac:dyDescent="0.7">
      <c r="A224" s="19"/>
      <c r="B224" s="19"/>
      <c r="C224" s="19"/>
      <c r="D224" s="31"/>
      <c r="E224" s="31"/>
      <c r="F224" s="31"/>
      <c r="G224" s="31"/>
      <c r="H224" s="31"/>
      <c r="I224" s="31"/>
      <c r="J224" s="31"/>
      <c r="K224" s="19"/>
      <c r="L224" s="19"/>
      <c r="M224" s="19"/>
      <c r="N224" s="31"/>
      <c r="O224" s="31"/>
      <c r="P224" s="19"/>
      <c r="Q224" s="19"/>
    </row>
    <row r="225" spans="1:17" ht="46.5" customHeight="1" x14ac:dyDescent="0.7">
      <c r="A225" s="19"/>
      <c r="B225" s="19"/>
      <c r="C225" s="19"/>
      <c r="D225" s="31"/>
      <c r="E225" s="31"/>
      <c r="F225" s="31"/>
      <c r="G225" s="31"/>
      <c r="H225" s="31"/>
      <c r="I225" s="31"/>
      <c r="J225" s="31"/>
      <c r="K225" s="19"/>
      <c r="L225" s="19"/>
      <c r="M225" s="19"/>
      <c r="N225" s="31"/>
      <c r="O225" s="31"/>
      <c r="P225" s="19"/>
      <c r="Q225" s="19"/>
    </row>
    <row r="226" spans="1:17" ht="46.5" customHeight="1" x14ac:dyDescent="0.7">
      <c r="A226" s="19"/>
      <c r="B226" s="19"/>
      <c r="C226" s="19"/>
      <c r="D226" s="31"/>
      <c r="E226" s="31"/>
      <c r="F226" s="31"/>
      <c r="G226" s="31"/>
      <c r="H226" s="31"/>
      <c r="I226" s="31"/>
      <c r="J226" s="31"/>
      <c r="K226" s="19"/>
      <c r="L226" s="19"/>
      <c r="M226" s="19"/>
      <c r="N226" s="31"/>
      <c r="O226" s="31"/>
      <c r="P226" s="19"/>
      <c r="Q226" s="19"/>
    </row>
    <row r="227" spans="1:17" ht="46.5" customHeight="1" x14ac:dyDescent="0.7">
      <c r="A227" s="19"/>
      <c r="B227" s="19"/>
      <c r="C227" s="19"/>
      <c r="D227" s="31"/>
      <c r="E227" s="31"/>
      <c r="F227" s="31"/>
      <c r="G227" s="31"/>
      <c r="H227" s="31"/>
      <c r="I227" s="31"/>
      <c r="J227" s="31"/>
      <c r="K227" s="19"/>
      <c r="L227" s="19"/>
      <c r="M227" s="19"/>
      <c r="N227" s="31"/>
      <c r="O227" s="31"/>
      <c r="P227" s="19"/>
      <c r="Q227" s="19"/>
    </row>
    <row r="228" spans="1:17" ht="46.5" customHeight="1" x14ac:dyDescent="0.7">
      <c r="A228" s="19"/>
      <c r="B228" s="19"/>
      <c r="C228" s="19"/>
      <c r="D228" s="31"/>
      <c r="E228" s="31"/>
      <c r="F228" s="31"/>
      <c r="G228" s="31"/>
      <c r="H228" s="31"/>
      <c r="I228" s="31"/>
      <c r="J228" s="31"/>
      <c r="K228" s="19"/>
      <c r="L228" s="19"/>
      <c r="M228" s="19"/>
      <c r="N228" s="31"/>
      <c r="O228" s="31"/>
      <c r="P228" s="19"/>
      <c r="Q228" s="19"/>
    </row>
    <row r="229" spans="1:17" ht="46.5" customHeight="1" x14ac:dyDescent="0.7">
      <c r="A229" s="19"/>
      <c r="B229" s="19"/>
      <c r="C229" s="19"/>
      <c r="D229" s="31"/>
      <c r="E229" s="31"/>
      <c r="F229" s="31"/>
      <c r="G229" s="31"/>
      <c r="H229" s="31"/>
      <c r="I229" s="31"/>
      <c r="J229" s="31"/>
      <c r="K229" s="19"/>
      <c r="L229" s="19"/>
      <c r="M229" s="19"/>
      <c r="N229" s="31"/>
      <c r="O229" s="31"/>
      <c r="P229" s="19"/>
      <c r="Q229" s="19"/>
    </row>
    <row r="230" spans="1:17" ht="46.5" customHeight="1" x14ac:dyDescent="0.7">
      <c r="A230" s="19"/>
      <c r="B230" s="19"/>
      <c r="C230" s="19"/>
      <c r="D230" s="31"/>
      <c r="E230" s="31"/>
      <c r="F230" s="31"/>
      <c r="G230" s="31"/>
      <c r="H230" s="31"/>
      <c r="I230" s="31"/>
      <c r="J230" s="31"/>
      <c r="K230" s="19"/>
      <c r="L230" s="19"/>
      <c r="M230" s="19"/>
      <c r="N230" s="31"/>
      <c r="O230" s="31"/>
      <c r="P230" s="19"/>
      <c r="Q230" s="19"/>
    </row>
    <row r="231" spans="1:17" ht="46.5" customHeight="1" x14ac:dyDescent="0.7">
      <c r="A231" s="19"/>
      <c r="B231" s="19"/>
      <c r="C231" s="19"/>
      <c r="D231" s="31"/>
      <c r="E231" s="31"/>
      <c r="F231" s="31"/>
      <c r="G231" s="31"/>
      <c r="H231" s="31"/>
      <c r="I231" s="31"/>
      <c r="J231" s="31"/>
      <c r="K231" s="19"/>
      <c r="L231" s="19"/>
      <c r="M231" s="19"/>
      <c r="N231" s="31"/>
      <c r="O231" s="31"/>
      <c r="P231" s="19"/>
      <c r="Q231" s="19"/>
    </row>
    <row r="232" spans="1:17" ht="46.5" customHeight="1" x14ac:dyDescent="0.7">
      <c r="A232" s="19"/>
      <c r="B232" s="19"/>
      <c r="C232" s="19"/>
      <c r="D232" s="31"/>
      <c r="E232" s="31"/>
      <c r="F232" s="31"/>
      <c r="G232" s="31"/>
      <c r="H232" s="31"/>
      <c r="I232" s="31"/>
      <c r="J232" s="31"/>
      <c r="K232" s="19"/>
      <c r="L232" s="19"/>
      <c r="M232" s="19"/>
      <c r="N232" s="31"/>
      <c r="O232" s="31"/>
      <c r="P232" s="19"/>
      <c r="Q232" s="19"/>
    </row>
    <row r="233" spans="1:17" ht="46.5" customHeight="1" x14ac:dyDescent="0.7">
      <c r="A233" s="19"/>
      <c r="B233" s="19"/>
      <c r="C233" s="19"/>
      <c r="D233" s="31"/>
      <c r="E233" s="31"/>
      <c r="F233" s="31"/>
      <c r="G233" s="31"/>
      <c r="H233" s="31"/>
      <c r="I233" s="31"/>
      <c r="J233" s="31"/>
      <c r="K233" s="19"/>
      <c r="L233" s="19"/>
      <c r="M233" s="19"/>
      <c r="N233" s="31"/>
      <c r="O233" s="31"/>
      <c r="P233" s="19"/>
      <c r="Q233" s="19"/>
    </row>
    <row r="234" spans="1:17" ht="46.5" customHeight="1" x14ac:dyDescent="0.7">
      <c r="A234" s="19"/>
      <c r="B234" s="19"/>
      <c r="C234" s="19"/>
      <c r="D234" s="31"/>
      <c r="E234" s="31"/>
      <c r="F234" s="31"/>
      <c r="G234" s="31"/>
      <c r="H234" s="31"/>
      <c r="I234" s="31"/>
      <c r="J234" s="31"/>
      <c r="K234" s="19"/>
      <c r="L234" s="19"/>
      <c r="M234" s="19"/>
      <c r="N234" s="31"/>
      <c r="O234" s="31"/>
      <c r="P234" s="19"/>
      <c r="Q234" s="19"/>
    </row>
    <row r="235" spans="1:17" ht="46.5" customHeight="1" x14ac:dyDescent="0.7">
      <c r="A235" s="19"/>
      <c r="B235" s="19"/>
      <c r="C235" s="19"/>
      <c r="D235" s="31"/>
      <c r="E235" s="31"/>
      <c r="F235" s="31"/>
      <c r="G235" s="31"/>
      <c r="H235" s="31"/>
      <c r="I235" s="31"/>
      <c r="J235" s="31"/>
      <c r="K235" s="19"/>
      <c r="L235" s="19"/>
      <c r="M235" s="19"/>
      <c r="N235" s="31"/>
      <c r="O235" s="31"/>
      <c r="P235" s="19"/>
      <c r="Q235" s="19"/>
    </row>
    <row r="236" spans="1:17" ht="46.5" customHeight="1" x14ac:dyDescent="0.7">
      <c r="A236" s="19"/>
      <c r="B236" s="19"/>
      <c r="C236" s="19"/>
      <c r="D236" s="31"/>
      <c r="E236" s="31"/>
      <c r="F236" s="31"/>
      <c r="G236" s="31"/>
      <c r="H236" s="31"/>
      <c r="I236" s="31"/>
      <c r="J236" s="31"/>
      <c r="K236" s="19"/>
      <c r="L236" s="19"/>
      <c r="M236" s="19"/>
      <c r="N236" s="31"/>
      <c r="O236" s="31"/>
      <c r="P236" s="19"/>
      <c r="Q236" s="19"/>
    </row>
    <row r="237" spans="1:17" ht="46.5" customHeight="1" x14ac:dyDescent="0.7">
      <c r="A237" s="19"/>
      <c r="B237" s="19"/>
      <c r="C237" s="19"/>
      <c r="D237" s="31"/>
      <c r="E237" s="31"/>
      <c r="F237" s="31"/>
      <c r="G237" s="31"/>
      <c r="H237" s="31"/>
      <c r="I237" s="31"/>
      <c r="J237" s="31"/>
      <c r="K237" s="19"/>
      <c r="L237" s="19"/>
      <c r="M237" s="19"/>
      <c r="N237" s="31"/>
      <c r="O237" s="31"/>
      <c r="P237" s="19"/>
      <c r="Q237" s="19"/>
    </row>
    <row r="238" spans="1:17" ht="46.5" customHeight="1" x14ac:dyDescent="0.7">
      <c r="A238" s="19"/>
      <c r="B238" s="19"/>
      <c r="C238" s="19"/>
      <c r="D238" s="31"/>
      <c r="E238" s="31"/>
      <c r="F238" s="31"/>
      <c r="G238" s="31"/>
      <c r="H238" s="31"/>
      <c r="I238" s="31"/>
      <c r="J238" s="31"/>
      <c r="K238" s="19"/>
      <c r="L238" s="19"/>
      <c r="M238" s="19"/>
      <c r="N238" s="31"/>
      <c r="O238" s="31"/>
      <c r="P238" s="19"/>
      <c r="Q238" s="19"/>
    </row>
    <row r="239" spans="1:17" ht="46.5" customHeight="1" x14ac:dyDescent="0.7">
      <c r="A239" s="19"/>
      <c r="B239" s="19"/>
      <c r="C239" s="19"/>
      <c r="D239" s="31"/>
      <c r="E239" s="31"/>
      <c r="F239" s="31"/>
      <c r="G239" s="31"/>
      <c r="H239" s="31"/>
      <c r="I239" s="31"/>
      <c r="J239" s="31"/>
      <c r="K239" s="19"/>
      <c r="L239" s="19"/>
      <c r="M239" s="19"/>
      <c r="N239" s="31"/>
      <c r="O239" s="31"/>
      <c r="P239" s="19"/>
      <c r="Q239" s="19"/>
    </row>
    <row r="240" spans="1:17" ht="46.5" customHeight="1" x14ac:dyDescent="0.7">
      <c r="A240" s="19"/>
      <c r="B240" s="19"/>
      <c r="C240" s="19"/>
      <c r="D240" s="31"/>
      <c r="E240" s="31"/>
      <c r="F240" s="31"/>
      <c r="G240" s="31"/>
      <c r="H240" s="31"/>
      <c r="I240" s="31"/>
      <c r="J240" s="31"/>
      <c r="K240" s="19"/>
      <c r="L240" s="19"/>
      <c r="M240" s="19"/>
      <c r="N240" s="31"/>
      <c r="O240" s="31"/>
      <c r="P240" s="19"/>
      <c r="Q240" s="19"/>
    </row>
    <row r="241" spans="1:17" ht="46.5" customHeight="1" x14ac:dyDescent="0.7">
      <c r="A241" s="19"/>
      <c r="B241" s="19"/>
      <c r="C241" s="19"/>
      <c r="D241" s="31"/>
      <c r="E241" s="31"/>
      <c r="F241" s="31"/>
      <c r="G241" s="31"/>
      <c r="H241" s="31"/>
      <c r="I241" s="31"/>
      <c r="J241" s="31"/>
      <c r="K241" s="19"/>
      <c r="L241" s="19"/>
      <c r="M241" s="19"/>
      <c r="N241" s="31"/>
      <c r="O241" s="31"/>
      <c r="P241" s="19"/>
      <c r="Q241" s="19"/>
    </row>
    <row r="242" spans="1:17" ht="46.5" customHeight="1" x14ac:dyDescent="0.7">
      <c r="A242" s="19"/>
      <c r="B242" s="19"/>
      <c r="C242" s="19"/>
      <c r="D242" s="31"/>
      <c r="E242" s="31"/>
      <c r="F242" s="31"/>
      <c r="G242" s="31"/>
      <c r="H242" s="31"/>
      <c r="I242" s="31"/>
      <c r="J242" s="31"/>
      <c r="K242" s="19"/>
      <c r="L242" s="19"/>
      <c r="M242" s="19"/>
      <c r="N242" s="31"/>
      <c r="O242" s="31"/>
      <c r="P242" s="19"/>
      <c r="Q242" s="19"/>
    </row>
    <row r="243" spans="1:17" ht="46.5" customHeight="1" x14ac:dyDescent="0.7">
      <c r="A243" s="19"/>
      <c r="B243" s="19"/>
      <c r="C243" s="19"/>
      <c r="D243" s="31"/>
      <c r="E243" s="31"/>
      <c r="F243" s="31"/>
      <c r="G243" s="31"/>
      <c r="H243" s="31"/>
      <c r="I243" s="31"/>
      <c r="J243" s="31"/>
      <c r="K243" s="19"/>
      <c r="L243" s="19"/>
      <c r="M243" s="19"/>
      <c r="N243" s="31"/>
      <c r="O243" s="31"/>
      <c r="P243" s="19"/>
      <c r="Q243" s="19"/>
    </row>
    <row r="244" spans="1:17" ht="46.5" customHeight="1" x14ac:dyDescent="0.7">
      <c r="A244" s="19"/>
      <c r="B244" s="19"/>
      <c r="C244" s="19"/>
      <c r="D244" s="31"/>
      <c r="E244" s="31"/>
      <c r="F244" s="31"/>
      <c r="G244" s="31"/>
      <c r="H244" s="31"/>
      <c r="I244" s="31"/>
      <c r="J244" s="31"/>
      <c r="K244" s="19"/>
      <c r="L244" s="19"/>
      <c r="M244" s="19"/>
      <c r="N244" s="31"/>
      <c r="O244" s="31"/>
      <c r="P244" s="19"/>
      <c r="Q244" s="19"/>
    </row>
    <row r="245" spans="1:17" ht="46.5" customHeight="1" x14ac:dyDescent="0.7">
      <c r="A245" s="19"/>
      <c r="B245" s="19"/>
      <c r="C245" s="19"/>
      <c r="D245" s="31"/>
      <c r="E245" s="31"/>
      <c r="F245" s="31"/>
      <c r="G245" s="31"/>
      <c r="H245" s="31"/>
      <c r="I245" s="31"/>
      <c r="J245" s="31"/>
      <c r="K245" s="19"/>
      <c r="L245" s="19"/>
      <c r="M245" s="19"/>
      <c r="N245" s="31"/>
      <c r="O245" s="31"/>
      <c r="P245" s="19"/>
      <c r="Q245" s="19"/>
    </row>
    <row r="246" spans="1:17" ht="46.5" customHeight="1" x14ac:dyDescent="0.7">
      <c r="A246" s="19"/>
      <c r="B246" s="19"/>
      <c r="C246" s="19"/>
      <c r="D246" s="31"/>
      <c r="E246" s="31"/>
      <c r="F246" s="31"/>
      <c r="G246" s="31"/>
      <c r="H246" s="31"/>
      <c r="I246" s="31"/>
      <c r="J246" s="31"/>
      <c r="K246" s="19"/>
      <c r="L246" s="19"/>
      <c r="M246" s="19"/>
      <c r="N246" s="31"/>
      <c r="O246" s="31"/>
      <c r="P246" s="19"/>
      <c r="Q246" s="19"/>
    </row>
    <row r="247" spans="1:17" ht="46.5" customHeight="1" x14ac:dyDescent="0.7">
      <c r="A247" s="19"/>
      <c r="B247" s="19"/>
      <c r="C247" s="19"/>
      <c r="D247" s="31"/>
      <c r="E247" s="31"/>
      <c r="F247" s="31"/>
      <c r="G247" s="31"/>
      <c r="H247" s="31"/>
      <c r="I247" s="31"/>
      <c r="J247" s="31"/>
      <c r="K247" s="19"/>
      <c r="L247" s="19"/>
      <c r="M247" s="19"/>
      <c r="N247" s="31"/>
      <c r="O247" s="31"/>
      <c r="P247" s="19"/>
      <c r="Q247" s="19"/>
    </row>
    <row r="248" spans="1:17" ht="46.5" customHeight="1" x14ac:dyDescent="0.7">
      <c r="A248" s="19"/>
      <c r="B248" s="19"/>
      <c r="C248" s="19"/>
      <c r="D248" s="31"/>
      <c r="E248" s="31"/>
      <c r="F248" s="31"/>
      <c r="G248" s="31"/>
      <c r="H248" s="31"/>
      <c r="I248" s="31"/>
      <c r="J248" s="31"/>
      <c r="K248" s="19"/>
      <c r="L248" s="19"/>
      <c r="M248" s="19"/>
      <c r="N248" s="31"/>
      <c r="O248" s="31"/>
      <c r="P248" s="19"/>
      <c r="Q248" s="19"/>
    </row>
    <row r="249" spans="1:17" ht="46.5" customHeight="1" x14ac:dyDescent="0.7">
      <c r="A249" s="19"/>
      <c r="B249" s="19"/>
      <c r="C249" s="19"/>
      <c r="D249" s="31"/>
      <c r="E249" s="31"/>
      <c r="F249" s="31"/>
      <c r="G249" s="31"/>
      <c r="H249" s="31"/>
      <c r="I249" s="31"/>
      <c r="J249" s="31"/>
      <c r="K249" s="19"/>
      <c r="L249" s="19"/>
      <c r="M249" s="19"/>
      <c r="N249" s="31"/>
      <c r="O249" s="31"/>
      <c r="P249" s="19"/>
      <c r="Q249" s="19"/>
    </row>
    <row r="250" spans="1:17" ht="46.5" customHeight="1" x14ac:dyDescent="0.7">
      <c r="A250" s="19"/>
      <c r="B250" s="19"/>
      <c r="C250" s="19"/>
      <c r="D250" s="31"/>
      <c r="E250" s="31"/>
      <c r="F250" s="31"/>
      <c r="G250" s="31"/>
      <c r="H250" s="31"/>
      <c r="I250" s="31"/>
      <c r="J250" s="31"/>
      <c r="K250" s="19"/>
      <c r="L250" s="19"/>
      <c r="M250" s="19"/>
      <c r="N250" s="31"/>
      <c r="O250" s="31"/>
      <c r="P250" s="19"/>
      <c r="Q250" s="19"/>
    </row>
    <row r="251" spans="1:17" ht="46.5" customHeight="1" x14ac:dyDescent="0.7">
      <c r="A251" s="19"/>
      <c r="B251" s="19"/>
      <c r="C251" s="19"/>
      <c r="D251" s="31"/>
      <c r="E251" s="31"/>
      <c r="F251" s="31"/>
      <c r="G251" s="31"/>
      <c r="H251" s="31"/>
      <c r="I251" s="31"/>
      <c r="J251" s="31"/>
      <c r="K251" s="19"/>
      <c r="L251" s="19"/>
      <c r="M251" s="19"/>
      <c r="N251" s="31"/>
      <c r="O251" s="31"/>
      <c r="P251" s="19"/>
      <c r="Q251" s="19"/>
    </row>
    <row r="252" spans="1:17" ht="46.5" customHeight="1" x14ac:dyDescent="0.7">
      <c r="A252" s="19"/>
      <c r="B252" s="19"/>
      <c r="C252" s="19"/>
      <c r="D252" s="31"/>
      <c r="E252" s="31"/>
      <c r="F252" s="31"/>
      <c r="G252" s="31"/>
      <c r="H252" s="31"/>
      <c r="I252" s="31"/>
      <c r="J252" s="31"/>
      <c r="K252" s="19"/>
      <c r="L252" s="19"/>
      <c r="M252" s="19"/>
      <c r="N252" s="31"/>
      <c r="O252" s="31"/>
      <c r="P252" s="19"/>
      <c r="Q252" s="19"/>
    </row>
    <row r="253" spans="1:17" ht="46.5" customHeight="1" x14ac:dyDescent="0.7">
      <c r="A253" s="19"/>
      <c r="B253" s="19"/>
      <c r="C253" s="19"/>
      <c r="D253" s="31"/>
      <c r="E253" s="31"/>
      <c r="F253" s="31"/>
      <c r="G253" s="31"/>
      <c r="H253" s="31"/>
      <c r="I253" s="31"/>
      <c r="J253" s="31"/>
      <c r="K253" s="19"/>
      <c r="L253" s="19"/>
      <c r="M253" s="19"/>
      <c r="N253" s="31"/>
      <c r="O253" s="31"/>
      <c r="P253" s="19"/>
      <c r="Q253" s="19"/>
    </row>
    <row r="254" spans="1:17" ht="46.5" customHeight="1" x14ac:dyDescent="0.7">
      <c r="A254" s="19"/>
      <c r="B254" s="19"/>
      <c r="C254" s="19"/>
      <c r="D254" s="31"/>
      <c r="E254" s="31"/>
      <c r="F254" s="31"/>
      <c r="G254" s="31"/>
      <c r="H254" s="31"/>
      <c r="I254" s="31"/>
      <c r="J254" s="31"/>
      <c r="K254" s="19"/>
      <c r="L254" s="19"/>
      <c r="M254" s="19"/>
      <c r="N254" s="31"/>
      <c r="O254" s="31"/>
      <c r="P254" s="19"/>
      <c r="Q254" s="19"/>
    </row>
    <row r="255" spans="1:17" ht="46.5" customHeight="1" x14ac:dyDescent="0.7">
      <c r="A255" s="19"/>
      <c r="B255" s="19"/>
      <c r="C255" s="19"/>
      <c r="D255" s="31"/>
      <c r="E255" s="31"/>
      <c r="F255" s="31"/>
      <c r="G255" s="31"/>
      <c r="H255" s="31"/>
      <c r="I255" s="31"/>
      <c r="J255" s="31"/>
      <c r="K255" s="19"/>
      <c r="L255" s="19"/>
      <c r="M255" s="19"/>
      <c r="N255" s="31"/>
      <c r="O255" s="31"/>
      <c r="P255" s="19"/>
      <c r="Q255" s="19"/>
    </row>
    <row r="256" spans="1:17" ht="46.5" customHeight="1" x14ac:dyDescent="0.7">
      <c r="A256" s="19"/>
      <c r="B256" s="19"/>
      <c r="C256" s="19"/>
      <c r="D256" s="31"/>
      <c r="E256" s="31"/>
      <c r="F256" s="31"/>
      <c r="G256" s="31"/>
      <c r="H256" s="31"/>
      <c r="I256" s="31"/>
      <c r="J256" s="31"/>
      <c r="K256" s="19"/>
      <c r="L256" s="19"/>
      <c r="M256" s="19"/>
      <c r="N256" s="31"/>
      <c r="O256" s="31"/>
      <c r="P256" s="19"/>
      <c r="Q256" s="19"/>
    </row>
    <row r="257" spans="1:17" ht="46.5" customHeight="1" x14ac:dyDescent="0.7">
      <c r="A257" s="19"/>
      <c r="B257" s="19"/>
      <c r="C257" s="19"/>
      <c r="D257" s="31"/>
      <c r="E257" s="31"/>
      <c r="F257" s="31"/>
      <c r="G257" s="31"/>
      <c r="H257" s="31"/>
      <c r="I257" s="31"/>
      <c r="J257" s="31"/>
      <c r="K257" s="19"/>
      <c r="L257" s="19"/>
      <c r="M257" s="19"/>
      <c r="N257" s="31"/>
      <c r="O257" s="31"/>
      <c r="P257" s="19"/>
      <c r="Q257" s="19"/>
    </row>
    <row r="258" spans="1:17" ht="46.5" customHeight="1" x14ac:dyDescent="0.7">
      <c r="A258" s="19"/>
      <c r="B258" s="19"/>
      <c r="C258" s="19"/>
      <c r="D258" s="31"/>
      <c r="E258" s="31"/>
      <c r="F258" s="31"/>
      <c r="G258" s="31"/>
      <c r="H258" s="31"/>
      <c r="I258" s="31"/>
      <c r="J258" s="31"/>
      <c r="K258" s="19"/>
      <c r="L258" s="19"/>
      <c r="M258" s="19"/>
      <c r="N258" s="31"/>
      <c r="O258" s="31"/>
      <c r="P258" s="19"/>
      <c r="Q258" s="19"/>
    </row>
    <row r="259" spans="1:17" ht="46.5" customHeight="1" x14ac:dyDescent="0.7">
      <c r="A259" s="19"/>
      <c r="B259" s="19"/>
      <c r="C259" s="19"/>
      <c r="D259" s="31"/>
      <c r="E259" s="31"/>
      <c r="F259" s="31"/>
      <c r="G259" s="31"/>
      <c r="H259" s="31"/>
      <c r="I259" s="31"/>
      <c r="J259" s="31"/>
      <c r="K259" s="19"/>
      <c r="L259" s="19"/>
      <c r="M259" s="19"/>
      <c r="N259" s="31"/>
      <c r="O259" s="31"/>
      <c r="P259" s="19"/>
      <c r="Q259" s="19"/>
    </row>
    <row r="260" spans="1:17" ht="46.5" customHeight="1" x14ac:dyDescent="0.7">
      <c r="A260" s="19"/>
      <c r="B260" s="19"/>
      <c r="C260" s="19"/>
      <c r="D260" s="31"/>
      <c r="E260" s="31"/>
      <c r="F260" s="31"/>
      <c r="G260" s="31"/>
      <c r="H260" s="31"/>
      <c r="I260" s="31"/>
      <c r="J260" s="31"/>
      <c r="K260" s="19"/>
      <c r="L260" s="19"/>
      <c r="M260" s="19"/>
      <c r="N260" s="31"/>
      <c r="O260" s="31"/>
      <c r="P260" s="19"/>
      <c r="Q260" s="19"/>
    </row>
    <row r="261" spans="1:17" ht="46.5" customHeight="1" x14ac:dyDescent="0.7">
      <c r="A261" s="19"/>
      <c r="B261" s="19"/>
      <c r="C261" s="19"/>
      <c r="D261" s="31"/>
      <c r="E261" s="31"/>
      <c r="F261" s="31"/>
      <c r="G261" s="31"/>
      <c r="H261" s="31"/>
      <c r="I261" s="31"/>
      <c r="J261" s="31"/>
      <c r="K261" s="19"/>
      <c r="L261" s="19"/>
      <c r="M261" s="19"/>
      <c r="N261" s="31"/>
      <c r="O261" s="31"/>
      <c r="P261" s="19"/>
      <c r="Q261" s="19"/>
    </row>
    <row r="262" spans="1:17" ht="46.5" customHeight="1" x14ac:dyDescent="0.7">
      <c r="A262" s="19"/>
      <c r="B262" s="19"/>
      <c r="C262" s="19"/>
      <c r="D262" s="31"/>
      <c r="E262" s="31"/>
      <c r="F262" s="31"/>
      <c r="G262" s="31"/>
      <c r="H262" s="31"/>
      <c r="I262" s="31"/>
      <c r="J262" s="31"/>
      <c r="K262" s="19"/>
      <c r="L262" s="19"/>
      <c r="M262" s="19"/>
      <c r="N262" s="31"/>
      <c r="O262" s="31"/>
      <c r="P262" s="19"/>
      <c r="Q262" s="19"/>
    </row>
    <row r="263" spans="1:17" ht="46.5" customHeight="1" x14ac:dyDescent="0.7">
      <c r="A263" s="19"/>
      <c r="B263" s="19"/>
      <c r="C263" s="19"/>
      <c r="D263" s="31"/>
      <c r="E263" s="31"/>
      <c r="F263" s="31"/>
      <c r="G263" s="31"/>
      <c r="H263" s="31"/>
      <c r="I263" s="31"/>
      <c r="J263" s="31"/>
      <c r="K263" s="19"/>
      <c r="L263" s="19"/>
      <c r="M263" s="19"/>
      <c r="N263" s="31"/>
      <c r="O263" s="31"/>
      <c r="P263" s="19"/>
      <c r="Q263" s="19"/>
    </row>
    <row r="264" spans="1:17" ht="46.5" customHeight="1" x14ac:dyDescent="0.7">
      <c r="A264" s="19"/>
      <c r="B264" s="19"/>
      <c r="C264" s="19"/>
      <c r="D264" s="31"/>
      <c r="E264" s="31"/>
      <c r="F264" s="31"/>
      <c r="G264" s="31"/>
      <c r="H264" s="31"/>
      <c r="I264" s="31"/>
      <c r="J264" s="31"/>
      <c r="K264" s="19"/>
      <c r="L264" s="19"/>
      <c r="M264" s="19"/>
      <c r="N264" s="31"/>
      <c r="O264" s="31"/>
      <c r="P264" s="19"/>
      <c r="Q264" s="19"/>
    </row>
    <row r="265" spans="1:17" ht="46.5" customHeight="1" x14ac:dyDescent="0.7">
      <c r="A265" s="19"/>
      <c r="B265" s="19"/>
      <c r="C265" s="19"/>
      <c r="D265" s="31"/>
      <c r="E265" s="31"/>
      <c r="F265" s="31"/>
      <c r="G265" s="31"/>
      <c r="H265" s="31"/>
      <c r="I265" s="31"/>
      <c r="J265" s="31"/>
      <c r="K265" s="19"/>
      <c r="L265" s="19"/>
      <c r="M265" s="19"/>
      <c r="N265" s="31"/>
      <c r="O265" s="31"/>
      <c r="P265" s="19"/>
      <c r="Q265" s="19"/>
    </row>
    <row r="266" spans="1:17" ht="46.5" customHeight="1" x14ac:dyDescent="0.7">
      <c r="A266" s="19"/>
      <c r="B266" s="19"/>
      <c r="C266" s="19"/>
      <c r="D266" s="31"/>
      <c r="E266" s="31"/>
      <c r="F266" s="31"/>
      <c r="G266" s="31"/>
      <c r="H266" s="31"/>
      <c r="I266" s="31"/>
      <c r="J266" s="31"/>
      <c r="K266" s="19"/>
      <c r="L266" s="19"/>
      <c r="M266" s="19"/>
      <c r="N266" s="31"/>
      <c r="O266" s="31"/>
      <c r="P266" s="19"/>
      <c r="Q266" s="19"/>
    </row>
    <row r="267" spans="1:17" ht="46.5" customHeight="1" x14ac:dyDescent="0.7">
      <c r="A267" s="19"/>
      <c r="B267" s="19"/>
      <c r="C267" s="19"/>
      <c r="D267" s="31"/>
      <c r="E267" s="31"/>
      <c r="F267" s="31"/>
      <c r="G267" s="31"/>
      <c r="H267" s="31"/>
      <c r="I267" s="31"/>
      <c r="J267" s="31"/>
      <c r="K267" s="19"/>
      <c r="L267" s="19"/>
      <c r="M267" s="19"/>
      <c r="N267" s="31"/>
      <c r="O267" s="31"/>
      <c r="P267" s="19"/>
      <c r="Q267" s="19"/>
    </row>
    <row r="268" spans="1:17" ht="46.5" customHeight="1" x14ac:dyDescent="0.7">
      <c r="A268" s="19"/>
      <c r="B268" s="19"/>
      <c r="C268" s="19"/>
      <c r="D268" s="31"/>
      <c r="E268" s="31"/>
      <c r="F268" s="31"/>
      <c r="G268" s="31"/>
      <c r="H268" s="31"/>
      <c r="I268" s="31"/>
      <c r="J268" s="31"/>
      <c r="K268" s="19"/>
      <c r="L268" s="19"/>
      <c r="M268" s="19"/>
      <c r="N268" s="31"/>
      <c r="O268" s="31"/>
      <c r="P268" s="19"/>
      <c r="Q268" s="19"/>
    </row>
    <row r="269" spans="1:17" ht="46.5" customHeight="1" x14ac:dyDescent="0.7">
      <c r="A269" s="19"/>
      <c r="B269" s="19"/>
      <c r="C269" s="19"/>
      <c r="D269" s="31"/>
      <c r="E269" s="31"/>
      <c r="F269" s="31"/>
      <c r="G269" s="31"/>
      <c r="H269" s="31"/>
      <c r="I269" s="31"/>
      <c r="J269" s="31"/>
      <c r="K269" s="19"/>
      <c r="L269" s="19"/>
      <c r="M269" s="19"/>
      <c r="N269" s="31"/>
      <c r="O269" s="31"/>
      <c r="P269" s="19"/>
      <c r="Q269" s="19"/>
    </row>
    <row r="270" spans="1:17" ht="46.5" customHeight="1" x14ac:dyDescent="0.7">
      <c r="A270" s="19"/>
      <c r="B270" s="19"/>
      <c r="C270" s="19"/>
      <c r="D270" s="31"/>
      <c r="E270" s="31"/>
      <c r="F270" s="31"/>
      <c r="G270" s="31"/>
      <c r="H270" s="31"/>
      <c r="I270" s="31"/>
      <c r="J270" s="31"/>
      <c r="K270" s="19"/>
      <c r="L270" s="19"/>
      <c r="M270" s="19"/>
      <c r="N270" s="31"/>
      <c r="O270" s="31"/>
      <c r="P270" s="19"/>
      <c r="Q270" s="19"/>
    </row>
    <row r="271" spans="1:17" ht="46.5" customHeight="1" x14ac:dyDescent="0.7">
      <c r="A271" s="19"/>
      <c r="B271" s="19"/>
      <c r="C271" s="19"/>
      <c r="D271" s="31"/>
      <c r="E271" s="31"/>
      <c r="F271" s="31"/>
      <c r="G271" s="31"/>
      <c r="H271" s="31"/>
      <c r="I271" s="31"/>
      <c r="J271" s="31"/>
      <c r="K271" s="19"/>
      <c r="L271" s="19"/>
      <c r="M271" s="19"/>
      <c r="N271" s="31"/>
      <c r="O271" s="31"/>
      <c r="P271" s="19"/>
      <c r="Q271" s="19"/>
    </row>
    <row r="272" spans="1:17" ht="46.5" customHeight="1" x14ac:dyDescent="0.7">
      <c r="A272" s="19"/>
      <c r="B272" s="19"/>
      <c r="C272" s="19"/>
      <c r="D272" s="31"/>
      <c r="E272" s="31"/>
      <c r="F272" s="31"/>
      <c r="G272" s="31"/>
      <c r="H272" s="31"/>
      <c r="I272" s="31"/>
      <c r="J272" s="31"/>
      <c r="K272" s="19"/>
      <c r="L272" s="19"/>
      <c r="M272" s="19"/>
      <c r="N272" s="31"/>
      <c r="O272" s="31"/>
      <c r="P272" s="19"/>
      <c r="Q272" s="19"/>
    </row>
    <row r="273" spans="1:17" ht="46.5" customHeight="1" x14ac:dyDescent="0.7">
      <c r="A273" s="19"/>
      <c r="B273" s="19"/>
      <c r="C273" s="19"/>
      <c r="D273" s="31"/>
      <c r="E273" s="31"/>
      <c r="F273" s="31"/>
      <c r="G273" s="31"/>
      <c r="H273" s="31"/>
      <c r="I273" s="31"/>
      <c r="J273" s="31"/>
      <c r="K273" s="19"/>
      <c r="L273" s="19"/>
      <c r="M273" s="19"/>
      <c r="N273" s="31"/>
      <c r="O273" s="31"/>
      <c r="P273" s="19"/>
      <c r="Q273" s="19"/>
    </row>
    <row r="274" spans="1:17" ht="46.5" customHeight="1" x14ac:dyDescent="0.7">
      <c r="A274" s="19"/>
      <c r="B274" s="19"/>
      <c r="C274" s="19"/>
      <c r="D274" s="31"/>
      <c r="E274" s="31"/>
      <c r="F274" s="31"/>
      <c r="G274" s="31"/>
      <c r="H274" s="31"/>
      <c r="I274" s="31"/>
      <c r="J274" s="31"/>
      <c r="K274" s="19"/>
      <c r="L274" s="19"/>
      <c r="M274" s="19"/>
      <c r="N274" s="31"/>
      <c r="O274" s="31"/>
      <c r="P274" s="19"/>
      <c r="Q274" s="19"/>
    </row>
    <row r="275" spans="1:17" ht="46.5" customHeight="1" x14ac:dyDescent="0.7">
      <c r="A275" s="19"/>
      <c r="B275" s="19"/>
      <c r="C275" s="19"/>
      <c r="D275" s="31"/>
      <c r="E275" s="31"/>
      <c r="F275" s="31"/>
      <c r="G275" s="31"/>
      <c r="H275" s="31"/>
      <c r="I275" s="31"/>
      <c r="J275" s="31"/>
      <c r="K275" s="19"/>
      <c r="L275" s="19"/>
      <c r="M275" s="19"/>
      <c r="N275" s="31"/>
      <c r="O275" s="31"/>
      <c r="P275" s="19"/>
      <c r="Q275" s="19"/>
    </row>
    <row r="276" spans="1:17" ht="46.5" customHeight="1" x14ac:dyDescent="0.7">
      <c r="A276" s="19"/>
      <c r="B276" s="19"/>
      <c r="C276" s="19"/>
      <c r="D276" s="31"/>
      <c r="E276" s="31"/>
      <c r="F276" s="31"/>
      <c r="G276" s="31"/>
      <c r="H276" s="31"/>
      <c r="I276" s="31"/>
      <c r="J276" s="31"/>
      <c r="K276" s="19"/>
      <c r="L276" s="19"/>
      <c r="M276" s="19"/>
      <c r="N276" s="31"/>
      <c r="O276" s="31"/>
      <c r="P276" s="19"/>
      <c r="Q276" s="19"/>
    </row>
    <row r="277" spans="1:17" ht="46.5" customHeight="1" x14ac:dyDescent="0.7">
      <c r="A277" s="19"/>
      <c r="B277" s="19"/>
      <c r="C277" s="19"/>
      <c r="D277" s="31"/>
      <c r="E277" s="31"/>
      <c r="F277" s="31"/>
      <c r="G277" s="31"/>
      <c r="H277" s="31"/>
      <c r="I277" s="31"/>
      <c r="J277" s="31"/>
      <c r="K277" s="19"/>
      <c r="L277" s="19"/>
      <c r="M277" s="19"/>
      <c r="N277" s="31"/>
      <c r="O277" s="31"/>
      <c r="P277" s="19"/>
      <c r="Q277" s="19"/>
    </row>
    <row r="278" spans="1:17" ht="46.5" customHeight="1" x14ac:dyDescent="0.7">
      <c r="A278" s="19"/>
      <c r="B278" s="19"/>
      <c r="C278" s="19"/>
      <c r="D278" s="31"/>
      <c r="E278" s="31"/>
      <c r="F278" s="31"/>
      <c r="G278" s="31"/>
      <c r="H278" s="31"/>
      <c r="I278" s="31"/>
      <c r="J278" s="31"/>
      <c r="K278" s="19"/>
      <c r="L278" s="19"/>
      <c r="M278" s="19"/>
      <c r="N278" s="31"/>
      <c r="O278" s="31"/>
      <c r="P278" s="19"/>
      <c r="Q278" s="19"/>
    </row>
    <row r="279" spans="1:17" ht="46.5" customHeight="1" x14ac:dyDescent="0.7">
      <c r="A279" s="19"/>
      <c r="B279" s="19"/>
      <c r="C279" s="19"/>
      <c r="D279" s="31"/>
      <c r="E279" s="31"/>
      <c r="F279" s="31"/>
      <c r="G279" s="31"/>
      <c r="H279" s="31"/>
      <c r="I279" s="31"/>
      <c r="J279" s="31"/>
      <c r="K279" s="19"/>
      <c r="L279" s="19"/>
      <c r="M279" s="19"/>
      <c r="N279" s="31"/>
      <c r="O279" s="31"/>
      <c r="P279" s="19"/>
      <c r="Q279" s="19"/>
    </row>
    <row r="280" spans="1:17" ht="46.5" customHeight="1" x14ac:dyDescent="0.7">
      <c r="A280" s="19"/>
      <c r="B280" s="19"/>
      <c r="C280" s="19"/>
      <c r="D280" s="31"/>
      <c r="E280" s="31"/>
      <c r="F280" s="31"/>
      <c r="G280" s="31"/>
      <c r="H280" s="31"/>
      <c r="I280" s="31"/>
      <c r="J280" s="31"/>
      <c r="K280" s="19"/>
      <c r="L280" s="19"/>
      <c r="M280" s="19"/>
      <c r="N280" s="31"/>
      <c r="O280" s="31"/>
      <c r="P280" s="19"/>
      <c r="Q280" s="19"/>
    </row>
    <row r="281" spans="1:17" ht="46.5" customHeight="1" x14ac:dyDescent="0.7">
      <c r="A281" s="19"/>
      <c r="B281" s="19"/>
      <c r="C281" s="19"/>
      <c r="D281" s="31"/>
      <c r="E281" s="31"/>
      <c r="F281" s="31"/>
      <c r="G281" s="31"/>
      <c r="H281" s="31"/>
      <c r="I281" s="31"/>
      <c r="J281" s="31"/>
      <c r="K281" s="19"/>
      <c r="L281" s="19"/>
      <c r="M281" s="19"/>
      <c r="N281" s="31"/>
      <c r="O281" s="31"/>
      <c r="P281" s="19"/>
      <c r="Q281" s="19"/>
    </row>
    <row r="282" spans="1:17" ht="46.5" customHeight="1" x14ac:dyDescent="0.7">
      <c r="A282" s="19"/>
      <c r="B282" s="19"/>
      <c r="C282" s="19"/>
      <c r="D282" s="31"/>
      <c r="E282" s="31"/>
      <c r="F282" s="31"/>
      <c r="G282" s="31"/>
      <c r="H282" s="31"/>
      <c r="I282" s="31"/>
      <c r="J282" s="31"/>
      <c r="K282" s="19"/>
      <c r="L282" s="19"/>
      <c r="M282" s="19"/>
      <c r="N282" s="31"/>
      <c r="O282" s="31"/>
      <c r="P282" s="19"/>
      <c r="Q282" s="19"/>
    </row>
    <row r="283" spans="1:17" ht="46.5" customHeight="1" x14ac:dyDescent="0.7">
      <c r="A283" s="19"/>
      <c r="B283" s="19"/>
      <c r="C283" s="19"/>
      <c r="D283" s="31"/>
      <c r="E283" s="31"/>
      <c r="F283" s="31"/>
      <c r="G283" s="31"/>
      <c r="H283" s="31"/>
      <c r="I283" s="31"/>
      <c r="J283" s="31"/>
      <c r="K283" s="19"/>
      <c r="L283" s="19"/>
      <c r="M283" s="19"/>
      <c r="N283" s="31"/>
      <c r="O283" s="31"/>
      <c r="P283" s="19"/>
      <c r="Q283" s="19"/>
    </row>
    <row r="284" spans="1:17" ht="46.5" customHeight="1" x14ac:dyDescent="0.7">
      <c r="A284" s="19"/>
      <c r="B284" s="19"/>
      <c r="C284" s="19"/>
      <c r="D284" s="31"/>
      <c r="E284" s="31"/>
      <c r="F284" s="31"/>
      <c r="G284" s="31"/>
      <c r="H284" s="31"/>
      <c r="I284" s="31"/>
      <c r="J284" s="31"/>
      <c r="K284" s="19"/>
      <c r="L284" s="19"/>
      <c r="M284" s="19"/>
      <c r="N284" s="31"/>
      <c r="O284" s="31"/>
      <c r="P284" s="19"/>
      <c r="Q284" s="19"/>
    </row>
    <row r="285" spans="1:17" ht="46.5" customHeight="1" x14ac:dyDescent="0.7">
      <c r="A285" s="19"/>
      <c r="B285" s="19"/>
      <c r="C285" s="19"/>
      <c r="D285" s="31"/>
      <c r="E285" s="31"/>
      <c r="F285" s="31"/>
      <c r="G285" s="31"/>
      <c r="H285" s="31"/>
      <c r="I285" s="31"/>
      <c r="J285" s="31"/>
      <c r="K285" s="19"/>
      <c r="L285" s="19"/>
      <c r="M285" s="19"/>
      <c r="N285" s="31"/>
      <c r="O285" s="31"/>
      <c r="P285" s="19"/>
      <c r="Q285" s="19"/>
    </row>
    <row r="286" spans="1:17" ht="46.5" customHeight="1" x14ac:dyDescent="0.7">
      <c r="A286" s="19"/>
      <c r="B286" s="19"/>
      <c r="C286" s="19"/>
      <c r="D286" s="31"/>
      <c r="E286" s="31"/>
      <c r="F286" s="31"/>
      <c r="G286" s="31"/>
      <c r="H286" s="31"/>
      <c r="I286" s="31"/>
      <c r="J286" s="31"/>
      <c r="K286" s="19"/>
      <c r="L286" s="19"/>
      <c r="M286" s="19"/>
      <c r="N286" s="31"/>
      <c r="O286" s="31"/>
      <c r="P286" s="19"/>
      <c r="Q286" s="19"/>
    </row>
    <row r="287" spans="1:17" ht="46.5" customHeight="1" x14ac:dyDescent="0.7">
      <c r="A287" s="19"/>
      <c r="B287" s="19"/>
      <c r="C287" s="19"/>
      <c r="D287" s="31"/>
      <c r="E287" s="31"/>
      <c r="F287" s="31"/>
      <c r="G287" s="31"/>
      <c r="H287" s="31"/>
      <c r="I287" s="31"/>
      <c r="J287" s="31"/>
      <c r="K287" s="19"/>
      <c r="L287" s="19"/>
      <c r="M287" s="19"/>
      <c r="N287" s="31"/>
      <c r="O287" s="31"/>
      <c r="P287" s="19"/>
      <c r="Q287" s="19"/>
    </row>
    <row r="288" spans="1:17" ht="46.5" customHeight="1" x14ac:dyDescent="0.7">
      <c r="A288" s="19"/>
      <c r="B288" s="19"/>
      <c r="C288" s="19"/>
      <c r="D288" s="31"/>
      <c r="E288" s="31"/>
      <c r="F288" s="31"/>
      <c r="G288" s="31"/>
      <c r="H288" s="31"/>
      <c r="I288" s="31"/>
      <c r="J288" s="31"/>
      <c r="K288" s="19"/>
      <c r="L288" s="19"/>
      <c r="M288" s="19"/>
      <c r="N288" s="31"/>
      <c r="O288" s="31"/>
      <c r="P288" s="19"/>
      <c r="Q288" s="19"/>
    </row>
    <row r="289" spans="1:17" ht="46.5" customHeight="1" x14ac:dyDescent="0.7">
      <c r="A289" s="19"/>
      <c r="B289" s="19"/>
      <c r="C289" s="19"/>
      <c r="D289" s="31"/>
      <c r="E289" s="31"/>
      <c r="F289" s="31"/>
      <c r="G289" s="31"/>
      <c r="H289" s="31"/>
      <c r="I289" s="31"/>
      <c r="J289" s="31"/>
      <c r="K289" s="19"/>
      <c r="L289" s="19"/>
      <c r="M289" s="19"/>
      <c r="N289" s="31"/>
      <c r="O289" s="31"/>
      <c r="P289" s="19"/>
      <c r="Q289" s="19"/>
    </row>
    <row r="290" spans="1:17" ht="46.5" customHeight="1" x14ac:dyDescent="0.7">
      <c r="A290" s="19"/>
      <c r="B290" s="19"/>
      <c r="C290" s="19"/>
      <c r="D290" s="31"/>
      <c r="E290" s="31"/>
      <c r="F290" s="31"/>
      <c r="G290" s="31"/>
      <c r="H290" s="31"/>
      <c r="I290" s="31"/>
      <c r="J290" s="31"/>
      <c r="K290" s="19"/>
      <c r="L290" s="19"/>
      <c r="M290" s="19"/>
      <c r="N290" s="31"/>
      <c r="O290" s="31"/>
      <c r="P290" s="19"/>
      <c r="Q290" s="19"/>
    </row>
    <row r="291" spans="1:17" ht="46.5" customHeight="1" x14ac:dyDescent="0.7">
      <c r="A291" s="19"/>
      <c r="B291" s="19"/>
      <c r="C291" s="19"/>
      <c r="D291" s="31"/>
      <c r="E291" s="31"/>
      <c r="F291" s="31"/>
      <c r="G291" s="31"/>
      <c r="H291" s="31"/>
      <c r="I291" s="31"/>
      <c r="J291" s="31"/>
      <c r="K291" s="19"/>
      <c r="L291" s="19"/>
      <c r="M291" s="19"/>
      <c r="N291" s="31"/>
      <c r="O291" s="31"/>
      <c r="P291" s="19"/>
      <c r="Q291" s="19"/>
    </row>
    <row r="292" spans="1:17" ht="46.5" customHeight="1" x14ac:dyDescent="0.7">
      <c r="A292" s="19"/>
      <c r="B292" s="19"/>
      <c r="C292" s="19"/>
      <c r="D292" s="31"/>
      <c r="E292" s="31"/>
      <c r="F292" s="31"/>
      <c r="G292" s="31"/>
      <c r="H292" s="31"/>
      <c r="I292" s="31"/>
      <c r="J292" s="31"/>
      <c r="K292" s="19"/>
      <c r="L292" s="19"/>
      <c r="M292" s="19"/>
      <c r="N292" s="31"/>
      <c r="O292" s="31"/>
      <c r="P292" s="19"/>
      <c r="Q292" s="19"/>
    </row>
    <row r="293" spans="1:17" ht="46.5" customHeight="1" x14ac:dyDescent="0.7">
      <c r="A293" s="19"/>
      <c r="B293" s="19"/>
      <c r="C293" s="19"/>
      <c r="D293" s="31"/>
      <c r="E293" s="31"/>
      <c r="F293" s="31"/>
      <c r="G293" s="31"/>
      <c r="H293" s="31"/>
      <c r="I293" s="31"/>
      <c r="J293" s="31"/>
      <c r="K293" s="19"/>
      <c r="L293" s="19"/>
      <c r="M293" s="19"/>
      <c r="N293" s="31"/>
      <c r="O293" s="31"/>
      <c r="P293" s="19"/>
      <c r="Q293" s="19"/>
    </row>
    <row r="294" spans="1:17" ht="46.5" customHeight="1" x14ac:dyDescent="0.7">
      <c r="A294" s="19"/>
      <c r="B294" s="19"/>
      <c r="C294" s="19"/>
      <c r="D294" s="31"/>
      <c r="E294" s="31"/>
      <c r="F294" s="31"/>
      <c r="G294" s="31"/>
      <c r="H294" s="31"/>
      <c r="I294" s="31"/>
      <c r="J294" s="31"/>
      <c r="K294" s="19"/>
      <c r="L294" s="19"/>
      <c r="M294" s="19"/>
      <c r="N294" s="31"/>
      <c r="O294" s="31"/>
      <c r="P294" s="19"/>
      <c r="Q294" s="19"/>
    </row>
    <row r="295" spans="1:17" ht="46.5" customHeight="1" x14ac:dyDescent="0.7">
      <c r="A295" s="19"/>
      <c r="B295" s="19"/>
      <c r="C295" s="19"/>
      <c r="D295" s="31"/>
      <c r="E295" s="31"/>
      <c r="F295" s="31"/>
      <c r="G295" s="31"/>
      <c r="H295" s="31"/>
      <c r="I295" s="31"/>
      <c r="J295" s="31"/>
      <c r="K295" s="19"/>
      <c r="L295" s="19"/>
      <c r="M295" s="19"/>
      <c r="N295" s="31"/>
      <c r="O295" s="31"/>
      <c r="P295" s="19"/>
      <c r="Q295" s="19"/>
    </row>
    <row r="296" spans="1:17" ht="46.5" customHeight="1" x14ac:dyDescent="0.7">
      <c r="A296" s="19"/>
      <c r="B296" s="19"/>
      <c r="C296" s="19"/>
      <c r="D296" s="31"/>
      <c r="E296" s="31"/>
      <c r="F296" s="31"/>
      <c r="G296" s="31"/>
      <c r="H296" s="31"/>
      <c r="I296" s="31"/>
      <c r="J296" s="31"/>
      <c r="K296" s="19"/>
      <c r="L296" s="19"/>
      <c r="M296" s="19"/>
      <c r="N296" s="31"/>
      <c r="O296" s="31"/>
      <c r="P296" s="19"/>
      <c r="Q296" s="19"/>
    </row>
    <row r="297" spans="1:17" ht="46.5" customHeight="1" x14ac:dyDescent="0.7">
      <c r="A297" s="19"/>
      <c r="B297" s="19"/>
      <c r="C297" s="19"/>
      <c r="D297" s="31"/>
      <c r="E297" s="31"/>
      <c r="F297" s="31"/>
      <c r="G297" s="31"/>
      <c r="H297" s="31"/>
      <c r="I297" s="31"/>
      <c r="J297" s="31"/>
      <c r="K297" s="19"/>
      <c r="L297" s="19"/>
      <c r="M297" s="19"/>
      <c r="N297" s="31"/>
      <c r="O297" s="31"/>
      <c r="P297" s="19"/>
      <c r="Q297" s="19"/>
    </row>
    <row r="298" spans="1:17" ht="46.5" customHeight="1" x14ac:dyDescent="0.7">
      <c r="A298" s="19"/>
      <c r="B298" s="19"/>
      <c r="C298" s="19"/>
      <c r="D298" s="31"/>
      <c r="E298" s="31"/>
      <c r="F298" s="31"/>
      <c r="G298" s="31"/>
      <c r="H298" s="31"/>
      <c r="I298" s="31"/>
      <c r="J298" s="31"/>
      <c r="K298" s="19"/>
      <c r="L298" s="19"/>
      <c r="M298" s="19"/>
      <c r="N298" s="31"/>
      <c r="O298" s="31"/>
      <c r="P298" s="19"/>
      <c r="Q298" s="19"/>
    </row>
    <row r="299" spans="1:17" ht="46.5" customHeight="1" x14ac:dyDescent="0.7">
      <c r="A299" s="19"/>
      <c r="B299" s="19"/>
      <c r="C299" s="19"/>
      <c r="D299" s="31"/>
      <c r="E299" s="31"/>
      <c r="F299" s="31"/>
      <c r="G299" s="31"/>
      <c r="H299" s="31"/>
      <c r="I299" s="31"/>
      <c r="J299" s="31"/>
      <c r="K299" s="19"/>
      <c r="L299" s="19"/>
      <c r="M299" s="19"/>
      <c r="N299" s="31"/>
      <c r="O299" s="31"/>
      <c r="P299" s="19"/>
      <c r="Q299" s="19"/>
    </row>
    <row r="300" spans="1:17" ht="46.5" customHeight="1" x14ac:dyDescent="0.7">
      <c r="A300" s="19"/>
      <c r="B300" s="19"/>
      <c r="C300" s="19"/>
      <c r="D300" s="31"/>
      <c r="E300" s="31"/>
      <c r="F300" s="31"/>
      <c r="G300" s="31"/>
      <c r="H300" s="31"/>
      <c r="I300" s="31"/>
      <c r="J300" s="31"/>
      <c r="K300" s="19"/>
      <c r="L300" s="19"/>
      <c r="M300" s="19"/>
      <c r="N300" s="31"/>
      <c r="O300" s="31"/>
      <c r="P300" s="19"/>
      <c r="Q300" s="19"/>
    </row>
    <row r="301" spans="1:17" ht="46.5" customHeight="1" x14ac:dyDescent="0.7">
      <c r="A301" s="19"/>
      <c r="B301" s="19"/>
      <c r="C301" s="19"/>
      <c r="D301" s="31"/>
      <c r="E301" s="31"/>
      <c r="F301" s="31"/>
      <c r="G301" s="31"/>
      <c r="H301" s="31"/>
      <c r="I301" s="31"/>
      <c r="J301" s="31"/>
      <c r="K301" s="19"/>
      <c r="L301" s="19"/>
      <c r="M301" s="19"/>
      <c r="N301" s="31"/>
      <c r="O301" s="31"/>
      <c r="P301" s="19"/>
      <c r="Q301" s="19"/>
    </row>
    <row r="302" spans="1:17" ht="46.5" customHeight="1" x14ac:dyDescent="0.7">
      <c r="A302" s="19"/>
      <c r="B302" s="19"/>
      <c r="C302" s="19"/>
      <c r="D302" s="31"/>
      <c r="E302" s="31"/>
      <c r="F302" s="31"/>
      <c r="G302" s="31"/>
      <c r="H302" s="31"/>
      <c r="I302" s="31"/>
      <c r="J302" s="31"/>
      <c r="K302" s="19"/>
      <c r="L302" s="19"/>
      <c r="M302" s="19"/>
      <c r="N302" s="31"/>
      <c r="O302" s="31"/>
      <c r="P302" s="19"/>
      <c r="Q302" s="19"/>
    </row>
    <row r="303" spans="1:17" ht="46.5" customHeight="1" x14ac:dyDescent="0.7">
      <c r="A303" s="19"/>
      <c r="B303" s="19"/>
      <c r="C303" s="19"/>
      <c r="D303" s="31"/>
      <c r="E303" s="31"/>
      <c r="F303" s="31"/>
      <c r="G303" s="31"/>
      <c r="H303" s="31"/>
      <c r="I303" s="31"/>
      <c r="J303" s="31"/>
      <c r="K303" s="19"/>
      <c r="L303" s="19"/>
      <c r="M303" s="19"/>
      <c r="N303" s="31"/>
      <c r="O303" s="31"/>
      <c r="P303" s="19"/>
      <c r="Q303" s="19"/>
    </row>
    <row r="304" spans="1:17" ht="46.5" customHeight="1" x14ac:dyDescent="0.7">
      <c r="A304" s="19"/>
      <c r="B304" s="19"/>
      <c r="C304" s="19"/>
      <c r="D304" s="31"/>
      <c r="E304" s="31"/>
      <c r="F304" s="31"/>
      <c r="G304" s="31"/>
      <c r="H304" s="31"/>
      <c r="I304" s="31"/>
      <c r="J304" s="31"/>
      <c r="K304" s="19"/>
      <c r="L304" s="19"/>
      <c r="M304" s="19"/>
      <c r="N304" s="31"/>
      <c r="O304" s="31"/>
      <c r="P304" s="19"/>
      <c r="Q304" s="19"/>
    </row>
    <row r="305" spans="1:17" ht="46.5" customHeight="1" x14ac:dyDescent="0.7">
      <c r="A305" s="19"/>
      <c r="B305" s="19"/>
      <c r="C305" s="19"/>
      <c r="D305" s="31"/>
      <c r="E305" s="31"/>
      <c r="F305" s="31"/>
      <c r="G305" s="31"/>
      <c r="H305" s="31"/>
      <c r="I305" s="31"/>
      <c r="J305" s="31"/>
      <c r="K305" s="19"/>
      <c r="L305" s="19"/>
      <c r="M305" s="19"/>
      <c r="N305" s="31"/>
      <c r="O305" s="31"/>
      <c r="P305" s="19"/>
      <c r="Q305" s="19"/>
    </row>
    <row r="306" spans="1:17" ht="46.5" customHeight="1" x14ac:dyDescent="0.7">
      <c r="A306" s="19"/>
      <c r="B306" s="19"/>
      <c r="C306" s="19"/>
      <c r="D306" s="31"/>
      <c r="E306" s="31"/>
      <c r="F306" s="31"/>
      <c r="G306" s="31"/>
      <c r="H306" s="31"/>
      <c r="I306" s="31"/>
      <c r="J306" s="31"/>
      <c r="K306" s="19"/>
      <c r="L306" s="19"/>
      <c r="M306" s="19"/>
      <c r="N306" s="31"/>
      <c r="O306" s="31"/>
      <c r="P306" s="19"/>
      <c r="Q306" s="19"/>
    </row>
    <row r="307" spans="1:17" ht="46.5" customHeight="1" x14ac:dyDescent="0.7">
      <c r="A307" s="19"/>
      <c r="B307" s="19"/>
      <c r="C307" s="19"/>
      <c r="D307" s="31"/>
      <c r="E307" s="31"/>
      <c r="F307" s="31"/>
      <c r="G307" s="31"/>
      <c r="H307" s="31"/>
      <c r="I307" s="31"/>
      <c r="J307" s="31"/>
      <c r="K307" s="19"/>
      <c r="L307" s="19"/>
      <c r="M307" s="19"/>
      <c r="N307" s="31"/>
      <c r="O307" s="31"/>
      <c r="P307" s="19"/>
      <c r="Q307" s="19"/>
    </row>
    <row r="308" spans="1:17" ht="46.5" customHeight="1" x14ac:dyDescent="0.7">
      <c r="A308" s="19"/>
      <c r="B308" s="19"/>
      <c r="C308" s="19"/>
      <c r="D308" s="31"/>
      <c r="E308" s="31"/>
      <c r="F308" s="31"/>
      <c r="G308" s="31"/>
      <c r="H308" s="31"/>
      <c r="I308" s="31"/>
      <c r="J308" s="31"/>
      <c r="K308" s="19"/>
      <c r="L308" s="19"/>
      <c r="M308" s="19"/>
      <c r="N308" s="31"/>
      <c r="O308" s="31"/>
      <c r="P308" s="19"/>
      <c r="Q308" s="19"/>
    </row>
    <row r="309" spans="1:17" ht="46.5" customHeight="1" x14ac:dyDescent="0.7">
      <c r="A309" s="19"/>
      <c r="B309" s="19"/>
      <c r="C309" s="19"/>
      <c r="D309" s="31"/>
      <c r="E309" s="31"/>
      <c r="F309" s="31"/>
      <c r="G309" s="31"/>
      <c r="H309" s="31"/>
      <c r="I309" s="31"/>
      <c r="J309" s="31"/>
      <c r="K309" s="19"/>
      <c r="L309" s="19"/>
      <c r="M309" s="19"/>
      <c r="N309" s="31"/>
      <c r="O309" s="31"/>
      <c r="P309" s="19"/>
      <c r="Q309" s="19"/>
    </row>
    <row r="310" spans="1:17" ht="46.5" customHeight="1" x14ac:dyDescent="0.7">
      <c r="A310" s="19"/>
      <c r="B310" s="19"/>
      <c r="C310" s="19"/>
      <c r="D310" s="31"/>
      <c r="E310" s="31"/>
      <c r="F310" s="31"/>
      <c r="G310" s="31"/>
      <c r="H310" s="31"/>
      <c r="I310" s="31"/>
      <c r="J310" s="31"/>
      <c r="K310" s="19"/>
      <c r="L310" s="19"/>
      <c r="M310" s="19"/>
      <c r="N310" s="31"/>
      <c r="O310" s="31"/>
      <c r="P310" s="19"/>
      <c r="Q310" s="19"/>
    </row>
    <row r="311" spans="1:17" ht="46.5" customHeight="1" x14ac:dyDescent="0.7">
      <c r="A311" s="19"/>
      <c r="B311" s="19"/>
      <c r="C311" s="19"/>
      <c r="D311" s="31"/>
      <c r="E311" s="31"/>
      <c r="F311" s="31"/>
      <c r="G311" s="31"/>
      <c r="H311" s="31"/>
      <c r="I311" s="31"/>
      <c r="J311" s="31"/>
      <c r="K311" s="19"/>
      <c r="L311" s="19"/>
      <c r="M311" s="19"/>
      <c r="N311" s="31"/>
      <c r="O311" s="31"/>
      <c r="P311" s="19"/>
      <c r="Q311" s="19"/>
    </row>
    <row r="312" spans="1:17" ht="46.5" customHeight="1" x14ac:dyDescent="0.7">
      <c r="A312" s="19"/>
      <c r="B312" s="19"/>
      <c r="C312" s="19"/>
      <c r="D312" s="31"/>
      <c r="E312" s="31"/>
      <c r="F312" s="31"/>
      <c r="G312" s="31"/>
      <c r="H312" s="31"/>
      <c r="I312" s="31"/>
      <c r="J312" s="31"/>
      <c r="K312" s="19"/>
      <c r="L312" s="19"/>
      <c r="M312" s="19"/>
      <c r="N312" s="31"/>
      <c r="O312" s="31"/>
      <c r="P312" s="19"/>
      <c r="Q312" s="19"/>
    </row>
    <row r="313" spans="1:17" ht="46.5" customHeight="1" x14ac:dyDescent="0.7">
      <c r="A313" s="19"/>
      <c r="B313" s="19"/>
      <c r="C313" s="19"/>
      <c r="D313" s="31"/>
      <c r="E313" s="31"/>
      <c r="F313" s="31"/>
      <c r="G313" s="31"/>
      <c r="H313" s="31"/>
      <c r="I313" s="31"/>
      <c r="J313" s="31"/>
      <c r="K313" s="19"/>
      <c r="L313" s="19"/>
      <c r="M313" s="19"/>
      <c r="N313" s="31"/>
      <c r="O313" s="31"/>
      <c r="P313" s="19"/>
      <c r="Q313" s="19"/>
    </row>
    <row r="314" spans="1:17" ht="46.5" customHeight="1" x14ac:dyDescent="0.7">
      <c r="A314" s="19"/>
      <c r="B314" s="19"/>
      <c r="C314" s="19"/>
      <c r="D314" s="31"/>
      <c r="E314" s="31"/>
      <c r="F314" s="31"/>
      <c r="G314" s="31"/>
      <c r="H314" s="31"/>
      <c r="I314" s="31"/>
      <c r="J314" s="31"/>
      <c r="K314" s="19"/>
      <c r="L314" s="19"/>
      <c r="M314" s="19"/>
      <c r="N314" s="31"/>
      <c r="O314" s="31"/>
      <c r="P314" s="19"/>
      <c r="Q314" s="19"/>
    </row>
    <row r="315" spans="1:17" ht="46.5" customHeight="1" x14ac:dyDescent="0.7">
      <c r="A315" s="19"/>
      <c r="B315" s="19"/>
      <c r="C315" s="19"/>
      <c r="D315" s="31"/>
      <c r="E315" s="31"/>
      <c r="F315" s="31"/>
      <c r="G315" s="31"/>
      <c r="H315" s="31"/>
      <c r="I315" s="31"/>
      <c r="J315" s="31"/>
      <c r="K315" s="19"/>
      <c r="L315" s="19"/>
      <c r="M315" s="19"/>
      <c r="N315" s="31"/>
      <c r="O315" s="31"/>
      <c r="P315" s="19"/>
      <c r="Q315" s="19"/>
    </row>
    <row r="316" spans="1:17" ht="46.5" customHeight="1" x14ac:dyDescent="0.7">
      <c r="A316" s="19"/>
      <c r="B316" s="19"/>
      <c r="C316" s="19"/>
      <c r="D316" s="31"/>
      <c r="E316" s="31"/>
      <c r="F316" s="31"/>
      <c r="G316" s="31"/>
      <c r="H316" s="31"/>
      <c r="I316" s="31"/>
      <c r="J316" s="31"/>
      <c r="K316" s="19"/>
      <c r="L316" s="19"/>
      <c r="M316" s="19"/>
      <c r="N316" s="31"/>
      <c r="O316" s="31"/>
      <c r="P316" s="19"/>
      <c r="Q316" s="19"/>
    </row>
    <row r="317" spans="1:17" ht="46.5" customHeight="1" x14ac:dyDescent="0.7">
      <c r="A317" s="19"/>
      <c r="B317" s="19"/>
      <c r="C317" s="19"/>
      <c r="D317" s="31"/>
      <c r="E317" s="31"/>
      <c r="F317" s="31"/>
      <c r="G317" s="31"/>
      <c r="H317" s="31"/>
      <c r="I317" s="31"/>
      <c r="J317" s="31"/>
      <c r="K317" s="19"/>
      <c r="L317" s="19"/>
      <c r="M317" s="19"/>
      <c r="N317" s="31"/>
      <c r="O317" s="31"/>
      <c r="P317" s="19"/>
      <c r="Q317" s="19"/>
    </row>
    <row r="318" spans="1:17" ht="46.5" customHeight="1" x14ac:dyDescent="0.7">
      <c r="A318" s="19"/>
      <c r="B318" s="19"/>
      <c r="C318" s="19"/>
      <c r="D318" s="31"/>
      <c r="E318" s="31"/>
      <c r="F318" s="31"/>
      <c r="G318" s="31"/>
      <c r="H318" s="31"/>
      <c r="I318" s="31"/>
      <c r="J318" s="31"/>
      <c r="K318" s="19"/>
      <c r="L318" s="19"/>
      <c r="M318" s="19"/>
      <c r="N318" s="31"/>
      <c r="O318" s="31"/>
      <c r="P318" s="19"/>
      <c r="Q318" s="19"/>
    </row>
    <row r="319" spans="1:17" ht="46.5" customHeight="1" x14ac:dyDescent="0.7">
      <c r="A319" s="19"/>
      <c r="B319" s="19"/>
      <c r="C319" s="19"/>
      <c r="D319" s="31"/>
      <c r="E319" s="31"/>
      <c r="F319" s="31"/>
      <c r="G319" s="31"/>
      <c r="H319" s="31"/>
      <c r="I319" s="31"/>
      <c r="J319" s="31"/>
      <c r="K319" s="19"/>
      <c r="L319" s="19"/>
      <c r="M319" s="19"/>
      <c r="N319" s="31"/>
      <c r="O319" s="31"/>
      <c r="P319" s="19"/>
      <c r="Q319" s="19"/>
    </row>
    <row r="320" spans="1:17" ht="46.5" customHeight="1" x14ac:dyDescent="0.7">
      <c r="A320" s="19"/>
      <c r="B320" s="19"/>
      <c r="C320" s="19"/>
      <c r="D320" s="31"/>
      <c r="E320" s="31"/>
      <c r="F320" s="31"/>
      <c r="G320" s="31"/>
      <c r="H320" s="31"/>
      <c r="I320" s="31"/>
      <c r="J320" s="31"/>
      <c r="K320" s="19"/>
      <c r="L320" s="19"/>
      <c r="M320" s="19"/>
      <c r="N320" s="31"/>
      <c r="O320" s="31"/>
      <c r="P320" s="19"/>
      <c r="Q320" s="19"/>
    </row>
    <row r="321" spans="1:17" ht="46.5" customHeight="1" x14ac:dyDescent="0.7">
      <c r="A321" s="19"/>
      <c r="B321" s="19"/>
      <c r="C321" s="19"/>
      <c r="D321" s="31"/>
      <c r="E321" s="31"/>
      <c r="F321" s="31"/>
      <c r="G321" s="31"/>
      <c r="H321" s="31"/>
      <c r="I321" s="31"/>
      <c r="J321" s="31"/>
      <c r="K321" s="19"/>
      <c r="L321" s="19"/>
      <c r="M321" s="19"/>
      <c r="N321" s="31"/>
      <c r="O321" s="31"/>
      <c r="P321" s="19"/>
      <c r="Q321" s="19"/>
    </row>
    <row r="322" spans="1:17" ht="46.5" customHeight="1" x14ac:dyDescent="0.7">
      <c r="A322" s="19"/>
      <c r="B322" s="19"/>
      <c r="C322" s="19"/>
      <c r="D322" s="31"/>
      <c r="E322" s="31"/>
      <c r="F322" s="31"/>
      <c r="G322" s="31"/>
      <c r="H322" s="31"/>
      <c r="I322" s="31"/>
      <c r="J322" s="31"/>
      <c r="K322" s="19"/>
      <c r="L322" s="19"/>
      <c r="M322" s="19"/>
      <c r="N322" s="31"/>
      <c r="O322" s="31"/>
      <c r="P322" s="19"/>
      <c r="Q322" s="19"/>
    </row>
    <row r="323" spans="1:17" ht="46.5" customHeight="1" x14ac:dyDescent="0.7">
      <c r="A323" s="19"/>
      <c r="B323" s="19"/>
      <c r="C323" s="19"/>
      <c r="D323" s="31"/>
      <c r="E323" s="31"/>
      <c r="F323" s="31"/>
      <c r="G323" s="31"/>
      <c r="H323" s="31"/>
      <c r="I323" s="31"/>
      <c r="J323" s="31"/>
      <c r="K323" s="19"/>
      <c r="L323" s="19"/>
      <c r="M323" s="19"/>
      <c r="N323" s="31"/>
      <c r="O323" s="31"/>
      <c r="P323" s="19"/>
      <c r="Q323" s="19"/>
    </row>
    <row r="324" spans="1:17" ht="46.5" customHeight="1" x14ac:dyDescent="0.7">
      <c r="A324" s="19"/>
      <c r="B324" s="19"/>
      <c r="C324" s="19"/>
      <c r="D324" s="31"/>
      <c r="E324" s="31"/>
      <c r="F324" s="31"/>
      <c r="G324" s="31"/>
      <c r="H324" s="31"/>
      <c r="I324" s="31"/>
      <c r="J324" s="31"/>
      <c r="K324" s="19"/>
      <c r="L324" s="19"/>
      <c r="M324" s="19"/>
      <c r="N324" s="31"/>
      <c r="O324" s="31"/>
      <c r="P324" s="19"/>
      <c r="Q324" s="19"/>
    </row>
    <row r="325" spans="1:17" ht="46.5" customHeight="1" x14ac:dyDescent="0.7">
      <c r="A325" s="19"/>
      <c r="B325" s="19"/>
      <c r="C325" s="19"/>
      <c r="D325" s="31"/>
      <c r="E325" s="31"/>
      <c r="F325" s="31"/>
      <c r="G325" s="31"/>
      <c r="H325" s="31"/>
      <c r="I325" s="31"/>
      <c r="J325" s="31"/>
      <c r="K325" s="19"/>
      <c r="L325" s="19"/>
      <c r="M325" s="19"/>
      <c r="N325" s="31"/>
      <c r="O325" s="31"/>
      <c r="P325" s="19"/>
      <c r="Q325" s="19"/>
    </row>
    <row r="326" spans="1:17" ht="46.5" customHeight="1" x14ac:dyDescent="0.7">
      <c r="A326" s="19"/>
      <c r="B326" s="19"/>
      <c r="C326" s="19"/>
      <c r="D326" s="31"/>
      <c r="E326" s="31"/>
      <c r="F326" s="31"/>
      <c r="G326" s="31"/>
      <c r="H326" s="31"/>
      <c r="I326" s="31"/>
      <c r="J326" s="31"/>
      <c r="K326" s="19"/>
      <c r="L326" s="19"/>
      <c r="M326" s="19"/>
      <c r="N326" s="31"/>
      <c r="O326" s="31"/>
      <c r="P326" s="19"/>
      <c r="Q326" s="19"/>
    </row>
    <row r="327" spans="1:17" ht="46.5" customHeight="1" x14ac:dyDescent="0.7">
      <c r="A327" s="19"/>
      <c r="B327" s="19"/>
      <c r="C327" s="19"/>
      <c r="D327" s="31"/>
      <c r="E327" s="31"/>
      <c r="F327" s="31"/>
      <c r="G327" s="31"/>
      <c r="H327" s="31"/>
      <c r="I327" s="31"/>
      <c r="J327" s="31"/>
      <c r="K327" s="19"/>
      <c r="L327" s="19"/>
      <c r="M327" s="19"/>
      <c r="N327" s="31"/>
      <c r="O327" s="31"/>
      <c r="P327" s="19"/>
      <c r="Q327" s="19"/>
    </row>
    <row r="328" spans="1:17" ht="46.5" customHeight="1" x14ac:dyDescent="0.7">
      <c r="A328" s="19"/>
      <c r="B328" s="19"/>
      <c r="C328" s="19"/>
      <c r="D328" s="31"/>
      <c r="E328" s="31"/>
      <c r="F328" s="31"/>
      <c r="G328" s="31"/>
      <c r="H328" s="31"/>
      <c r="I328" s="31"/>
      <c r="J328" s="31"/>
      <c r="K328" s="19"/>
      <c r="L328" s="19"/>
      <c r="M328" s="19"/>
      <c r="N328" s="31"/>
      <c r="O328" s="31"/>
      <c r="P328" s="19"/>
      <c r="Q328" s="19"/>
    </row>
    <row r="329" spans="1:17" ht="46.5" customHeight="1" x14ac:dyDescent="0.7">
      <c r="A329" s="19"/>
      <c r="B329" s="19"/>
      <c r="C329" s="19"/>
      <c r="D329" s="31"/>
      <c r="E329" s="31"/>
      <c r="F329" s="31"/>
      <c r="G329" s="31"/>
      <c r="H329" s="31"/>
      <c r="I329" s="31"/>
      <c r="J329" s="31"/>
      <c r="K329" s="19"/>
      <c r="L329" s="19"/>
      <c r="M329" s="19"/>
      <c r="N329" s="31"/>
      <c r="O329" s="31"/>
      <c r="P329" s="19"/>
      <c r="Q329" s="19"/>
    </row>
    <row r="330" spans="1:17" ht="46.5" customHeight="1" x14ac:dyDescent="0.7">
      <c r="A330" s="19"/>
      <c r="B330" s="19"/>
      <c r="C330" s="19"/>
      <c r="D330" s="31"/>
      <c r="E330" s="31"/>
      <c r="F330" s="31"/>
      <c r="G330" s="31"/>
      <c r="H330" s="31"/>
      <c r="I330" s="31"/>
      <c r="J330" s="31"/>
      <c r="K330" s="19"/>
      <c r="L330" s="19"/>
      <c r="M330" s="19"/>
      <c r="N330" s="31"/>
      <c r="O330" s="31"/>
      <c r="P330" s="19"/>
      <c r="Q330" s="19"/>
    </row>
    <row r="331" spans="1:17" ht="46.5" customHeight="1" x14ac:dyDescent="0.7">
      <c r="A331" s="19"/>
      <c r="B331" s="19"/>
      <c r="C331" s="19"/>
      <c r="D331" s="31"/>
      <c r="E331" s="31"/>
      <c r="F331" s="31"/>
      <c r="G331" s="31"/>
      <c r="H331" s="31"/>
      <c r="I331" s="31"/>
      <c r="J331" s="31"/>
      <c r="K331" s="19"/>
      <c r="L331" s="19"/>
      <c r="M331" s="19"/>
      <c r="N331" s="31"/>
      <c r="O331" s="31"/>
      <c r="P331" s="19"/>
      <c r="Q331" s="19"/>
    </row>
    <row r="332" spans="1:17" ht="46.5" customHeight="1" x14ac:dyDescent="0.7">
      <c r="A332" s="19"/>
      <c r="B332" s="19"/>
      <c r="C332" s="19"/>
      <c r="D332" s="31"/>
      <c r="E332" s="31"/>
      <c r="F332" s="31"/>
      <c r="G332" s="31"/>
      <c r="H332" s="31"/>
      <c r="I332" s="31"/>
      <c r="J332" s="31"/>
      <c r="K332" s="19"/>
      <c r="L332" s="19"/>
      <c r="M332" s="19"/>
      <c r="N332" s="31"/>
      <c r="O332" s="31"/>
      <c r="P332" s="19"/>
      <c r="Q332" s="19"/>
    </row>
    <row r="333" spans="1:17" ht="46.5" customHeight="1" x14ac:dyDescent="0.7">
      <c r="A333" s="19"/>
      <c r="B333" s="19"/>
      <c r="C333" s="19"/>
      <c r="D333" s="31"/>
      <c r="E333" s="31"/>
      <c r="F333" s="31"/>
      <c r="G333" s="31"/>
      <c r="H333" s="31"/>
      <c r="I333" s="31"/>
      <c r="J333" s="31"/>
      <c r="K333" s="19"/>
      <c r="L333" s="19"/>
      <c r="M333" s="19"/>
      <c r="N333" s="31"/>
      <c r="O333" s="31"/>
      <c r="P333" s="19"/>
      <c r="Q333" s="19"/>
    </row>
    <row r="334" spans="1:17" ht="46.5" customHeight="1" x14ac:dyDescent="0.7">
      <c r="A334" s="19"/>
      <c r="B334" s="19"/>
      <c r="C334" s="19"/>
      <c r="D334" s="31"/>
      <c r="E334" s="31"/>
      <c r="F334" s="31"/>
      <c r="G334" s="31"/>
      <c r="H334" s="31"/>
      <c r="I334" s="31"/>
      <c r="J334" s="31"/>
      <c r="K334" s="19"/>
      <c r="L334" s="19"/>
      <c r="M334" s="19"/>
      <c r="N334" s="31"/>
      <c r="O334" s="31"/>
      <c r="P334" s="19"/>
      <c r="Q334" s="19"/>
    </row>
    <row r="335" spans="1:17" ht="46.5" customHeight="1" x14ac:dyDescent="0.7">
      <c r="A335" s="19"/>
      <c r="B335" s="19"/>
      <c r="C335" s="19"/>
      <c r="D335" s="31"/>
      <c r="E335" s="31"/>
      <c r="F335" s="31"/>
      <c r="G335" s="31"/>
      <c r="H335" s="31"/>
      <c r="I335" s="31"/>
      <c r="J335" s="31"/>
      <c r="K335" s="19"/>
      <c r="L335" s="19"/>
      <c r="M335" s="19"/>
      <c r="N335" s="31"/>
      <c r="O335" s="31"/>
      <c r="P335" s="19"/>
      <c r="Q335" s="19"/>
    </row>
    <row r="336" spans="1:17" ht="46.5" customHeight="1" x14ac:dyDescent="0.7">
      <c r="A336" s="19"/>
      <c r="B336" s="19"/>
      <c r="C336" s="19"/>
      <c r="D336" s="31"/>
      <c r="E336" s="31"/>
      <c r="F336" s="31"/>
      <c r="G336" s="31"/>
      <c r="H336" s="31"/>
      <c r="I336" s="31"/>
      <c r="J336" s="31"/>
      <c r="K336" s="19"/>
      <c r="L336" s="19"/>
      <c r="M336" s="19"/>
      <c r="N336" s="31"/>
      <c r="O336" s="31"/>
      <c r="P336" s="19"/>
      <c r="Q336" s="19"/>
    </row>
    <row r="337" spans="1:17" ht="46.5" customHeight="1" x14ac:dyDescent="0.7">
      <c r="A337" s="19"/>
      <c r="B337" s="19"/>
      <c r="C337" s="19"/>
      <c r="D337" s="31"/>
      <c r="E337" s="31"/>
      <c r="F337" s="31"/>
      <c r="G337" s="31"/>
      <c r="H337" s="31"/>
      <c r="I337" s="31"/>
      <c r="J337" s="31"/>
      <c r="K337" s="19"/>
      <c r="L337" s="19"/>
      <c r="M337" s="19"/>
      <c r="N337" s="31"/>
      <c r="O337" s="31"/>
      <c r="P337" s="19"/>
      <c r="Q337" s="19"/>
    </row>
    <row r="338" spans="1:17" ht="46.5" customHeight="1" x14ac:dyDescent="0.7">
      <c r="A338" s="19"/>
      <c r="B338" s="19"/>
      <c r="C338" s="19"/>
      <c r="D338" s="31"/>
      <c r="E338" s="31"/>
      <c r="F338" s="31"/>
      <c r="G338" s="31"/>
      <c r="H338" s="31"/>
      <c r="I338" s="31"/>
      <c r="J338" s="31"/>
      <c r="K338" s="19"/>
      <c r="L338" s="19"/>
      <c r="M338" s="19"/>
      <c r="N338" s="31"/>
      <c r="O338" s="31"/>
      <c r="P338" s="19"/>
      <c r="Q338" s="19"/>
    </row>
    <row r="339" spans="1:17" ht="46.5" customHeight="1" x14ac:dyDescent="0.7">
      <c r="A339" s="19"/>
      <c r="B339" s="19"/>
      <c r="C339" s="19"/>
      <c r="D339" s="31"/>
      <c r="E339" s="31"/>
      <c r="F339" s="31"/>
      <c r="G339" s="31"/>
      <c r="H339" s="31"/>
      <c r="I339" s="31"/>
      <c r="J339" s="31"/>
      <c r="K339" s="19"/>
      <c r="L339" s="19"/>
      <c r="M339" s="19"/>
      <c r="N339" s="31"/>
      <c r="O339" s="31"/>
      <c r="P339" s="19"/>
      <c r="Q339" s="19"/>
    </row>
    <row r="340" spans="1:17" ht="46.5" customHeight="1" x14ac:dyDescent="0.7">
      <c r="A340" s="19"/>
      <c r="B340" s="19"/>
      <c r="C340" s="19"/>
      <c r="D340" s="31"/>
      <c r="E340" s="31"/>
      <c r="F340" s="31"/>
      <c r="G340" s="31"/>
      <c r="H340" s="31"/>
      <c r="I340" s="31"/>
      <c r="J340" s="31"/>
      <c r="K340" s="19"/>
      <c r="L340" s="19"/>
      <c r="M340" s="19"/>
      <c r="N340" s="31"/>
      <c r="O340" s="31"/>
      <c r="P340" s="19"/>
      <c r="Q340" s="19"/>
    </row>
    <row r="341" spans="1:17" ht="46.5" customHeight="1" x14ac:dyDescent="0.7">
      <c r="A341" s="19"/>
      <c r="B341" s="19"/>
      <c r="C341" s="19"/>
      <c r="D341" s="31"/>
      <c r="E341" s="31"/>
      <c r="F341" s="31"/>
      <c r="G341" s="31"/>
      <c r="H341" s="31"/>
      <c r="I341" s="31"/>
      <c r="J341" s="31"/>
      <c r="K341" s="19"/>
      <c r="L341" s="19"/>
      <c r="M341" s="19"/>
      <c r="N341" s="31"/>
      <c r="O341" s="31"/>
      <c r="P341" s="19"/>
      <c r="Q341" s="19"/>
    </row>
    <row r="342" spans="1:17" ht="46.5" customHeight="1" x14ac:dyDescent="0.7">
      <c r="A342" s="19"/>
      <c r="B342" s="19"/>
      <c r="C342" s="19"/>
      <c r="D342" s="31"/>
      <c r="E342" s="31"/>
      <c r="F342" s="31"/>
      <c r="G342" s="31"/>
      <c r="H342" s="31"/>
      <c r="I342" s="31"/>
      <c r="J342" s="31"/>
      <c r="K342" s="19"/>
      <c r="L342" s="19"/>
      <c r="M342" s="19"/>
      <c r="N342" s="31"/>
      <c r="O342" s="31"/>
      <c r="P342" s="19"/>
      <c r="Q342" s="19"/>
    </row>
    <row r="343" spans="1:17" ht="46.5" customHeight="1" x14ac:dyDescent="0.7">
      <c r="A343" s="19"/>
      <c r="B343" s="19"/>
      <c r="C343" s="19"/>
      <c r="D343" s="31"/>
      <c r="E343" s="31"/>
      <c r="F343" s="31"/>
      <c r="G343" s="31"/>
      <c r="H343" s="31"/>
      <c r="I343" s="31"/>
      <c r="J343" s="31"/>
      <c r="K343" s="19"/>
      <c r="L343" s="19"/>
      <c r="M343" s="19"/>
      <c r="N343" s="31"/>
      <c r="O343" s="31"/>
      <c r="P343" s="19"/>
      <c r="Q343" s="19"/>
    </row>
    <row r="344" spans="1:17" ht="46.5" customHeight="1" x14ac:dyDescent="0.7">
      <c r="A344" s="19"/>
      <c r="B344" s="19"/>
      <c r="C344" s="19"/>
      <c r="D344" s="31"/>
      <c r="E344" s="31"/>
      <c r="F344" s="31"/>
      <c r="G344" s="31"/>
      <c r="H344" s="31"/>
      <c r="I344" s="31"/>
      <c r="J344" s="31"/>
      <c r="K344" s="19"/>
      <c r="L344" s="19"/>
      <c r="M344" s="19"/>
      <c r="N344" s="31"/>
      <c r="O344" s="31"/>
      <c r="P344" s="19"/>
      <c r="Q344" s="19"/>
    </row>
    <row r="345" spans="1:17" ht="46.5" customHeight="1" x14ac:dyDescent="0.7">
      <c r="A345" s="19"/>
      <c r="B345" s="19"/>
      <c r="C345" s="19"/>
      <c r="D345" s="31"/>
      <c r="E345" s="31"/>
      <c r="F345" s="31"/>
      <c r="G345" s="31"/>
      <c r="H345" s="31"/>
      <c r="I345" s="31"/>
      <c r="J345" s="31"/>
      <c r="K345" s="19"/>
      <c r="L345" s="19"/>
      <c r="M345" s="19"/>
      <c r="N345" s="31"/>
      <c r="O345" s="31"/>
      <c r="P345" s="19"/>
      <c r="Q345" s="19"/>
    </row>
    <row r="346" spans="1:17" ht="46.5" customHeight="1" x14ac:dyDescent="0.7">
      <c r="A346" s="19"/>
      <c r="B346" s="19"/>
      <c r="C346" s="19"/>
      <c r="D346" s="31"/>
      <c r="E346" s="31"/>
      <c r="F346" s="31"/>
      <c r="G346" s="31"/>
      <c r="H346" s="31"/>
      <c r="I346" s="31"/>
      <c r="J346" s="31"/>
      <c r="K346" s="19"/>
      <c r="L346" s="19"/>
      <c r="M346" s="19"/>
      <c r="N346" s="31"/>
      <c r="O346" s="31"/>
      <c r="P346" s="19"/>
      <c r="Q346" s="19"/>
    </row>
    <row r="347" spans="1:17" ht="46.5" customHeight="1" x14ac:dyDescent="0.7">
      <c r="A347" s="19"/>
      <c r="B347" s="19"/>
      <c r="C347" s="19"/>
      <c r="D347" s="31"/>
      <c r="E347" s="31"/>
      <c r="F347" s="31"/>
      <c r="G347" s="31"/>
      <c r="H347" s="31"/>
      <c r="I347" s="31"/>
      <c r="J347" s="31"/>
      <c r="K347" s="19"/>
      <c r="L347" s="19"/>
      <c r="M347" s="19"/>
      <c r="N347" s="31"/>
      <c r="O347" s="31"/>
      <c r="P347" s="19"/>
      <c r="Q347" s="19"/>
    </row>
    <row r="348" spans="1:17" ht="46.5" customHeight="1" x14ac:dyDescent="0.7">
      <c r="A348" s="19"/>
      <c r="B348" s="19"/>
      <c r="C348" s="19"/>
      <c r="D348" s="31"/>
      <c r="E348" s="31"/>
      <c r="F348" s="31"/>
      <c r="G348" s="31"/>
      <c r="H348" s="31"/>
      <c r="I348" s="31"/>
      <c r="J348" s="31"/>
      <c r="K348" s="19"/>
      <c r="L348" s="19"/>
      <c r="M348" s="19"/>
      <c r="N348" s="31"/>
      <c r="O348" s="31"/>
      <c r="P348" s="19"/>
      <c r="Q348" s="19"/>
    </row>
    <row r="349" spans="1:17" ht="46.5" customHeight="1" x14ac:dyDescent="0.7">
      <c r="A349" s="19"/>
      <c r="B349" s="19"/>
      <c r="C349" s="19"/>
      <c r="D349" s="31"/>
      <c r="E349" s="31"/>
      <c r="F349" s="31"/>
      <c r="G349" s="31"/>
      <c r="H349" s="31"/>
      <c r="I349" s="31"/>
      <c r="J349" s="31"/>
      <c r="K349" s="19"/>
      <c r="L349" s="19"/>
      <c r="M349" s="19"/>
      <c r="N349" s="31"/>
      <c r="O349" s="31"/>
      <c r="P349" s="19"/>
      <c r="Q349" s="19"/>
    </row>
    <row r="350" spans="1:17" ht="46.5" customHeight="1" x14ac:dyDescent="0.7">
      <c r="A350" s="19"/>
      <c r="B350" s="19"/>
      <c r="C350" s="19"/>
      <c r="D350" s="31"/>
      <c r="E350" s="31"/>
      <c r="F350" s="31"/>
      <c r="G350" s="31"/>
      <c r="H350" s="31"/>
      <c r="I350" s="31"/>
      <c r="J350" s="31"/>
      <c r="K350" s="19"/>
      <c r="L350" s="19"/>
      <c r="M350" s="19"/>
      <c r="N350" s="31"/>
      <c r="O350" s="31"/>
      <c r="P350" s="19"/>
      <c r="Q350" s="19"/>
    </row>
    <row r="351" spans="1:17" ht="46.5" customHeight="1" x14ac:dyDescent="0.7">
      <c r="A351" s="19"/>
      <c r="B351" s="19"/>
      <c r="C351" s="19"/>
      <c r="D351" s="31"/>
      <c r="E351" s="31"/>
      <c r="F351" s="31"/>
      <c r="G351" s="31"/>
      <c r="H351" s="31"/>
      <c r="I351" s="31"/>
      <c r="J351" s="31"/>
      <c r="K351" s="19"/>
      <c r="L351" s="19"/>
      <c r="M351" s="19"/>
      <c r="N351" s="31"/>
      <c r="O351" s="31"/>
      <c r="P351" s="19"/>
      <c r="Q351" s="19"/>
    </row>
    <row r="352" spans="1:17" ht="46.5" customHeight="1" x14ac:dyDescent="0.7">
      <c r="A352" s="19"/>
      <c r="B352" s="19"/>
      <c r="C352" s="19"/>
      <c r="D352" s="31"/>
      <c r="E352" s="31"/>
      <c r="F352" s="31"/>
      <c r="G352" s="31"/>
      <c r="H352" s="31"/>
      <c r="I352" s="31"/>
      <c r="J352" s="31"/>
      <c r="K352" s="19"/>
      <c r="L352" s="19"/>
      <c r="M352" s="19"/>
      <c r="N352" s="31"/>
      <c r="O352" s="31"/>
      <c r="P352" s="19"/>
      <c r="Q352" s="19"/>
    </row>
    <row r="353" spans="1:17" ht="46.5" customHeight="1" x14ac:dyDescent="0.7">
      <c r="A353" s="19"/>
      <c r="B353" s="19"/>
      <c r="C353" s="19"/>
      <c r="D353" s="31"/>
      <c r="E353" s="31"/>
      <c r="F353" s="31"/>
      <c r="G353" s="31"/>
      <c r="H353" s="31"/>
      <c r="I353" s="31"/>
      <c r="J353" s="31"/>
      <c r="K353" s="19"/>
      <c r="L353" s="19"/>
      <c r="M353" s="19"/>
      <c r="N353" s="31"/>
      <c r="O353" s="31"/>
      <c r="P353" s="19"/>
      <c r="Q353" s="19"/>
    </row>
    <row r="354" spans="1:17" ht="46.5" customHeight="1" x14ac:dyDescent="0.7">
      <c r="A354" s="19"/>
      <c r="B354" s="19"/>
      <c r="C354" s="19"/>
      <c r="D354" s="31"/>
      <c r="E354" s="31"/>
      <c r="F354" s="31"/>
      <c r="G354" s="31"/>
      <c r="H354" s="31"/>
      <c r="I354" s="31"/>
      <c r="J354" s="31"/>
      <c r="K354" s="19"/>
      <c r="L354" s="19"/>
      <c r="M354" s="19"/>
      <c r="N354" s="31"/>
      <c r="O354" s="31"/>
      <c r="P354" s="19"/>
      <c r="Q354" s="19"/>
    </row>
    <row r="355" spans="1:17" ht="46.5" customHeight="1" x14ac:dyDescent="0.7">
      <c r="A355" s="19"/>
      <c r="B355" s="19"/>
      <c r="C355" s="19"/>
      <c r="D355" s="31"/>
      <c r="E355" s="31"/>
      <c r="F355" s="31"/>
      <c r="G355" s="31"/>
      <c r="H355" s="31"/>
      <c r="I355" s="31"/>
      <c r="J355" s="31"/>
      <c r="K355" s="19"/>
      <c r="L355" s="19"/>
      <c r="M355" s="19"/>
      <c r="N355" s="31"/>
      <c r="O355" s="31"/>
      <c r="P355" s="19"/>
      <c r="Q355" s="19"/>
    </row>
    <row r="356" spans="1:17" ht="46.5" customHeight="1" x14ac:dyDescent="0.7">
      <c r="A356" s="19"/>
      <c r="B356" s="19"/>
      <c r="C356" s="19"/>
      <c r="D356" s="31"/>
      <c r="E356" s="31"/>
      <c r="F356" s="31"/>
      <c r="G356" s="31"/>
      <c r="H356" s="31"/>
      <c r="I356" s="31"/>
      <c r="J356" s="31"/>
      <c r="K356" s="19"/>
      <c r="L356" s="19"/>
      <c r="M356" s="19"/>
      <c r="N356" s="31"/>
      <c r="O356" s="31"/>
      <c r="P356" s="19"/>
      <c r="Q356" s="19"/>
    </row>
    <row r="357" spans="1:17" ht="46.5" customHeight="1" x14ac:dyDescent="0.7">
      <c r="A357" s="19"/>
      <c r="B357" s="19"/>
      <c r="C357" s="19"/>
      <c r="D357" s="31"/>
      <c r="E357" s="31"/>
      <c r="F357" s="31"/>
      <c r="G357" s="31"/>
      <c r="H357" s="31"/>
      <c r="I357" s="31"/>
      <c r="J357" s="31"/>
      <c r="K357" s="19"/>
      <c r="L357" s="19"/>
      <c r="M357" s="19"/>
      <c r="N357" s="31"/>
      <c r="O357" s="31"/>
      <c r="P357" s="19"/>
      <c r="Q357" s="19"/>
    </row>
    <row r="358" spans="1:17" ht="46.5" customHeight="1" x14ac:dyDescent="0.7">
      <c r="A358" s="19"/>
      <c r="B358" s="19"/>
      <c r="C358" s="19"/>
      <c r="D358" s="31"/>
      <c r="E358" s="31"/>
      <c r="F358" s="31"/>
      <c r="G358" s="31"/>
      <c r="H358" s="31"/>
      <c r="I358" s="31"/>
      <c r="J358" s="31"/>
      <c r="K358" s="19"/>
      <c r="L358" s="19"/>
      <c r="M358" s="19"/>
      <c r="N358" s="31"/>
      <c r="O358" s="31"/>
      <c r="P358" s="19"/>
      <c r="Q358" s="19"/>
    </row>
    <row r="359" spans="1:17" ht="46.5" customHeight="1" x14ac:dyDescent="0.7">
      <c r="A359" s="19"/>
      <c r="B359" s="19"/>
      <c r="C359" s="19"/>
      <c r="D359" s="31"/>
      <c r="E359" s="31"/>
      <c r="F359" s="31"/>
      <c r="G359" s="31"/>
      <c r="H359" s="31"/>
      <c r="I359" s="31"/>
      <c r="J359" s="31"/>
      <c r="K359" s="19"/>
      <c r="L359" s="19"/>
      <c r="M359" s="19"/>
      <c r="N359" s="31"/>
      <c r="O359" s="31"/>
      <c r="P359" s="19"/>
      <c r="Q359" s="19"/>
    </row>
    <row r="360" spans="1:17" ht="46.5" customHeight="1" x14ac:dyDescent="0.7">
      <c r="A360" s="19"/>
      <c r="B360" s="19"/>
      <c r="C360" s="19"/>
      <c r="D360" s="31"/>
      <c r="E360" s="31"/>
      <c r="F360" s="31"/>
      <c r="G360" s="31"/>
      <c r="H360" s="31"/>
      <c r="I360" s="31"/>
      <c r="J360" s="31"/>
      <c r="K360" s="19"/>
      <c r="L360" s="19"/>
      <c r="M360" s="19"/>
      <c r="N360" s="31"/>
      <c r="O360" s="31"/>
      <c r="P360" s="19"/>
      <c r="Q360" s="19"/>
    </row>
    <row r="361" spans="1:17" ht="46.5" customHeight="1" x14ac:dyDescent="0.7">
      <c r="A361" s="19"/>
      <c r="B361" s="19"/>
      <c r="C361" s="19"/>
      <c r="D361" s="31"/>
      <c r="E361" s="31"/>
      <c r="F361" s="31"/>
      <c r="G361" s="31"/>
      <c r="H361" s="31"/>
      <c r="I361" s="31"/>
      <c r="J361" s="31"/>
      <c r="K361" s="19"/>
      <c r="L361" s="19"/>
      <c r="M361" s="19"/>
      <c r="N361" s="31"/>
      <c r="O361" s="31"/>
      <c r="P361" s="19"/>
      <c r="Q361" s="19"/>
    </row>
    <row r="362" spans="1:17" ht="46.5" customHeight="1" x14ac:dyDescent="0.7">
      <c r="A362" s="19"/>
      <c r="B362" s="19"/>
      <c r="C362" s="19"/>
      <c r="D362" s="31"/>
      <c r="E362" s="31"/>
      <c r="F362" s="31"/>
      <c r="G362" s="31"/>
      <c r="H362" s="31"/>
      <c r="I362" s="31"/>
      <c r="J362" s="31"/>
      <c r="K362" s="19"/>
      <c r="L362" s="19"/>
      <c r="M362" s="19"/>
      <c r="N362" s="31"/>
      <c r="O362" s="31"/>
      <c r="P362" s="19"/>
      <c r="Q362" s="19"/>
    </row>
    <row r="363" spans="1:17" ht="46.5" customHeight="1" x14ac:dyDescent="0.7">
      <c r="A363" s="19"/>
      <c r="B363" s="19"/>
      <c r="C363" s="19"/>
      <c r="D363" s="31"/>
      <c r="E363" s="31"/>
      <c r="F363" s="31"/>
      <c r="G363" s="31"/>
      <c r="H363" s="31"/>
      <c r="I363" s="31"/>
      <c r="J363" s="31"/>
      <c r="K363" s="19"/>
      <c r="L363" s="19"/>
      <c r="M363" s="19"/>
      <c r="N363" s="31"/>
      <c r="O363" s="31"/>
      <c r="P363" s="19"/>
      <c r="Q363" s="19"/>
    </row>
    <row r="364" spans="1:17" ht="46.5" customHeight="1" x14ac:dyDescent="0.7">
      <c r="A364" s="19"/>
      <c r="B364" s="19"/>
      <c r="C364" s="19"/>
      <c r="D364" s="31"/>
      <c r="E364" s="31"/>
      <c r="F364" s="31"/>
      <c r="G364" s="31"/>
      <c r="H364" s="31"/>
      <c r="I364" s="31"/>
      <c r="J364" s="31"/>
      <c r="K364" s="19"/>
      <c r="L364" s="19"/>
      <c r="M364" s="19"/>
      <c r="N364" s="31"/>
      <c r="O364" s="31"/>
      <c r="P364" s="19"/>
      <c r="Q364" s="19"/>
    </row>
    <row r="365" spans="1:17" ht="46.5" customHeight="1" x14ac:dyDescent="0.7">
      <c r="A365" s="19"/>
      <c r="B365" s="19"/>
      <c r="C365" s="19"/>
      <c r="D365" s="31"/>
      <c r="E365" s="31"/>
      <c r="F365" s="31"/>
      <c r="G365" s="31"/>
      <c r="H365" s="31"/>
      <c r="I365" s="31"/>
      <c r="J365" s="31"/>
      <c r="K365" s="19"/>
      <c r="L365" s="19"/>
      <c r="M365" s="19"/>
      <c r="N365" s="31"/>
      <c r="O365" s="31"/>
      <c r="P365" s="19"/>
      <c r="Q365" s="19"/>
    </row>
    <row r="366" spans="1:17" ht="46.5" customHeight="1" x14ac:dyDescent="0.7">
      <c r="A366" s="19"/>
      <c r="B366" s="19"/>
      <c r="C366" s="19"/>
      <c r="D366" s="31"/>
      <c r="E366" s="31"/>
      <c r="F366" s="31"/>
      <c r="G366" s="31"/>
      <c r="H366" s="31"/>
      <c r="I366" s="31"/>
      <c r="J366" s="31"/>
      <c r="K366" s="19"/>
      <c r="L366" s="19"/>
      <c r="M366" s="19"/>
      <c r="N366" s="31"/>
      <c r="O366" s="31"/>
      <c r="P366" s="19"/>
      <c r="Q366" s="19"/>
    </row>
    <row r="367" spans="1:17" ht="46.5" customHeight="1" x14ac:dyDescent="0.7">
      <c r="A367" s="19"/>
      <c r="B367" s="19"/>
      <c r="C367" s="19"/>
      <c r="D367" s="31"/>
      <c r="E367" s="31"/>
      <c r="F367" s="31"/>
      <c r="G367" s="31"/>
      <c r="H367" s="31"/>
      <c r="I367" s="31"/>
      <c r="J367" s="31"/>
      <c r="K367" s="19"/>
      <c r="L367" s="19"/>
      <c r="M367" s="19"/>
      <c r="N367" s="31"/>
      <c r="O367" s="31"/>
      <c r="P367" s="19"/>
      <c r="Q367" s="19"/>
    </row>
    <row r="368" spans="1:17" ht="46.5" customHeight="1" x14ac:dyDescent="0.7">
      <c r="A368" s="19"/>
      <c r="B368" s="19"/>
      <c r="C368" s="19"/>
      <c r="D368" s="31"/>
      <c r="E368" s="31"/>
      <c r="F368" s="31"/>
      <c r="G368" s="31"/>
      <c r="H368" s="31"/>
      <c r="I368" s="31"/>
      <c r="J368" s="31"/>
      <c r="K368" s="19"/>
      <c r="L368" s="19"/>
      <c r="M368" s="19"/>
      <c r="N368" s="31"/>
      <c r="O368" s="31"/>
      <c r="P368" s="19"/>
      <c r="Q368" s="19"/>
    </row>
    <row r="369" spans="1:17" ht="46.5" customHeight="1" x14ac:dyDescent="0.7">
      <c r="A369" s="19"/>
      <c r="B369" s="19"/>
      <c r="C369" s="19"/>
      <c r="D369" s="31"/>
      <c r="E369" s="31"/>
      <c r="F369" s="31"/>
      <c r="G369" s="31"/>
      <c r="H369" s="31"/>
      <c r="I369" s="31"/>
      <c r="J369" s="31"/>
      <c r="K369" s="19"/>
      <c r="L369" s="19"/>
      <c r="M369" s="19"/>
      <c r="N369" s="31"/>
      <c r="O369" s="31"/>
      <c r="P369" s="19"/>
      <c r="Q369" s="19"/>
    </row>
    <row r="370" spans="1:17" ht="46.5" customHeight="1" x14ac:dyDescent="0.7">
      <c r="A370" s="19"/>
      <c r="B370" s="19"/>
      <c r="C370" s="19"/>
      <c r="D370" s="31"/>
      <c r="E370" s="31"/>
      <c r="F370" s="31"/>
      <c r="G370" s="31"/>
      <c r="H370" s="31"/>
      <c r="I370" s="31"/>
      <c r="J370" s="31"/>
      <c r="K370" s="19"/>
      <c r="L370" s="19"/>
      <c r="M370" s="19"/>
      <c r="N370" s="31"/>
      <c r="O370" s="31"/>
      <c r="P370" s="19"/>
      <c r="Q370" s="19"/>
    </row>
    <row r="371" spans="1:17" ht="46.5" customHeight="1" x14ac:dyDescent="0.7">
      <c r="A371" s="19"/>
      <c r="B371" s="19"/>
      <c r="C371" s="19"/>
      <c r="D371" s="31"/>
      <c r="E371" s="31"/>
      <c r="F371" s="31"/>
      <c r="G371" s="31"/>
      <c r="H371" s="31"/>
      <c r="I371" s="31"/>
      <c r="J371" s="31"/>
      <c r="K371" s="19"/>
      <c r="L371" s="19"/>
      <c r="M371" s="19"/>
      <c r="N371" s="31"/>
      <c r="O371" s="31"/>
      <c r="P371" s="19"/>
      <c r="Q371" s="19"/>
    </row>
    <row r="372" spans="1:17" ht="46.5" customHeight="1" x14ac:dyDescent="0.7">
      <c r="A372" s="19"/>
      <c r="B372" s="19"/>
      <c r="C372" s="19"/>
      <c r="D372" s="31"/>
      <c r="E372" s="31"/>
      <c r="F372" s="31"/>
      <c r="G372" s="31"/>
      <c r="H372" s="31"/>
      <c r="I372" s="31"/>
      <c r="J372" s="31"/>
      <c r="K372" s="19"/>
      <c r="L372" s="19"/>
      <c r="M372" s="19"/>
      <c r="N372" s="31"/>
      <c r="O372" s="31"/>
      <c r="P372" s="19"/>
      <c r="Q372" s="19"/>
    </row>
    <row r="373" spans="1:17" ht="46.5" customHeight="1" x14ac:dyDescent="0.7">
      <c r="A373" s="19"/>
      <c r="B373" s="19"/>
      <c r="C373" s="19"/>
      <c r="D373" s="31"/>
      <c r="E373" s="31"/>
      <c r="F373" s="31"/>
      <c r="G373" s="31"/>
      <c r="H373" s="31"/>
      <c r="I373" s="31"/>
      <c r="J373" s="31"/>
      <c r="K373" s="19"/>
      <c r="L373" s="19"/>
      <c r="M373" s="19"/>
      <c r="N373" s="31"/>
      <c r="O373" s="31"/>
      <c r="P373" s="19"/>
      <c r="Q373" s="19"/>
    </row>
    <row r="374" spans="1:17" ht="46.5" customHeight="1" x14ac:dyDescent="0.7">
      <c r="A374" s="19"/>
      <c r="B374" s="19"/>
      <c r="C374" s="19"/>
      <c r="D374" s="31"/>
      <c r="E374" s="31"/>
      <c r="F374" s="31"/>
      <c r="G374" s="31"/>
      <c r="H374" s="31"/>
      <c r="I374" s="31"/>
      <c r="J374" s="31"/>
      <c r="K374" s="19"/>
      <c r="L374" s="19"/>
      <c r="M374" s="19"/>
      <c r="N374" s="31"/>
      <c r="O374" s="31"/>
      <c r="P374" s="19"/>
      <c r="Q374" s="19"/>
    </row>
    <row r="375" spans="1:17" ht="46.5" customHeight="1" x14ac:dyDescent="0.7">
      <c r="A375" s="19"/>
      <c r="B375" s="19"/>
      <c r="C375" s="19"/>
      <c r="D375" s="31"/>
      <c r="E375" s="31"/>
      <c r="F375" s="31"/>
      <c r="G375" s="31"/>
      <c r="H375" s="31"/>
      <c r="I375" s="31"/>
      <c r="J375" s="31"/>
      <c r="K375" s="19"/>
      <c r="L375" s="19"/>
      <c r="M375" s="19"/>
      <c r="N375" s="31"/>
      <c r="O375" s="31"/>
      <c r="P375" s="19"/>
      <c r="Q375" s="19"/>
    </row>
    <row r="376" spans="1:17" ht="46.5" customHeight="1" x14ac:dyDescent="0.7">
      <c r="A376" s="19"/>
      <c r="B376" s="19"/>
      <c r="C376" s="19"/>
      <c r="D376" s="31"/>
      <c r="E376" s="31"/>
      <c r="F376" s="31"/>
      <c r="G376" s="31"/>
      <c r="H376" s="31"/>
      <c r="I376" s="31"/>
      <c r="J376" s="31"/>
      <c r="K376" s="19"/>
      <c r="L376" s="19"/>
      <c r="M376" s="19"/>
      <c r="N376" s="31"/>
      <c r="O376" s="31"/>
      <c r="P376" s="19"/>
      <c r="Q376" s="19"/>
    </row>
    <row r="377" spans="1:17" ht="46.5" customHeight="1" x14ac:dyDescent="0.7">
      <c r="A377" s="19"/>
      <c r="B377" s="19"/>
      <c r="C377" s="19"/>
      <c r="D377" s="31"/>
      <c r="E377" s="31"/>
      <c r="F377" s="31"/>
      <c r="G377" s="31"/>
      <c r="H377" s="31"/>
      <c r="I377" s="31"/>
      <c r="J377" s="31"/>
      <c r="K377" s="19"/>
      <c r="L377" s="19"/>
      <c r="M377" s="19"/>
      <c r="N377" s="31"/>
      <c r="O377" s="31"/>
      <c r="P377" s="19"/>
      <c r="Q377" s="19"/>
    </row>
    <row r="378" spans="1:17" ht="46.5" customHeight="1" x14ac:dyDescent="0.7">
      <c r="A378" s="19"/>
      <c r="B378" s="19"/>
      <c r="C378" s="19"/>
      <c r="D378" s="31"/>
      <c r="E378" s="31"/>
      <c r="F378" s="31"/>
      <c r="G378" s="31"/>
      <c r="H378" s="31"/>
      <c r="I378" s="31"/>
      <c r="J378" s="31"/>
      <c r="K378" s="19"/>
      <c r="L378" s="19"/>
      <c r="M378" s="19"/>
      <c r="N378" s="31"/>
      <c r="O378" s="31"/>
      <c r="P378" s="19"/>
      <c r="Q378" s="19"/>
    </row>
    <row r="379" spans="1:17" ht="46.5" customHeight="1" x14ac:dyDescent="0.7">
      <c r="A379" s="19"/>
      <c r="B379" s="19"/>
      <c r="C379" s="19"/>
      <c r="D379" s="31"/>
      <c r="E379" s="31"/>
      <c r="F379" s="31"/>
      <c r="G379" s="31"/>
      <c r="H379" s="31"/>
      <c r="I379" s="31"/>
      <c r="J379" s="31"/>
      <c r="K379" s="19"/>
      <c r="L379" s="19"/>
      <c r="M379" s="19"/>
      <c r="N379" s="31"/>
      <c r="O379" s="31"/>
      <c r="P379" s="19"/>
      <c r="Q379" s="19"/>
    </row>
    <row r="380" spans="1:17" ht="46.5" customHeight="1" x14ac:dyDescent="0.7">
      <c r="A380" s="19"/>
      <c r="B380" s="19"/>
      <c r="C380" s="19"/>
      <c r="D380" s="31"/>
      <c r="E380" s="31"/>
      <c r="F380" s="31"/>
      <c r="G380" s="31"/>
      <c r="H380" s="31"/>
      <c r="I380" s="31"/>
      <c r="J380" s="31"/>
      <c r="K380" s="19"/>
      <c r="L380" s="19"/>
      <c r="M380" s="19"/>
      <c r="N380" s="31"/>
      <c r="O380" s="31"/>
      <c r="P380" s="19"/>
      <c r="Q380" s="19"/>
    </row>
    <row r="381" spans="1:17" ht="46.5" customHeight="1" x14ac:dyDescent="0.7">
      <c r="A381" s="19"/>
      <c r="B381" s="19"/>
      <c r="C381" s="19"/>
      <c r="D381" s="31"/>
      <c r="E381" s="31"/>
      <c r="F381" s="31"/>
      <c r="G381" s="31"/>
      <c r="H381" s="31"/>
      <c r="I381" s="31"/>
      <c r="J381" s="31"/>
      <c r="K381" s="19"/>
      <c r="L381" s="19"/>
      <c r="M381" s="19"/>
      <c r="N381" s="31"/>
      <c r="O381" s="31"/>
      <c r="P381" s="19"/>
      <c r="Q381" s="19"/>
    </row>
    <row r="382" spans="1:17" ht="46.5" customHeight="1" x14ac:dyDescent="0.7">
      <c r="A382" s="19"/>
      <c r="B382" s="19"/>
      <c r="C382" s="19"/>
      <c r="D382" s="31"/>
      <c r="E382" s="31"/>
      <c r="F382" s="31"/>
      <c r="G382" s="31"/>
      <c r="H382" s="31"/>
      <c r="I382" s="31"/>
      <c r="J382" s="31"/>
      <c r="K382" s="19"/>
      <c r="L382" s="19"/>
      <c r="M382" s="19"/>
      <c r="N382" s="31"/>
      <c r="O382" s="31"/>
      <c r="P382" s="19"/>
      <c r="Q382" s="19"/>
    </row>
    <row r="383" spans="1:17" ht="46.5" customHeight="1" x14ac:dyDescent="0.7">
      <c r="A383" s="19"/>
      <c r="B383" s="19"/>
      <c r="C383" s="19"/>
      <c r="D383" s="31"/>
      <c r="E383" s="31"/>
      <c r="F383" s="31"/>
      <c r="G383" s="31"/>
      <c r="H383" s="31"/>
      <c r="I383" s="31"/>
      <c r="J383" s="31"/>
      <c r="K383" s="19"/>
      <c r="L383" s="19"/>
      <c r="M383" s="19"/>
      <c r="N383" s="31"/>
      <c r="O383" s="31"/>
      <c r="P383" s="19"/>
      <c r="Q383" s="19"/>
    </row>
    <row r="384" spans="1:17" ht="46.5" customHeight="1" x14ac:dyDescent="0.7">
      <c r="A384" s="19"/>
      <c r="B384" s="19"/>
      <c r="C384" s="19"/>
      <c r="D384" s="31"/>
      <c r="E384" s="31"/>
      <c r="F384" s="31"/>
      <c r="G384" s="31"/>
      <c r="H384" s="31"/>
      <c r="I384" s="31"/>
      <c r="J384" s="31"/>
      <c r="K384" s="19"/>
      <c r="L384" s="19"/>
      <c r="M384" s="19"/>
      <c r="N384" s="31"/>
      <c r="O384" s="31"/>
      <c r="P384" s="19"/>
      <c r="Q384" s="19"/>
    </row>
    <row r="385" spans="1:17" ht="46.5" customHeight="1" x14ac:dyDescent="0.7">
      <c r="A385" s="19"/>
      <c r="B385" s="19"/>
      <c r="C385" s="19"/>
      <c r="D385" s="31"/>
      <c r="E385" s="31"/>
      <c r="F385" s="31"/>
      <c r="G385" s="31"/>
      <c r="H385" s="31"/>
      <c r="I385" s="31"/>
      <c r="J385" s="31"/>
      <c r="K385" s="19"/>
      <c r="L385" s="19"/>
      <c r="M385" s="19"/>
      <c r="N385" s="31"/>
      <c r="O385" s="31"/>
      <c r="P385" s="19"/>
      <c r="Q385" s="19"/>
    </row>
    <row r="386" spans="1:17" ht="46.5" customHeight="1" x14ac:dyDescent="0.7">
      <c r="A386" s="19"/>
      <c r="B386" s="19"/>
      <c r="C386" s="19"/>
      <c r="D386" s="31"/>
      <c r="E386" s="31"/>
      <c r="F386" s="31"/>
      <c r="G386" s="31"/>
      <c r="H386" s="31"/>
      <c r="I386" s="31"/>
      <c r="J386" s="31"/>
      <c r="K386" s="19"/>
      <c r="L386" s="19"/>
      <c r="M386" s="19"/>
      <c r="N386" s="31"/>
      <c r="O386" s="31"/>
      <c r="P386" s="19"/>
      <c r="Q386" s="19"/>
    </row>
    <row r="387" spans="1:17" ht="46.5" customHeight="1" x14ac:dyDescent="0.7">
      <c r="A387" s="19"/>
      <c r="B387" s="19"/>
      <c r="C387" s="19"/>
      <c r="D387" s="31"/>
      <c r="E387" s="31"/>
      <c r="F387" s="31"/>
      <c r="G387" s="31"/>
      <c r="H387" s="31"/>
      <c r="I387" s="31"/>
      <c r="J387" s="31"/>
      <c r="K387" s="19"/>
      <c r="L387" s="19"/>
      <c r="M387" s="19"/>
      <c r="N387" s="31"/>
      <c r="O387" s="31"/>
      <c r="P387" s="19"/>
      <c r="Q387" s="19"/>
    </row>
    <row r="388" spans="1:17" ht="46.5" customHeight="1" x14ac:dyDescent="0.7">
      <c r="A388" s="19"/>
      <c r="B388" s="19"/>
      <c r="C388" s="19"/>
      <c r="D388" s="31"/>
      <c r="E388" s="31"/>
      <c r="F388" s="31"/>
      <c r="G388" s="31"/>
      <c r="H388" s="31"/>
      <c r="I388" s="31"/>
      <c r="J388" s="31"/>
      <c r="K388" s="19"/>
      <c r="L388" s="19"/>
      <c r="M388" s="19"/>
      <c r="N388" s="31"/>
      <c r="O388" s="31"/>
      <c r="P388" s="19"/>
      <c r="Q388" s="19"/>
    </row>
    <row r="389" spans="1:17" ht="46.5" customHeight="1" x14ac:dyDescent="0.7">
      <c r="A389" s="19"/>
      <c r="B389" s="19"/>
      <c r="C389" s="19"/>
      <c r="D389" s="31"/>
      <c r="E389" s="31"/>
      <c r="F389" s="31"/>
      <c r="G389" s="31"/>
      <c r="H389" s="31"/>
      <c r="I389" s="31"/>
      <c r="J389" s="31"/>
      <c r="K389" s="19"/>
      <c r="L389" s="19"/>
      <c r="M389" s="19"/>
      <c r="N389" s="31"/>
      <c r="O389" s="31"/>
      <c r="P389" s="19"/>
      <c r="Q389" s="19"/>
    </row>
    <row r="390" spans="1:17" ht="46.5" customHeight="1" x14ac:dyDescent="0.7">
      <c r="A390" s="19"/>
      <c r="B390" s="19"/>
      <c r="C390" s="19"/>
      <c r="D390" s="31"/>
      <c r="E390" s="31"/>
      <c r="F390" s="31"/>
      <c r="G390" s="31"/>
      <c r="H390" s="31"/>
      <c r="I390" s="31"/>
      <c r="J390" s="31"/>
      <c r="K390" s="19"/>
      <c r="L390" s="19"/>
      <c r="M390" s="19"/>
      <c r="N390" s="31"/>
      <c r="O390" s="31"/>
      <c r="P390" s="19"/>
      <c r="Q390" s="19"/>
    </row>
    <row r="391" spans="1:17" ht="46.5" customHeight="1" x14ac:dyDescent="0.7">
      <c r="A391" s="19"/>
      <c r="B391" s="19"/>
      <c r="C391" s="19"/>
      <c r="D391" s="31"/>
      <c r="E391" s="31"/>
      <c r="F391" s="31"/>
      <c r="G391" s="31"/>
      <c r="H391" s="31"/>
      <c r="I391" s="31"/>
      <c r="J391" s="31"/>
      <c r="K391" s="19"/>
      <c r="L391" s="19"/>
      <c r="M391" s="19"/>
      <c r="N391" s="31"/>
      <c r="O391" s="31"/>
      <c r="P391" s="19"/>
      <c r="Q391" s="19"/>
    </row>
    <row r="392" spans="1:17" ht="46.5" customHeight="1" x14ac:dyDescent="0.7">
      <c r="A392" s="19"/>
      <c r="B392" s="19"/>
      <c r="C392" s="19"/>
      <c r="D392" s="31"/>
      <c r="E392" s="31"/>
      <c r="F392" s="31"/>
      <c r="G392" s="31"/>
      <c r="H392" s="31"/>
      <c r="I392" s="31"/>
      <c r="J392" s="31"/>
      <c r="K392" s="19"/>
      <c r="L392" s="19"/>
      <c r="M392" s="19"/>
      <c r="N392" s="31"/>
      <c r="O392" s="31"/>
      <c r="P392" s="19"/>
      <c r="Q392" s="19"/>
    </row>
    <row r="393" spans="1:17" ht="46.5" customHeight="1" x14ac:dyDescent="0.7">
      <c r="A393" s="19"/>
      <c r="B393" s="19"/>
      <c r="C393" s="19"/>
      <c r="D393" s="31"/>
      <c r="E393" s="31"/>
      <c r="F393" s="31"/>
      <c r="G393" s="31"/>
      <c r="H393" s="31"/>
      <c r="I393" s="31"/>
      <c r="J393" s="31"/>
      <c r="K393" s="19"/>
      <c r="L393" s="19"/>
      <c r="M393" s="19"/>
      <c r="N393" s="31"/>
      <c r="O393" s="31"/>
      <c r="P393" s="19"/>
      <c r="Q393" s="19"/>
    </row>
    <row r="394" spans="1:17" ht="46.5" customHeight="1" x14ac:dyDescent="0.7">
      <c r="A394" s="19"/>
      <c r="B394" s="19"/>
      <c r="C394" s="19"/>
      <c r="D394" s="31"/>
      <c r="E394" s="31"/>
      <c r="F394" s="31"/>
      <c r="G394" s="31"/>
      <c r="H394" s="31"/>
      <c r="I394" s="31"/>
      <c r="J394" s="31"/>
      <c r="K394" s="19"/>
      <c r="L394" s="19"/>
      <c r="M394" s="19"/>
      <c r="N394" s="31"/>
      <c r="O394" s="31"/>
      <c r="P394" s="19"/>
      <c r="Q394" s="19"/>
    </row>
    <row r="395" spans="1:17" ht="46.5" customHeight="1" x14ac:dyDescent="0.7">
      <c r="A395" s="19"/>
      <c r="B395" s="19"/>
      <c r="C395" s="19"/>
      <c r="D395" s="31"/>
      <c r="E395" s="31"/>
      <c r="F395" s="31"/>
      <c r="G395" s="31"/>
      <c r="H395" s="31"/>
      <c r="I395" s="31"/>
      <c r="J395" s="31"/>
      <c r="K395" s="19"/>
      <c r="L395" s="19"/>
      <c r="M395" s="19"/>
      <c r="N395" s="31"/>
      <c r="O395" s="31"/>
      <c r="P395" s="19"/>
      <c r="Q395" s="19"/>
    </row>
    <row r="396" spans="1:17" ht="46.5" customHeight="1" x14ac:dyDescent="0.7">
      <c r="A396" s="19"/>
      <c r="B396" s="19"/>
      <c r="C396" s="19"/>
      <c r="D396" s="31"/>
      <c r="E396" s="31"/>
      <c r="F396" s="31"/>
      <c r="G396" s="31"/>
      <c r="H396" s="31"/>
      <c r="I396" s="31"/>
      <c r="J396" s="31"/>
      <c r="K396" s="19"/>
      <c r="L396" s="19"/>
      <c r="M396" s="19"/>
      <c r="N396" s="31"/>
      <c r="O396" s="31"/>
      <c r="P396" s="19"/>
      <c r="Q396" s="19"/>
    </row>
    <row r="397" spans="1:17" ht="46.5" customHeight="1" x14ac:dyDescent="0.7">
      <c r="A397" s="19"/>
      <c r="B397" s="19"/>
      <c r="C397" s="19"/>
      <c r="D397" s="31"/>
      <c r="E397" s="31"/>
      <c r="F397" s="31"/>
      <c r="G397" s="31"/>
      <c r="H397" s="31"/>
      <c r="I397" s="31"/>
      <c r="J397" s="31"/>
      <c r="K397" s="19"/>
      <c r="L397" s="19"/>
      <c r="M397" s="19"/>
      <c r="N397" s="31"/>
      <c r="O397" s="31"/>
      <c r="P397" s="19"/>
      <c r="Q397" s="19"/>
    </row>
    <row r="398" spans="1:17" ht="46.5" customHeight="1" x14ac:dyDescent="0.7">
      <c r="A398" s="19"/>
      <c r="B398" s="19"/>
      <c r="C398" s="19"/>
      <c r="D398" s="31"/>
      <c r="E398" s="31"/>
      <c r="F398" s="31"/>
      <c r="G398" s="31"/>
      <c r="H398" s="31"/>
      <c r="I398" s="31"/>
      <c r="J398" s="31"/>
      <c r="K398" s="19"/>
      <c r="L398" s="19"/>
      <c r="M398" s="19"/>
      <c r="N398" s="31"/>
      <c r="O398" s="31"/>
      <c r="P398" s="19"/>
      <c r="Q398" s="19"/>
    </row>
    <row r="399" spans="1:17" ht="46.5" customHeight="1" x14ac:dyDescent="0.7">
      <c r="A399" s="19"/>
      <c r="B399" s="19"/>
      <c r="C399" s="19"/>
      <c r="D399" s="31"/>
      <c r="E399" s="31"/>
      <c r="F399" s="31"/>
      <c r="G399" s="31"/>
      <c r="H399" s="31"/>
      <c r="I399" s="31"/>
      <c r="J399" s="31"/>
      <c r="K399" s="19"/>
      <c r="L399" s="19"/>
      <c r="M399" s="19"/>
      <c r="N399" s="31"/>
      <c r="O399" s="31"/>
      <c r="P399" s="19"/>
      <c r="Q399" s="19"/>
    </row>
    <row r="400" spans="1:17" ht="46.5" customHeight="1" x14ac:dyDescent="0.7">
      <c r="A400" s="19"/>
      <c r="B400" s="19"/>
      <c r="C400" s="19"/>
      <c r="D400" s="31"/>
      <c r="E400" s="31"/>
      <c r="F400" s="31"/>
      <c r="G400" s="31"/>
      <c r="H400" s="31"/>
      <c r="I400" s="31"/>
      <c r="J400" s="31"/>
      <c r="K400" s="19"/>
      <c r="L400" s="19"/>
      <c r="M400" s="19"/>
      <c r="N400" s="31"/>
      <c r="O400" s="31"/>
      <c r="P400" s="19"/>
      <c r="Q400" s="19"/>
    </row>
    <row r="401" spans="1:17" ht="46.5" customHeight="1" x14ac:dyDescent="0.7">
      <c r="A401" s="19"/>
      <c r="B401" s="19"/>
      <c r="C401" s="19"/>
      <c r="D401" s="31"/>
      <c r="E401" s="31"/>
      <c r="F401" s="31"/>
      <c r="G401" s="31"/>
      <c r="H401" s="31"/>
      <c r="I401" s="31"/>
      <c r="J401" s="31"/>
      <c r="K401" s="19"/>
      <c r="L401" s="19"/>
      <c r="M401" s="19"/>
      <c r="N401" s="31"/>
      <c r="O401" s="31"/>
      <c r="P401" s="19"/>
      <c r="Q401" s="19"/>
    </row>
    <row r="402" spans="1:17" ht="46.5" customHeight="1" x14ac:dyDescent="0.7">
      <c r="A402" s="19"/>
      <c r="B402" s="19"/>
      <c r="C402" s="19"/>
      <c r="D402" s="31"/>
      <c r="E402" s="31"/>
      <c r="F402" s="31"/>
      <c r="G402" s="31"/>
      <c r="H402" s="31"/>
      <c r="I402" s="31"/>
      <c r="J402" s="31"/>
      <c r="K402" s="19"/>
      <c r="L402" s="19"/>
      <c r="M402" s="19"/>
      <c r="N402" s="31"/>
      <c r="O402" s="31"/>
      <c r="P402" s="19"/>
      <c r="Q402" s="19"/>
    </row>
    <row r="403" spans="1:17" ht="46.5" customHeight="1" x14ac:dyDescent="0.7">
      <c r="A403" s="19"/>
      <c r="B403" s="19"/>
      <c r="C403" s="19"/>
      <c r="D403" s="31"/>
      <c r="E403" s="31"/>
      <c r="F403" s="31"/>
      <c r="G403" s="31"/>
      <c r="H403" s="31"/>
      <c r="I403" s="31"/>
      <c r="J403" s="31"/>
      <c r="K403" s="19"/>
      <c r="L403" s="19"/>
      <c r="M403" s="19"/>
      <c r="N403" s="31"/>
      <c r="O403" s="31"/>
      <c r="P403" s="19"/>
      <c r="Q403" s="19"/>
    </row>
    <row r="404" spans="1:17" ht="46.5" customHeight="1" x14ac:dyDescent="0.7">
      <c r="A404" s="19"/>
      <c r="B404" s="19"/>
      <c r="C404" s="19"/>
      <c r="D404" s="31"/>
      <c r="E404" s="31"/>
      <c r="F404" s="31"/>
      <c r="G404" s="31"/>
      <c r="H404" s="31"/>
      <c r="I404" s="31"/>
      <c r="J404" s="31"/>
      <c r="K404" s="19"/>
      <c r="L404" s="19"/>
      <c r="M404" s="19"/>
      <c r="N404" s="31"/>
      <c r="O404" s="31"/>
      <c r="P404" s="19"/>
      <c r="Q404" s="19"/>
    </row>
    <row r="405" spans="1:17" ht="46.5" customHeight="1" x14ac:dyDescent="0.7">
      <c r="A405" s="19"/>
      <c r="B405" s="19"/>
      <c r="C405" s="19"/>
      <c r="D405" s="31"/>
      <c r="E405" s="31"/>
      <c r="F405" s="31"/>
      <c r="G405" s="31"/>
      <c r="H405" s="31"/>
      <c r="I405" s="31"/>
      <c r="J405" s="31"/>
      <c r="K405" s="19"/>
      <c r="L405" s="19"/>
      <c r="M405" s="19"/>
      <c r="N405" s="31"/>
      <c r="O405" s="31"/>
      <c r="P405" s="19"/>
      <c r="Q405" s="19"/>
    </row>
    <row r="406" spans="1:17" ht="46.5" customHeight="1" x14ac:dyDescent="0.7">
      <c r="A406" s="19"/>
      <c r="B406" s="19"/>
      <c r="C406" s="19"/>
      <c r="D406" s="31"/>
      <c r="E406" s="31"/>
      <c r="F406" s="31"/>
      <c r="G406" s="31"/>
      <c r="H406" s="31"/>
      <c r="I406" s="31"/>
      <c r="J406" s="31"/>
      <c r="K406" s="19"/>
      <c r="L406" s="19"/>
      <c r="M406" s="19"/>
      <c r="N406" s="31"/>
      <c r="O406" s="31"/>
      <c r="P406" s="19"/>
      <c r="Q406" s="19"/>
    </row>
    <row r="407" spans="1:17" ht="46.5" customHeight="1" x14ac:dyDescent="0.7">
      <c r="A407" s="19"/>
      <c r="B407" s="19"/>
      <c r="C407" s="19"/>
      <c r="D407" s="31"/>
      <c r="E407" s="31"/>
      <c r="F407" s="31"/>
      <c r="G407" s="31"/>
      <c r="H407" s="31"/>
      <c r="I407" s="31"/>
      <c r="J407" s="31"/>
      <c r="K407" s="19"/>
      <c r="L407" s="19"/>
      <c r="M407" s="19"/>
      <c r="N407" s="31"/>
      <c r="O407" s="31"/>
      <c r="P407" s="19"/>
      <c r="Q407" s="19"/>
    </row>
    <row r="408" spans="1:17" ht="46.5" customHeight="1" x14ac:dyDescent="0.7">
      <c r="A408" s="19"/>
      <c r="B408" s="19"/>
      <c r="C408" s="19"/>
      <c r="D408" s="31"/>
      <c r="E408" s="31"/>
      <c r="F408" s="31"/>
      <c r="G408" s="31"/>
      <c r="H408" s="31"/>
      <c r="I408" s="31"/>
      <c r="J408" s="31"/>
      <c r="K408" s="19"/>
      <c r="L408" s="19"/>
      <c r="M408" s="19"/>
      <c r="N408" s="31"/>
      <c r="O408" s="31"/>
      <c r="P408" s="19"/>
      <c r="Q408" s="19"/>
    </row>
    <row r="409" spans="1:17" ht="46.5" customHeight="1" x14ac:dyDescent="0.7">
      <c r="A409" s="19"/>
      <c r="B409" s="19"/>
      <c r="C409" s="19"/>
      <c r="D409" s="31"/>
      <c r="E409" s="31"/>
      <c r="F409" s="31"/>
      <c r="G409" s="31"/>
      <c r="H409" s="31"/>
      <c r="I409" s="31"/>
      <c r="J409" s="31"/>
      <c r="K409" s="19"/>
      <c r="L409" s="19"/>
      <c r="M409" s="19"/>
      <c r="N409" s="31"/>
      <c r="O409" s="31"/>
      <c r="P409" s="19"/>
      <c r="Q409" s="19"/>
    </row>
    <row r="410" spans="1:17" ht="46.5" customHeight="1" x14ac:dyDescent="0.7">
      <c r="A410" s="19"/>
      <c r="B410" s="19"/>
      <c r="C410" s="19"/>
      <c r="D410" s="31"/>
      <c r="E410" s="31"/>
      <c r="F410" s="31"/>
      <c r="G410" s="31"/>
      <c r="H410" s="31"/>
      <c r="I410" s="31"/>
      <c r="J410" s="31"/>
      <c r="K410" s="19"/>
      <c r="L410" s="19"/>
      <c r="M410" s="19"/>
      <c r="N410" s="31"/>
      <c r="O410" s="31"/>
      <c r="P410" s="19"/>
      <c r="Q410" s="19"/>
    </row>
    <row r="411" spans="1:17" ht="46.5" customHeight="1" x14ac:dyDescent="0.7">
      <c r="A411" s="19"/>
      <c r="B411" s="19"/>
      <c r="C411" s="19"/>
      <c r="D411" s="31"/>
      <c r="E411" s="31"/>
      <c r="F411" s="31"/>
      <c r="G411" s="31"/>
      <c r="H411" s="31"/>
      <c r="I411" s="31"/>
      <c r="J411" s="31"/>
      <c r="K411" s="19"/>
      <c r="L411" s="19"/>
      <c r="M411" s="19"/>
      <c r="N411" s="31"/>
      <c r="O411" s="31"/>
      <c r="P411" s="19"/>
      <c r="Q411" s="19"/>
    </row>
    <row r="412" spans="1:17" ht="46.5" customHeight="1" x14ac:dyDescent="0.7">
      <c r="A412" s="19"/>
      <c r="B412" s="19"/>
      <c r="C412" s="19"/>
      <c r="D412" s="31"/>
      <c r="E412" s="31"/>
      <c r="F412" s="31"/>
      <c r="G412" s="31"/>
      <c r="H412" s="31"/>
      <c r="I412" s="31"/>
      <c r="J412" s="31"/>
      <c r="K412" s="19"/>
      <c r="L412" s="19"/>
      <c r="M412" s="19"/>
      <c r="N412" s="31"/>
      <c r="O412" s="31"/>
      <c r="P412" s="19"/>
      <c r="Q412" s="19"/>
    </row>
    <row r="413" spans="1:17" ht="46.5" customHeight="1" x14ac:dyDescent="0.7">
      <c r="A413" s="19"/>
      <c r="B413" s="19"/>
      <c r="C413" s="19"/>
      <c r="D413" s="31"/>
      <c r="E413" s="31"/>
      <c r="F413" s="31"/>
      <c r="G413" s="31"/>
      <c r="H413" s="31"/>
      <c r="I413" s="31"/>
      <c r="J413" s="31"/>
      <c r="K413" s="19"/>
      <c r="L413" s="19"/>
      <c r="M413" s="19"/>
      <c r="N413" s="31"/>
      <c r="O413" s="31"/>
      <c r="P413" s="19"/>
      <c r="Q413" s="19"/>
    </row>
    <row r="414" spans="1:17" ht="46.5" customHeight="1" x14ac:dyDescent="0.7">
      <c r="A414" s="19"/>
      <c r="B414" s="19"/>
      <c r="C414" s="19"/>
      <c r="D414" s="31"/>
      <c r="E414" s="31"/>
      <c r="F414" s="31"/>
      <c r="G414" s="31"/>
      <c r="H414" s="31"/>
      <c r="I414" s="31"/>
      <c r="J414" s="31"/>
      <c r="K414" s="19"/>
      <c r="L414" s="19"/>
      <c r="M414" s="19"/>
      <c r="N414" s="31"/>
      <c r="O414" s="31"/>
      <c r="P414" s="19"/>
      <c r="Q414" s="19"/>
    </row>
    <row r="415" spans="1:17" ht="46.5" customHeight="1" x14ac:dyDescent="0.7">
      <c r="A415" s="19"/>
      <c r="B415" s="19"/>
      <c r="C415" s="19"/>
      <c r="D415" s="31"/>
      <c r="E415" s="31"/>
      <c r="F415" s="31"/>
      <c r="G415" s="31"/>
      <c r="H415" s="31"/>
      <c r="I415" s="31"/>
      <c r="J415" s="31"/>
      <c r="K415" s="19"/>
      <c r="L415" s="19"/>
      <c r="M415" s="19"/>
      <c r="N415" s="31"/>
      <c r="O415" s="31"/>
      <c r="P415" s="19"/>
      <c r="Q415" s="19"/>
    </row>
    <row r="416" spans="1:17" ht="46.5" customHeight="1" x14ac:dyDescent="0.7">
      <c r="A416" s="19"/>
      <c r="B416" s="19"/>
      <c r="C416" s="19"/>
      <c r="D416" s="31"/>
      <c r="E416" s="31"/>
      <c r="F416" s="31"/>
      <c r="G416" s="31"/>
      <c r="H416" s="31"/>
      <c r="I416" s="31"/>
      <c r="J416" s="31"/>
      <c r="K416" s="19"/>
      <c r="L416" s="19"/>
      <c r="M416" s="19"/>
      <c r="N416" s="31"/>
      <c r="O416" s="31"/>
      <c r="P416" s="19"/>
      <c r="Q416" s="19"/>
    </row>
    <row r="417" spans="1:17" ht="46.5" customHeight="1" x14ac:dyDescent="0.7">
      <c r="A417" s="19"/>
      <c r="B417" s="19"/>
      <c r="C417" s="19"/>
      <c r="D417" s="31"/>
      <c r="E417" s="31"/>
      <c r="F417" s="31"/>
      <c r="G417" s="31"/>
      <c r="H417" s="31"/>
      <c r="I417" s="31"/>
      <c r="J417" s="31"/>
      <c r="K417" s="19"/>
      <c r="L417" s="19"/>
      <c r="M417" s="19"/>
      <c r="N417" s="31"/>
      <c r="O417" s="31"/>
      <c r="P417" s="19"/>
      <c r="Q417" s="19"/>
    </row>
    <row r="418" spans="1:17" ht="46.5" customHeight="1" x14ac:dyDescent="0.7">
      <c r="A418" s="19"/>
      <c r="B418" s="19"/>
      <c r="C418" s="19"/>
      <c r="D418" s="31"/>
      <c r="E418" s="31"/>
      <c r="F418" s="31"/>
      <c r="G418" s="31"/>
      <c r="H418" s="31"/>
      <c r="I418" s="31"/>
      <c r="J418" s="31"/>
      <c r="K418" s="19"/>
      <c r="L418" s="19"/>
      <c r="M418" s="19"/>
      <c r="N418" s="31"/>
      <c r="O418" s="31"/>
      <c r="P418" s="19"/>
      <c r="Q418" s="19"/>
    </row>
    <row r="419" spans="1:17" ht="46.5" customHeight="1" x14ac:dyDescent="0.7">
      <c r="A419" s="19"/>
      <c r="B419" s="19"/>
      <c r="C419" s="19"/>
      <c r="D419" s="31"/>
      <c r="E419" s="31"/>
      <c r="F419" s="31"/>
      <c r="G419" s="31"/>
      <c r="H419" s="31"/>
      <c r="I419" s="31"/>
      <c r="J419" s="31"/>
      <c r="K419" s="19"/>
      <c r="L419" s="19"/>
      <c r="M419" s="19"/>
      <c r="N419" s="31"/>
      <c r="O419" s="31"/>
      <c r="P419" s="19"/>
      <c r="Q419" s="19"/>
    </row>
    <row r="420" spans="1:17" ht="46.5" customHeight="1" x14ac:dyDescent="0.7">
      <c r="A420" s="19"/>
      <c r="B420" s="19"/>
      <c r="C420" s="19"/>
      <c r="D420" s="31"/>
      <c r="E420" s="31"/>
      <c r="F420" s="31"/>
      <c r="G420" s="31"/>
      <c r="H420" s="31"/>
      <c r="I420" s="31"/>
      <c r="J420" s="31"/>
      <c r="K420" s="19"/>
      <c r="L420" s="19"/>
      <c r="M420" s="19"/>
      <c r="N420" s="31"/>
      <c r="O420" s="31"/>
      <c r="P420" s="19"/>
      <c r="Q420" s="19"/>
    </row>
    <row r="421" spans="1:17" ht="46.5" customHeight="1" x14ac:dyDescent="0.7">
      <c r="A421" s="19"/>
      <c r="B421" s="19"/>
      <c r="C421" s="19"/>
      <c r="D421" s="31"/>
      <c r="E421" s="31"/>
      <c r="F421" s="31"/>
      <c r="G421" s="31"/>
      <c r="H421" s="31"/>
      <c r="I421" s="31"/>
      <c r="J421" s="31"/>
      <c r="K421" s="19"/>
      <c r="L421" s="19"/>
      <c r="M421" s="19"/>
      <c r="N421" s="31"/>
      <c r="O421" s="31"/>
      <c r="P421" s="19"/>
      <c r="Q421" s="19"/>
    </row>
    <row r="422" spans="1:17" ht="46.5" customHeight="1" x14ac:dyDescent="0.7">
      <c r="A422" s="19"/>
      <c r="B422" s="19"/>
      <c r="C422" s="19"/>
      <c r="D422" s="31"/>
      <c r="E422" s="31"/>
      <c r="F422" s="31"/>
      <c r="G422" s="31"/>
      <c r="H422" s="31"/>
      <c r="I422" s="31"/>
      <c r="J422" s="31"/>
      <c r="K422" s="19"/>
      <c r="L422" s="19"/>
      <c r="M422" s="19"/>
      <c r="N422" s="31"/>
      <c r="O422" s="31"/>
      <c r="P422" s="19"/>
      <c r="Q422" s="19"/>
    </row>
    <row r="423" spans="1:17" ht="46.5" customHeight="1" x14ac:dyDescent="0.7">
      <c r="A423" s="19"/>
      <c r="B423" s="19"/>
      <c r="C423" s="19"/>
      <c r="D423" s="31"/>
      <c r="E423" s="31"/>
      <c r="F423" s="31"/>
      <c r="G423" s="31"/>
      <c r="H423" s="31"/>
      <c r="I423" s="31"/>
      <c r="J423" s="31"/>
      <c r="K423" s="19"/>
      <c r="L423" s="19"/>
      <c r="M423" s="19"/>
      <c r="N423" s="31"/>
      <c r="O423" s="31"/>
      <c r="P423" s="19"/>
      <c r="Q423" s="19"/>
    </row>
    <row r="424" spans="1:17" ht="46.5" customHeight="1" x14ac:dyDescent="0.7">
      <c r="A424" s="19"/>
      <c r="B424" s="19"/>
      <c r="C424" s="19"/>
      <c r="D424" s="31"/>
      <c r="E424" s="31"/>
      <c r="F424" s="31"/>
      <c r="G424" s="31"/>
      <c r="H424" s="31"/>
      <c r="I424" s="31"/>
      <c r="J424" s="31"/>
      <c r="K424" s="19"/>
      <c r="L424" s="19"/>
      <c r="M424" s="19"/>
      <c r="N424" s="31"/>
      <c r="O424" s="31"/>
      <c r="P424" s="19"/>
      <c r="Q424" s="19"/>
    </row>
    <row r="425" spans="1:17" ht="46.5" customHeight="1" x14ac:dyDescent="0.7">
      <c r="A425" s="19"/>
      <c r="B425" s="19"/>
      <c r="C425" s="19"/>
      <c r="D425" s="31"/>
      <c r="E425" s="31"/>
      <c r="F425" s="31"/>
      <c r="G425" s="31"/>
      <c r="H425" s="31"/>
      <c r="I425" s="31"/>
      <c r="J425" s="31"/>
      <c r="K425" s="19"/>
      <c r="L425" s="19"/>
      <c r="M425" s="19"/>
      <c r="N425" s="31"/>
      <c r="O425" s="31"/>
      <c r="P425" s="19"/>
      <c r="Q425" s="19"/>
    </row>
    <row r="426" spans="1:17" ht="46.5" customHeight="1" x14ac:dyDescent="0.7">
      <c r="A426" s="19"/>
      <c r="B426" s="19"/>
      <c r="C426" s="19"/>
      <c r="D426" s="31"/>
      <c r="E426" s="31"/>
      <c r="F426" s="31"/>
      <c r="G426" s="31"/>
      <c r="H426" s="31"/>
      <c r="I426" s="31"/>
      <c r="J426" s="31"/>
      <c r="K426" s="19"/>
      <c r="L426" s="19"/>
      <c r="M426" s="19"/>
      <c r="N426" s="31"/>
      <c r="O426" s="31"/>
      <c r="P426" s="19"/>
      <c r="Q426" s="19"/>
    </row>
    <row r="427" spans="1:17" ht="46.5" customHeight="1" x14ac:dyDescent="0.7">
      <c r="A427" s="19"/>
      <c r="B427" s="19"/>
      <c r="C427" s="19"/>
      <c r="D427" s="31"/>
      <c r="E427" s="31"/>
      <c r="F427" s="31"/>
      <c r="G427" s="31"/>
      <c r="H427" s="31"/>
      <c r="I427" s="31"/>
      <c r="J427" s="31"/>
      <c r="K427" s="19"/>
      <c r="L427" s="19"/>
      <c r="M427" s="19"/>
      <c r="N427" s="31"/>
      <c r="O427" s="31"/>
      <c r="P427" s="19"/>
      <c r="Q427" s="19"/>
    </row>
    <row r="428" spans="1:17" ht="46.5" customHeight="1" x14ac:dyDescent="0.7">
      <c r="A428" s="19"/>
      <c r="B428" s="19"/>
      <c r="C428" s="19"/>
      <c r="D428" s="31"/>
      <c r="E428" s="31"/>
      <c r="F428" s="31"/>
      <c r="G428" s="31"/>
      <c r="H428" s="31"/>
      <c r="I428" s="31"/>
      <c r="J428" s="31"/>
      <c r="K428" s="19"/>
      <c r="L428" s="19"/>
      <c r="M428" s="19"/>
      <c r="N428" s="31"/>
      <c r="O428" s="31"/>
      <c r="P428" s="19"/>
      <c r="Q428" s="19"/>
    </row>
    <row r="429" spans="1:17" ht="46.5" customHeight="1" x14ac:dyDescent="0.7">
      <c r="A429" s="19"/>
      <c r="B429" s="19"/>
      <c r="C429" s="19"/>
      <c r="D429" s="31"/>
      <c r="E429" s="31"/>
      <c r="F429" s="31"/>
      <c r="G429" s="31"/>
      <c r="H429" s="31"/>
      <c r="I429" s="31"/>
      <c r="J429" s="31"/>
      <c r="K429" s="19"/>
      <c r="L429" s="19"/>
      <c r="M429" s="19"/>
      <c r="N429" s="31"/>
      <c r="O429" s="31"/>
      <c r="P429" s="19"/>
      <c r="Q429" s="19"/>
    </row>
    <row r="430" spans="1:17" ht="46.5" customHeight="1" x14ac:dyDescent="0.7">
      <c r="A430" s="19"/>
      <c r="B430" s="19"/>
      <c r="C430" s="19"/>
      <c r="D430" s="31"/>
      <c r="E430" s="31"/>
      <c r="F430" s="31"/>
      <c r="G430" s="31"/>
      <c r="H430" s="31"/>
      <c r="I430" s="31"/>
      <c r="J430" s="31"/>
      <c r="K430" s="19"/>
      <c r="L430" s="19"/>
      <c r="M430" s="19"/>
      <c r="N430" s="31"/>
      <c r="O430" s="31"/>
      <c r="P430" s="19"/>
      <c r="Q430" s="19"/>
    </row>
    <row r="431" spans="1:17" ht="46.5" customHeight="1" x14ac:dyDescent="0.7">
      <c r="A431" s="19"/>
      <c r="B431" s="19"/>
      <c r="C431" s="19"/>
      <c r="D431" s="31"/>
      <c r="E431" s="31"/>
      <c r="F431" s="31"/>
      <c r="G431" s="31"/>
      <c r="H431" s="31"/>
      <c r="I431" s="31"/>
      <c r="J431" s="31"/>
      <c r="K431" s="19"/>
      <c r="L431" s="19"/>
      <c r="M431" s="19"/>
      <c r="N431" s="31"/>
      <c r="O431" s="31"/>
      <c r="P431" s="19"/>
      <c r="Q431" s="19"/>
    </row>
    <row r="432" spans="1:17" ht="46.5" customHeight="1" x14ac:dyDescent="0.7">
      <c r="A432" s="19"/>
      <c r="B432" s="19"/>
      <c r="C432" s="19"/>
      <c r="D432" s="31"/>
      <c r="E432" s="31"/>
      <c r="F432" s="31"/>
      <c r="G432" s="31"/>
      <c r="H432" s="31"/>
      <c r="I432" s="31"/>
      <c r="J432" s="31"/>
      <c r="K432" s="19"/>
      <c r="L432" s="19"/>
      <c r="M432" s="19"/>
      <c r="N432" s="31"/>
      <c r="O432" s="31"/>
      <c r="P432" s="19"/>
      <c r="Q432" s="19"/>
    </row>
    <row r="433" spans="1:17" ht="46.5" customHeight="1" x14ac:dyDescent="0.7">
      <c r="A433" s="19"/>
      <c r="B433" s="19"/>
      <c r="C433" s="19"/>
      <c r="D433" s="31"/>
      <c r="E433" s="31"/>
      <c r="F433" s="31"/>
      <c r="G433" s="31"/>
      <c r="H433" s="31"/>
      <c r="I433" s="31"/>
      <c r="J433" s="31"/>
      <c r="K433" s="19"/>
      <c r="L433" s="19"/>
      <c r="M433" s="19"/>
      <c r="N433" s="31"/>
      <c r="O433" s="31"/>
      <c r="P433" s="19"/>
      <c r="Q433" s="19"/>
    </row>
    <row r="434" spans="1:17" ht="46.5" customHeight="1" x14ac:dyDescent="0.7">
      <c r="A434" s="19"/>
      <c r="B434" s="19"/>
      <c r="C434" s="19"/>
      <c r="D434" s="31"/>
      <c r="E434" s="31"/>
      <c r="F434" s="31"/>
      <c r="G434" s="31"/>
      <c r="H434" s="31"/>
      <c r="I434" s="31"/>
      <c r="J434" s="31"/>
      <c r="K434" s="19"/>
      <c r="L434" s="19"/>
      <c r="M434" s="19"/>
      <c r="N434" s="31"/>
      <c r="O434" s="31"/>
      <c r="P434" s="19"/>
      <c r="Q434" s="19"/>
    </row>
    <row r="435" spans="1:17" ht="46.5" customHeight="1" x14ac:dyDescent="0.7">
      <c r="A435" s="19"/>
      <c r="B435" s="19"/>
      <c r="C435" s="19"/>
      <c r="D435" s="31"/>
      <c r="E435" s="31"/>
      <c r="F435" s="31"/>
      <c r="G435" s="31"/>
      <c r="H435" s="31"/>
      <c r="I435" s="31"/>
      <c r="J435" s="31"/>
      <c r="K435" s="19"/>
      <c r="L435" s="19"/>
      <c r="M435" s="19"/>
      <c r="N435" s="31"/>
      <c r="O435" s="31"/>
      <c r="P435" s="19"/>
      <c r="Q435" s="19"/>
    </row>
    <row r="436" spans="1:17" ht="46.5" customHeight="1" x14ac:dyDescent="0.7">
      <c r="A436" s="19"/>
      <c r="B436" s="19"/>
      <c r="C436" s="19"/>
      <c r="D436" s="31"/>
      <c r="E436" s="31"/>
      <c r="F436" s="31"/>
      <c r="G436" s="31"/>
      <c r="H436" s="31"/>
      <c r="I436" s="31"/>
      <c r="J436" s="31"/>
      <c r="K436" s="19"/>
      <c r="L436" s="19"/>
      <c r="M436" s="19"/>
      <c r="N436" s="31"/>
      <c r="O436" s="31"/>
      <c r="P436" s="19"/>
      <c r="Q436" s="19"/>
    </row>
    <row r="437" spans="1:17" ht="46.5" customHeight="1" x14ac:dyDescent="0.7">
      <c r="A437" s="19"/>
      <c r="B437" s="19"/>
      <c r="C437" s="19"/>
      <c r="D437" s="31"/>
      <c r="E437" s="31"/>
      <c r="F437" s="31"/>
      <c r="G437" s="31"/>
      <c r="H437" s="31"/>
      <c r="I437" s="31"/>
      <c r="J437" s="31"/>
      <c r="K437" s="19"/>
      <c r="L437" s="19"/>
      <c r="M437" s="19"/>
      <c r="N437" s="31"/>
      <c r="O437" s="31"/>
      <c r="P437" s="19"/>
      <c r="Q437" s="19"/>
    </row>
    <row r="438" spans="1:17" ht="46.5" customHeight="1" x14ac:dyDescent="0.7">
      <c r="A438" s="19"/>
      <c r="B438" s="19"/>
      <c r="C438" s="19"/>
      <c r="D438" s="31"/>
      <c r="E438" s="31"/>
      <c r="F438" s="31"/>
      <c r="G438" s="31"/>
      <c r="H438" s="31"/>
      <c r="I438" s="31"/>
      <c r="J438" s="31"/>
      <c r="K438" s="19"/>
      <c r="L438" s="19"/>
      <c r="M438" s="19"/>
      <c r="N438" s="31"/>
      <c r="O438" s="31"/>
      <c r="P438" s="19"/>
      <c r="Q438" s="19"/>
    </row>
    <row r="439" spans="1:17" ht="46.5" customHeight="1" x14ac:dyDescent="0.7">
      <c r="A439" s="19"/>
      <c r="B439" s="19"/>
      <c r="C439" s="19"/>
      <c r="D439" s="31"/>
      <c r="E439" s="31"/>
      <c r="F439" s="31"/>
      <c r="G439" s="31"/>
      <c r="H439" s="31"/>
      <c r="I439" s="31"/>
      <c r="J439" s="31"/>
      <c r="K439" s="19"/>
      <c r="L439" s="19"/>
      <c r="M439" s="19"/>
      <c r="N439" s="31"/>
      <c r="O439" s="31"/>
      <c r="P439" s="19"/>
      <c r="Q439" s="19"/>
    </row>
    <row r="440" spans="1:17" ht="46.5" customHeight="1" x14ac:dyDescent="0.7">
      <c r="A440" s="19"/>
      <c r="B440" s="19"/>
      <c r="C440" s="19"/>
      <c r="D440" s="31"/>
      <c r="E440" s="31"/>
      <c r="F440" s="31"/>
      <c r="G440" s="31"/>
      <c r="H440" s="31"/>
      <c r="I440" s="31"/>
      <c r="J440" s="31"/>
      <c r="K440" s="19"/>
      <c r="L440" s="19"/>
      <c r="M440" s="19"/>
      <c r="N440" s="31"/>
      <c r="O440" s="31"/>
      <c r="P440" s="19"/>
      <c r="Q440" s="19"/>
    </row>
    <row r="441" spans="1:17" ht="46.5" customHeight="1" x14ac:dyDescent="0.7">
      <c r="A441" s="19"/>
      <c r="B441" s="19"/>
      <c r="C441" s="19"/>
      <c r="D441" s="31"/>
      <c r="E441" s="31"/>
      <c r="F441" s="31"/>
      <c r="G441" s="31"/>
      <c r="H441" s="31"/>
      <c r="I441" s="31"/>
      <c r="J441" s="31"/>
      <c r="K441" s="19"/>
      <c r="L441" s="19"/>
      <c r="M441" s="19"/>
      <c r="N441" s="31"/>
      <c r="O441" s="31"/>
      <c r="P441" s="19"/>
      <c r="Q441" s="19"/>
    </row>
    <row r="442" spans="1:17" ht="46.5" customHeight="1" x14ac:dyDescent="0.7">
      <c r="A442" s="19"/>
      <c r="B442" s="19"/>
      <c r="C442" s="19"/>
      <c r="D442" s="31"/>
      <c r="E442" s="31"/>
      <c r="F442" s="31"/>
      <c r="G442" s="31"/>
      <c r="H442" s="31"/>
      <c r="I442" s="31"/>
      <c r="J442" s="31"/>
      <c r="K442" s="19"/>
      <c r="L442" s="19"/>
      <c r="M442" s="19"/>
      <c r="N442" s="31"/>
      <c r="O442" s="31"/>
      <c r="P442" s="19"/>
      <c r="Q442" s="19"/>
    </row>
    <row r="443" spans="1:17" ht="46.5" customHeight="1" x14ac:dyDescent="0.7">
      <c r="A443" s="19"/>
      <c r="B443" s="19"/>
      <c r="C443" s="19"/>
      <c r="D443" s="31"/>
      <c r="E443" s="31"/>
      <c r="F443" s="31"/>
      <c r="G443" s="31"/>
      <c r="H443" s="31"/>
      <c r="I443" s="31"/>
      <c r="J443" s="31"/>
      <c r="K443" s="19"/>
      <c r="L443" s="19"/>
      <c r="M443" s="19"/>
      <c r="N443" s="31"/>
      <c r="O443" s="31"/>
      <c r="P443" s="19"/>
      <c r="Q443" s="19"/>
    </row>
    <row r="444" spans="1:17" ht="46.5" customHeight="1" x14ac:dyDescent="0.7">
      <c r="A444" s="19"/>
      <c r="B444" s="19"/>
      <c r="C444" s="19"/>
      <c r="D444" s="31"/>
      <c r="E444" s="31"/>
      <c r="F444" s="31"/>
      <c r="G444" s="31"/>
      <c r="H444" s="31"/>
      <c r="I444" s="31"/>
      <c r="J444" s="31"/>
      <c r="K444" s="19"/>
      <c r="L444" s="19"/>
      <c r="M444" s="19"/>
      <c r="N444" s="31"/>
      <c r="O444" s="31"/>
      <c r="P444" s="19"/>
      <c r="Q444" s="19"/>
    </row>
    <row r="445" spans="1:17" ht="46.5" customHeight="1" x14ac:dyDescent="0.7">
      <c r="A445" s="19"/>
      <c r="B445" s="19"/>
      <c r="C445" s="19"/>
      <c r="D445" s="31"/>
      <c r="E445" s="31"/>
      <c r="F445" s="31"/>
      <c r="G445" s="31"/>
      <c r="H445" s="31"/>
      <c r="I445" s="31"/>
      <c r="J445" s="31"/>
      <c r="K445" s="19"/>
      <c r="L445" s="19"/>
      <c r="M445" s="19"/>
      <c r="N445" s="31"/>
      <c r="O445" s="31"/>
      <c r="P445" s="19"/>
      <c r="Q445" s="19"/>
    </row>
    <row r="446" spans="1:17" ht="46.5" customHeight="1" x14ac:dyDescent="0.7">
      <c r="A446" s="19"/>
      <c r="B446" s="19"/>
      <c r="C446" s="19"/>
      <c r="D446" s="31"/>
      <c r="E446" s="31"/>
      <c r="F446" s="31"/>
      <c r="G446" s="31"/>
      <c r="H446" s="31"/>
      <c r="I446" s="31"/>
      <c r="J446" s="31"/>
      <c r="K446" s="19"/>
      <c r="L446" s="19"/>
      <c r="M446" s="19"/>
      <c r="N446" s="31"/>
      <c r="O446" s="31"/>
      <c r="P446" s="19"/>
      <c r="Q446" s="19"/>
    </row>
    <row r="447" spans="1:17" ht="46.5" customHeight="1" x14ac:dyDescent="0.7">
      <c r="A447" s="19"/>
      <c r="B447" s="19"/>
      <c r="C447" s="19"/>
      <c r="D447" s="31"/>
      <c r="E447" s="31"/>
      <c r="F447" s="31"/>
      <c r="G447" s="31"/>
      <c r="H447" s="31"/>
      <c r="I447" s="31"/>
      <c r="J447" s="31"/>
      <c r="K447" s="19"/>
      <c r="L447" s="19"/>
      <c r="M447" s="19"/>
      <c r="N447" s="31"/>
      <c r="O447" s="31"/>
      <c r="P447" s="19"/>
      <c r="Q447" s="19"/>
    </row>
    <row r="448" spans="1:17" ht="46.5" customHeight="1" x14ac:dyDescent="0.7">
      <c r="A448" s="19"/>
      <c r="B448" s="19"/>
      <c r="C448" s="19"/>
      <c r="D448" s="31"/>
      <c r="E448" s="31"/>
      <c r="F448" s="31"/>
      <c r="G448" s="31"/>
      <c r="H448" s="31"/>
      <c r="I448" s="31"/>
      <c r="J448" s="31"/>
      <c r="K448" s="19"/>
      <c r="L448" s="19"/>
      <c r="M448" s="19"/>
      <c r="N448" s="31"/>
      <c r="O448" s="31"/>
      <c r="P448" s="19"/>
      <c r="Q448" s="19"/>
    </row>
    <row r="449" spans="1:17" ht="46.5" customHeight="1" x14ac:dyDescent="0.7">
      <c r="A449" s="19"/>
      <c r="B449" s="19"/>
      <c r="C449" s="19"/>
      <c r="D449" s="31"/>
      <c r="E449" s="31"/>
      <c r="F449" s="31"/>
      <c r="G449" s="31"/>
      <c r="H449" s="31"/>
      <c r="I449" s="31"/>
      <c r="J449" s="31"/>
      <c r="K449" s="19"/>
      <c r="L449" s="19"/>
      <c r="M449" s="19"/>
      <c r="N449" s="31"/>
      <c r="O449" s="31"/>
      <c r="P449" s="19"/>
      <c r="Q449" s="19"/>
    </row>
    <row r="450" spans="1:17" ht="46.5" customHeight="1" x14ac:dyDescent="0.7">
      <c r="A450" s="19"/>
      <c r="B450" s="19"/>
      <c r="C450" s="19"/>
      <c r="D450" s="31"/>
      <c r="E450" s="31"/>
      <c r="F450" s="31"/>
      <c r="G450" s="31"/>
      <c r="H450" s="31"/>
      <c r="I450" s="31"/>
      <c r="J450" s="31"/>
      <c r="K450" s="19"/>
      <c r="L450" s="19"/>
      <c r="M450" s="19"/>
      <c r="N450" s="31"/>
      <c r="O450" s="31"/>
      <c r="P450" s="19"/>
      <c r="Q450" s="19"/>
    </row>
    <row r="451" spans="1:17" ht="46.5" customHeight="1" x14ac:dyDescent="0.7">
      <c r="A451" s="19"/>
      <c r="B451" s="19"/>
      <c r="C451" s="19"/>
      <c r="D451" s="31"/>
      <c r="E451" s="31"/>
      <c r="F451" s="31"/>
      <c r="G451" s="31"/>
      <c r="H451" s="31"/>
      <c r="I451" s="31"/>
      <c r="J451" s="31"/>
      <c r="K451" s="19"/>
      <c r="L451" s="19"/>
      <c r="M451" s="19"/>
      <c r="N451" s="31"/>
      <c r="O451" s="31"/>
      <c r="P451" s="19"/>
      <c r="Q451" s="19"/>
    </row>
    <row r="452" spans="1:17" ht="46.5" customHeight="1" x14ac:dyDescent="0.7">
      <c r="A452" s="19"/>
      <c r="B452" s="19"/>
      <c r="C452" s="19"/>
      <c r="D452" s="31"/>
      <c r="E452" s="31"/>
      <c r="F452" s="31"/>
      <c r="G452" s="31"/>
      <c r="H452" s="31"/>
      <c r="I452" s="31"/>
      <c r="J452" s="31"/>
      <c r="K452" s="19"/>
      <c r="L452" s="19"/>
      <c r="M452" s="19"/>
      <c r="N452" s="31"/>
      <c r="O452" s="31"/>
      <c r="P452" s="19"/>
      <c r="Q452" s="19"/>
    </row>
    <row r="453" spans="1:17" ht="46.5" customHeight="1" x14ac:dyDescent="0.7">
      <c r="A453" s="19"/>
      <c r="B453" s="19"/>
      <c r="C453" s="19"/>
      <c r="D453" s="31"/>
      <c r="E453" s="31"/>
      <c r="F453" s="31"/>
      <c r="G453" s="31"/>
      <c r="H453" s="31"/>
      <c r="I453" s="31"/>
      <c r="J453" s="31"/>
      <c r="K453" s="19"/>
      <c r="L453" s="19"/>
      <c r="M453" s="19"/>
      <c r="N453" s="31"/>
      <c r="O453" s="31"/>
      <c r="P453" s="19"/>
      <c r="Q453" s="19"/>
    </row>
    <row r="454" spans="1:17" ht="46.5" customHeight="1" x14ac:dyDescent="0.7">
      <c r="A454" s="19"/>
      <c r="B454" s="19"/>
      <c r="C454" s="19"/>
      <c r="D454" s="31"/>
      <c r="E454" s="31"/>
      <c r="F454" s="31"/>
      <c r="G454" s="31"/>
      <c r="H454" s="31"/>
      <c r="I454" s="31"/>
      <c r="J454" s="31"/>
      <c r="K454" s="19"/>
      <c r="L454" s="19"/>
      <c r="M454" s="19"/>
      <c r="N454" s="31"/>
      <c r="O454" s="31"/>
      <c r="P454" s="19"/>
      <c r="Q454" s="19"/>
    </row>
    <row r="455" spans="1:17" ht="46.5" customHeight="1" x14ac:dyDescent="0.7">
      <c r="A455" s="19"/>
      <c r="B455" s="19"/>
      <c r="C455" s="19"/>
      <c r="D455" s="31"/>
      <c r="E455" s="31"/>
      <c r="F455" s="31"/>
      <c r="G455" s="31"/>
      <c r="H455" s="31"/>
      <c r="I455" s="31"/>
      <c r="J455" s="31"/>
      <c r="K455" s="19"/>
      <c r="L455" s="19"/>
      <c r="M455" s="19"/>
      <c r="N455" s="31"/>
      <c r="O455" s="31"/>
      <c r="P455" s="19"/>
      <c r="Q455" s="19"/>
    </row>
    <row r="456" spans="1:17" ht="46.5" customHeight="1" x14ac:dyDescent="0.7">
      <c r="A456" s="19"/>
      <c r="B456" s="19"/>
      <c r="C456" s="19"/>
      <c r="D456" s="31"/>
      <c r="E456" s="31"/>
      <c r="F456" s="31"/>
      <c r="G456" s="31"/>
      <c r="H456" s="31"/>
      <c r="I456" s="31"/>
      <c r="J456" s="31"/>
      <c r="K456" s="19"/>
      <c r="L456" s="19"/>
      <c r="M456" s="19"/>
      <c r="N456" s="31"/>
      <c r="O456" s="31"/>
      <c r="P456" s="19"/>
      <c r="Q456" s="19"/>
    </row>
    <row r="457" spans="1:17" ht="46.5" customHeight="1" x14ac:dyDescent="0.7">
      <c r="A457" s="19"/>
      <c r="B457" s="19"/>
      <c r="C457" s="19"/>
      <c r="D457" s="31"/>
      <c r="E457" s="31"/>
      <c r="F457" s="31"/>
      <c r="G457" s="31"/>
      <c r="H457" s="31"/>
      <c r="I457" s="31"/>
      <c r="J457" s="31"/>
      <c r="K457" s="19"/>
      <c r="L457" s="19"/>
      <c r="M457" s="19"/>
      <c r="N457" s="31"/>
      <c r="O457" s="31"/>
      <c r="P457" s="19"/>
      <c r="Q457" s="19"/>
    </row>
    <row r="458" spans="1:17" ht="46.5" customHeight="1" x14ac:dyDescent="0.7">
      <c r="A458" s="19"/>
      <c r="B458" s="19"/>
      <c r="C458" s="19"/>
      <c r="D458" s="31"/>
      <c r="E458" s="31"/>
      <c r="F458" s="31"/>
      <c r="G458" s="31"/>
      <c r="H458" s="31"/>
      <c r="I458" s="31"/>
      <c r="J458" s="31"/>
      <c r="K458" s="19"/>
      <c r="L458" s="19"/>
      <c r="M458" s="19"/>
      <c r="N458" s="31"/>
      <c r="O458" s="31"/>
      <c r="P458" s="19"/>
      <c r="Q458" s="19"/>
    </row>
    <row r="459" spans="1:17" ht="46.5" customHeight="1" x14ac:dyDescent="0.7">
      <c r="A459" s="19"/>
      <c r="B459" s="19"/>
      <c r="C459" s="19"/>
      <c r="D459" s="31"/>
      <c r="E459" s="31"/>
      <c r="F459" s="31"/>
      <c r="G459" s="31"/>
      <c r="H459" s="31"/>
      <c r="I459" s="31"/>
      <c r="J459" s="31"/>
      <c r="K459" s="19"/>
      <c r="L459" s="19"/>
      <c r="M459" s="19"/>
      <c r="N459" s="31"/>
      <c r="O459" s="31"/>
      <c r="P459" s="19"/>
      <c r="Q459" s="19"/>
    </row>
    <row r="460" spans="1:17" ht="46.5" customHeight="1" x14ac:dyDescent="0.7">
      <c r="A460" s="19"/>
      <c r="B460" s="19"/>
      <c r="C460" s="19"/>
      <c r="D460" s="31"/>
      <c r="E460" s="31"/>
      <c r="F460" s="31"/>
      <c r="G460" s="31"/>
      <c r="H460" s="31"/>
      <c r="I460" s="31"/>
      <c r="J460" s="31"/>
      <c r="K460" s="19"/>
      <c r="L460" s="19"/>
      <c r="M460" s="19"/>
      <c r="N460" s="31"/>
      <c r="O460" s="31"/>
      <c r="P460" s="19"/>
      <c r="Q460" s="19"/>
    </row>
    <row r="461" spans="1:17" ht="46.5" customHeight="1" x14ac:dyDescent="0.7">
      <c r="A461" s="19"/>
      <c r="B461" s="19"/>
      <c r="C461" s="19"/>
      <c r="D461" s="31"/>
      <c r="E461" s="31"/>
      <c r="F461" s="31"/>
      <c r="G461" s="31"/>
      <c r="H461" s="31"/>
      <c r="I461" s="31"/>
      <c r="J461" s="31"/>
      <c r="K461" s="19"/>
      <c r="L461" s="19"/>
      <c r="M461" s="19"/>
      <c r="N461" s="31"/>
      <c r="O461" s="31"/>
      <c r="P461" s="19"/>
      <c r="Q461" s="19"/>
    </row>
    <row r="462" spans="1:17" ht="46.5" customHeight="1" x14ac:dyDescent="0.7">
      <c r="A462" s="19"/>
      <c r="B462" s="19"/>
      <c r="C462" s="19"/>
      <c r="D462" s="31"/>
      <c r="E462" s="31"/>
      <c r="F462" s="31"/>
      <c r="G462" s="31"/>
      <c r="H462" s="31"/>
      <c r="I462" s="31"/>
      <c r="J462" s="31"/>
      <c r="K462" s="19"/>
      <c r="L462" s="19"/>
      <c r="M462" s="19"/>
      <c r="N462" s="31"/>
      <c r="O462" s="31"/>
      <c r="P462" s="19"/>
      <c r="Q462" s="19"/>
    </row>
    <row r="463" spans="1:17" ht="46.5" customHeight="1" x14ac:dyDescent="0.7">
      <c r="A463" s="19"/>
      <c r="B463" s="19"/>
      <c r="C463" s="19"/>
      <c r="D463" s="31"/>
      <c r="E463" s="31"/>
      <c r="F463" s="31"/>
      <c r="G463" s="31"/>
      <c r="H463" s="31"/>
      <c r="I463" s="31"/>
      <c r="J463" s="31"/>
      <c r="K463" s="19"/>
      <c r="L463" s="19"/>
      <c r="M463" s="19"/>
      <c r="N463" s="31"/>
      <c r="O463" s="31"/>
      <c r="P463" s="19"/>
      <c r="Q463" s="19"/>
    </row>
    <row r="464" spans="1:17" ht="46.5" customHeight="1" x14ac:dyDescent="0.7">
      <c r="A464" s="19"/>
      <c r="B464" s="19"/>
      <c r="C464" s="19"/>
      <c r="D464" s="31"/>
      <c r="E464" s="31"/>
      <c r="F464" s="31"/>
      <c r="G464" s="31"/>
      <c r="H464" s="31"/>
      <c r="I464" s="31"/>
      <c r="J464" s="31"/>
      <c r="K464" s="19"/>
      <c r="L464" s="19"/>
      <c r="M464" s="19"/>
      <c r="N464" s="31"/>
      <c r="O464" s="31"/>
      <c r="P464" s="19"/>
      <c r="Q464" s="19"/>
    </row>
    <row r="465" spans="1:17" ht="46.5" customHeight="1" x14ac:dyDescent="0.7">
      <c r="A465" s="19"/>
      <c r="B465" s="19"/>
      <c r="C465" s="19"/>
      <c r="D465" s="31"/>
      <c r="E465" s="31"/>
      <c r="F465" s="31"/>
      <c r="G465" s="31"/>
      <c r="H465" s="31"/>
      <c r="I465" s="31"/>
      <c r="J465" s="31"/>
      <c r="K465" s="19"/>
      <c r="L465" s="19"/>
      <c r="M465" s="19"/>
      <c r="N465" s="31"/>
      <c r="O465" s="31"/>
      <c r="P465" s="19"/>
      <c r="Q465" s="19"/>
    </row>
    <row r="466" spans="1:17" ht="46.5" customHeight="1" x14ac:dyDescent="0.7">
      <c r="A466" s="19"/>
      <c r="B466" s="19"/>
      <c r="C466" s="19"/>
      <c r="D466" s="31"/>
      <c r="E466" s="31"/>
      <c r="F466" s="31"/>
      <c r="G466" s="31"/>
      <c r="H466" s="31"/>
      <c r="I466" s="31"/>
      <c r="J466" s="31"/>
      <c r="K466" s="19"/>
      <c r="L466" s="19"/>
      <c r="M466" s="19"/>
      <c r="N466" s="31"/>
      <c r="O466" s="31"/>
      <c r="P466" s="19"/>
      <c r="Q466" s="19"/>
    </row>
    <row r="467" spans="1:17" ht="46.5" customHeight="1" x14ac:dyDescent="0.7">
      <c r="A467" s="19"/>
      <c r="B467" s="19"/>
      <c r="C467" s="19"/>
      <c r="D467" s="31"/>
      <c r="E467" s="31"/>
      <c r="F467" s="31"/>
      <c r="G467" s="31"/>
      <c r="H467" s="31"/>
      <c r="I467" s="31"/>
      <c r="J467" s="31"/>
      <c r="K467" s="19"/>
      <c r="L467" s="19"/>
      <c r="M467" s="19"/>
      <c r="N467" s="31"/>
      <c r="O467" s="31"/>
      <c r="P467" s="19"/>
      <c r="Q467" s="19"/>
    </row>
    <row r="468" spans="1:17" ht="46.5" customHeight="1" x14ac:dyDescent="0.7">
      <c r="A468" s="19"/>
      <c r="B468" s="19"/>
      <c r="C468" s="19"/>
      <c r="D468" s="31"/>
      <c r="E468" s="31"/>
      <c r="F468" s="31"/>
      <c r="G468" s="31"/>
      <c r="H468" s="31"/>
      <c r="I468" s="31"/>
      <c r="J468" s="31"/>
      <c r="K468" s="19"/>
      <c r="L468" s="19"/>
      <c r="M468" s="19"/>
      <c r="N468" s="31"/>
      <c r="O468" s="31"/>
      <c r="P468" s="19"/>
      <c r="Q468" s="19"/>
    </row>
    <row r="469" spans="1:17" ht="46.5" customHeight="1" x14ac:dyDescent="0.7">
      <c r="A469" s="19"/>
      <c r="B469" s="19"/>
      <c r="C469" s="19"/>
      <c r="D469" s="31"/>
      <c r="E469" s="31"/>
      <c r="F469" s="31"/>
      <c r="G469" s="31"/>
      <c r="H469" s="31"/>
      <c r="I469" s="31"/>
      <c r="J469" s="31"/>
      <c r="K469" s="19"/>
      <c r="L469" s="19"/>
      <c r="M469" s="19"/>
      <c r="N469" s="31"/>
      <c r="O469" s="31"/>
      <c r="P469" s="19"/>
      <c r="Q469" s="19"/>
    </row>
    <row r="470" spans="1:17" ht="46.5" customHeight="1" x14ac:dyDescent="0.7">
      <c r="A470" s="19"/>
      <c r="B470" s="19"/>
      <c r="C470" s="19"/>
      <c r="D470" s="31"/>
      <c r="E470" s="31"/>
      <c r="F470" s="31"/>
      <c r="G470" s="31"/>
      <c r="H470" s="31"/>
      <c r="I470" s="31"/>
      <c r="J470" s="31"/>
      <c r="K470" s="19"/>
      <c r="L470" s="19"/>
      <c r="M470" s="19"/>
      <c r="N470" s="31"/>
      <c r="O470" s="31"/>
      <c r="P470" s="19"/>
      <c r="Q470" s="19"/>
    </row>
    <row r="471" spans="1:17" ht="46.5" customHeight="1" x14ac:dyDescent="0.7">
      <c r="A471" s="19"/>
      <c r="B471" s="19"/>
      <c r="C471" s="19"/>
      <c r="D471" s="31"/>
      <c r="E471" s="31"/>
      <c r="F471" s="31"/>
      <c r="G471" s="31"/>
      <c r="H471" s="31"/>
      <c r="I471" s="31"/>
      <c r="J471" s="31"/>
      <c r="K471" s="19"/>
      <c r="L471" s="19"/>
      <c r="M471" s="19"/>
      <c r="N471" s="31"/>
      <c r="O471" s="31"/>
      <c r="P471" s="19"/>
      <c r="Q471" s="19"/>
    </row>
    <row r="472" spans="1:17" ht="46.5" customHeight="1" x14ac:dyDescent="0.7">
      <c r="A472" s="19"/>
      <c r="B472" s="19"/>
      <c r="C472" s="19"/>
      <c r="D472" s="31"/>
      <c r="E472" s="31"/>
      <c r="F472" s="31"/>
      <c r="G472" s="31"/>
      <c r="H472" s="31"/>
      <c r="I472" s="31"/>
      <c r="J472" s="31"/>
      <c r="K472" s="19"/>
      <c r="L472" s="19"/>
      <c r="M472" s="19"/>
      <c r="N472" s="31"/>
      <c r="O472" s="31"/>
      <c r="P472" s="19"/>
      <c r="Q472" s="19"/>
    </row>
    <row r="473" spans="1:17" ht="46.5" customHeight="1" x14ac:dyDescent="0.7">
      <c r="A473" s="19"/>
      <c r="B473" s="19"/>
      <c r="C473" s="19"/>
      <c r="D473" s="31"/>
      <c r="E473" s="31"/>
      <c r="F473" s="31"/>
      <c r="G473" s="31"/>
      <c r="H473" s="31"/>
      <c r="I473" s="31"/>
      <c r="J473" s="31"/>
      <c r="K473" s="19"/>
      <c r="L473" s="19"/>
      <c r="M473" s="19"/>
      <c r="N473" s="31"/>
      <c r="O473" s="31"/>
      <c r="P473" s="19"/>
      <c r="Q473" s="19"/>
    </row>
    <row r="474" spans="1:17" ht="46.5" customHeight="1" x14ac:dyDescent="0.7">
      <c r="A474" s="19"/>
      <c r="B474" s="19"/>
      <c r="C474" s="19"/>
      <c r="D474" s="31"/>
      <c r="E474" s="31"/>
      <c r="F474" s="31"/>
      <c r="G474" s="31"/>
      <c r="H474" s="31"/>
      <c r="I474" s="31"/>
      <c r="J474" s="31"/>
      <c r="K474" s="19"/>
      <c r="L474" s="19"/>
      <c r="M474" s="19"/>
      <c r="N474" s="31"/>
      <c r="O474" s="31"/>
      <c r="P474" s="19"/>
      <c r="Q474" s="19"/>
    </row>
    <row r="475" spans="1:17" ht="46.5" customHeight="1" x14ac:dyDescent="0.7">
      <c r="A475" s="19"/>
      <c r="B475" s="19"/>
      <c r="C475" s="19"/>
      <c r="D475" s="31"/>
      <c r="E475" s="31"/>
      <c r="F475" s="31"/>
      <c r="G475" s="31"/>
      <c r="H475" s="31"/>
      <c r="I475" s="31"/>
      <c r="J475" s="31"/>
      <c r="K475" s="19"/>
      <c r="L475" s="19"/>
      <c r="M475" s="19"/>
      <c r="N475" s="31"/>
      <c r="O475" s="31"/>
      <c r="P475" s="19"/>
      <c r="Q475" s="19"/>
    </row>
    <row r="476" spans="1:17" ht="46.5" customHeight="1" x14ac:dyDescent="0.7">
      <c r="A476" s="19"/>
      <c r="B476" s="19"/>
      <c r="C476" s="19"/>
      <c r="D476" s="31"/>
      <c r="E476" s="31"/>
      <c r="F476" s="31"/>
      <c r="G476" s="31"/>
      <c r="H476" s="31"/>
      <c r="I476" s="31"/>
      <c r="J476" s="31"/>
      <c r="K476" s="19"/>
      <c r="L476" s="19"/>
      <c r="M476" s="19"/>
      <c r="N476" s="31"/>
      <c r="O476" s="31"/>
      <c r="P476" s="19"/>
      <c r="Q476" s="19"/>
    </row>
    <row r="477" spans="1:17" ht="46.5" customHeight="1" x14ac:dyDescent="0.7">
      <c r="A477" s="19"/>
      <c r="B477" s="19"/>
      <c r="C477" s="19"/>
      <c r="D477" s="31"/>
      <c r="E477" s="31"/>
      <c r="F477" s="31"/>
      <c r="G477" s="31"/>
      <c r="H477" s="31"/>
      <c r="I477" s="31"/>
      <c r="J477" s="31"/>
      <c r="K477" s="19"/>
      <c r="L477" s="19"/>
      <c r="M477" s="19"/>
      <c r="N477" s="31"/>
      <c r="O477" s="31"/>
      <c r="P477" s="19"/>
      <c r="Q477" s="19"/>
    </row>
    <row r="478" spans="1:17" ht="46.5" customHeight="1" x14ac:dyDescent="0.7">
      <c r="A478" s="19"/>
      <c r="B478" s="19"/>
      <c r="C478" s="19"/>
      <c r="D478" s="31"/>
      <c r="E478" s="31"/>
      <c r="F478" s="31"/>
      <c r="G478" s="31"/>
      <c r="H478" s="31"/>
      <c r="I478" s="31"/>
      <c r="J478" s="31"/>
      <c r="K478" s="19"/>
      <c r="L478" s="19"/>
      <c r="M478" s="19"/>
      <c r="N478" s="31"/>
      <c r="O478" s="31"/>
      <c r="P478" s="19"/>
      <c r="Q478" s="19"/>
    </row>
    <row r="479" spans="1:17" ht="46.5" customHeight="1" x14ac:dyDescent="0.7">
      <c r="A479" s="19"/>
      <c r="B479" s="19"/>
      <c r="C479" s="19"/>
      <c r="D479" s="31"/>
      <c r="E479" s="31"/>
      <c r="F479" s="31"/>
      <c r="G479" s="31"/>
      <c r="H479" s="31"/>
      <c r="I479" s="31"/>
      <c r="J479" s="31"/>
      <c r="K479" s="19"/>
      <c r="L479" s="19"/>
      <c r="M479" s="19"/>
      <c r="N479" s="31"/>
      <c r="O479" s="31"/>
      <c r="P479" s="19"/>
      <c r="Q479" s="19"/>
    </row>
    <row r="480" spans="1:17" ht="46.5" customHeight="1" x14ac:dyDescent="0.7">
      <c r="A480" s="19"/>
      <c r="B480" s="19"/>
      <c r="C480" s="19"/>
      <c r="D480" s="31"/>
      <c r="E480" s="31"/>
      <c r="F480" s="31"/>
      <c r="G480" s="31"/>
      <c r="H480" s="31"/>
      <c r="I480" s="31"/>
      <c r="J480" s="31"/>
      <c r="K480" s="19"/>
      <c r="L480" s="19"/>
      <c r="M480" s="19"/>
      <c r="N480" s="31"/>
      <c r="O480" s="31"/>
      <c r="P480" s="19"/>
      <c r="Q480" s="19"/>
    </row>
    <row r="481" spans="1:17" ht="46.5" customHeight="1" x14ac:dyDescent="0.7">
      <c r="A481" s="19"/>
      <c r="B481" s="19"/>
      <c r="C481" s="19"/>
      <c r="D481" s="31"/>
      <c r="E481" s="31"/>
      <c r="F481" s="31"/>
      <c r="G481" s="31"/>
      <c r="H481" s="31"/>
      <c r="I481" s="31"/>
      <c r="J481" s="31"/>
      <c r="K481" s="19"/>
      <c r="L481" s="19"/>
      <c r="M481" s="19"/>
      <c r="N481" s="31"/>
      <c r="O481" s="31"/>
      <c r="P481" s="19"/>
      <c r="Q481" s="19"/>
    </row>
    <row r="482" spans="1:17" ht="46.5" customHeight="1" x14ac:dyDescent="0.7">
      <c r="A482" s="19"/>
      <c r="B482" s="19"/>
      <c r="C482" s="19"/>
      <c r="D482" s="31"/>
      <c r="E482" s="31"/>
      <c r="F482" s="31"/>
      <c r="G482" s="31"/>
      <c r="H482" s="31"/>
      <c r="I482" s="31"/>
      <c r="J482" s="31"/>
      <c r="K482" s="19"/>
      <c r="L482" s="19"/>
      <c r="M482" s="19"/>
      <c r="N482" s="31"/>
      <c r="O482" s="31"/>
      <c r="P482" s="19"/>
      <c r="Q482" s="19"/>
    </row>
    <row r="483" spans="1:17" ht="46.5" customHeight="1" x14ac:dyDescent="0.7">
      <c r="A483" s="19"/>
      <c r="B483" s="19"/>
      <c r="C483" s="19"/>
      <c r="D483" s="31"/>
      <c r="E483" s="31"/>
      <c r="F483" s="31"/>
      <c r="G483" s="31"/>
      <c r="H483" s="31"/>
      <c r="I483" s="31"/>
      <c r="J483" s="31"/>
      <c r="K483" s="19"/>
      <c r="L483" s="19"/>
      <c r="M483" s="19"/>
      <c r="N483" s="31"/>
      <c r="O483" s="31"/>
      <c r="P483" s="19"/>
      <c r="Q483" s="19"/>
    </row>
    <row r="484" spans="1:17" ht="46.5" customHeight="1" x14ac:dyDescent="0.7">
      <c r="A484" s="19"/>
      <c r="B484" s="19"/>
      <c r="C484" s="19"/>
      <c r="D484" s="31"/>
      <c r="E484" s="31"/>
      <c r="F484" s="31"/>
      <c r="G484" s="31"/>
      <c r="H484" s="31"/>
      <c r="I484" s="31"/>
      <c r="J484" s="31"/>
      <c r="K484" s="19"/>
      <c r="L484" s="19"/>
      <c r="M484" s="19"/>
      <c r="N484" s="31"/>
      <c r="O484" s="31"/>
      <c r="P484" s="19"/>
      <c r="Q484" s="19"/>
    </row>
    <row r="485" spans="1:17" ht="46.5" customHeight="1" x14ac:dyDescent="0.7">
      <c r="A485" s="19"/>
      <c r="B485" s="19"/>
      <c r="C485" s="19"/>
      <c r="D485" s="31"/>
      <c r="E485" s="31"/>
      <c r="F485" s="31"/>
      <c r="G485" s="31"/>
      <c r="H485" s="31"/>
      <c r="I485" s="31"/>
      <c r="J485" s="31"/>
      <c r="K485" s="19"/>
      <c r="L485" s="19"/>
      <c r="M485" s="19"/>
      <c r="N485" s="31"/>
      <c r="O485" s="31"/>
      <c r="P485" s="19"/>
      <c r="Q485" s="19"/>
    </row>
    <row r="486" spans="1:17" ht="46.5" customHeight="1" x14ac:dyDescent="0.7">
      <c r="A486" s="19"/>
      <c r="B486" s="19"/>
      <c r="C486" s="19"/>
      <c r="D486" s="31"/>
      <c r="E486" s="31"/>
      <c r="F486" s="31"/>
      <c r="G486" s="31"/>
      <c r="H486" s="31"/>
      <c r="I486" s="31"/>
      <c r="J486" s="31"/>
      <c r="K486" s="19"/>
      <c r="L486" s="19"/>
      <c r="M486" s="19"/>
      <c r="N486" s="31"/>
      <c r="O486" s="31"/>
      <c r="P486" s="19"/>
      <c r="Q486" s="19"/>
    </row>
    <row r="487" spans="1:17" ht="46.5" customHeight="1" x14ac:dyDescent="0.7">
      <c r="A487" s="19"/>
      <c r="B487" s="19"/>
      <c r="C487" s="19"/>
      <c r="D487" s="31"/>
      <c r="E487" s="31"/>
      <c r="F487" s="31"/>
      <c r="G487" s="31"/>
      <c r="H487" s="31"/>
      <c r="I487" s="31"/>
      <c r="J487" s="31"/>
      <c r="K487" s="19"/>
      <c r="L487" s="19"/>
      <c r="M487" s="19"/>
      <c r="N487" s="31"/>
      <c r="O487" s="31"/>
      <c r="P487" s="19"/>
      <c r="Q487" s="19"/>
    </row>
    <row r="488" spans="1:17" ht="46.5" customHeight="1" x14ac:dyDescent="0.7">
      <c r="A488" s="19"/>
      <c r="B488" s="19"/>
      <c r="C488" s="19"/>
      <c r="D488" s="31"/>
      <c r="E488" s="31"/>
      <c r="F488" s="31"/>
      <c r="G488" s="31"/>
      <c r="H488" s="31"/>
      <c r="I488" s="31"/>
      <c r="J488" s="31"/>
      <c r="K488" s="19"/>
      <c r="L488" s="19"/>
      <c r="M488" s="19"/>
      <c r="N488" s="31"/>
      <c r="O488" s="31"/>
      <c r="P488" s="19"/>
      <c r="Q488" s="19"/>
    </row>
    <row r="489" spans="1:17" ht="46.5" customHeight="1" x14ac:dyDescent="0.7">
      <c r="A489" s="19"/>
      <c r="B489" s="19"/>
      <c r="C489" s="19"/>
      <c r="D489" s="31"/>
      <c r="E489" s="31"/>
      <c r="F489" s="31"/>
      <c r="G489" s="31"/>
      <c r="H489" s="31"/>
      <c r="I489" s="31"/>
      <c r="J489" s="31"/>
      <c r="K489" s="19"/>
      <c r="L489" s="19"/>
      <c r="M489" s="19"/>
      <c r="N489" s="31"/>
      <c r="O489" s="31"/>
      <c r="P489" s="19"/>
      <c r="Q489" s="19"/>
    </row>
    <row r="490" spans="1:17" ht="46.5" customHeight="1" x14ac:dyDescent="0.7">
      <c r="A490" s="19"/>
      <c r="B490" s="19"/>
      <c r="C490" s="19"/>
      <c r="D490" s="31"/>
      <c r="E490" s="31"/>
      <c r="F490" s="31"/>
      <c r="G490" s="31"/>
      <c r="H490" s="31"/>
      <c r="I490" s="31"/>
      <c r="J490" s="31"/>
      <c r="K490" s="19"/>
      <c r="L490" s="19"/>
      <c r="M490" s="19"/>
      <c r="N490" s="31"/>
      <c r="O490" s="31"/>
      <c r="P490" s="19"/>
      <c r="Q490" s="19"/>
    </row>
    <row r="491" spans="1:17" ht="46.5" customHeight="1" x14ac:dyDescent="0.7">
      <c r="A491" s="19"/>
      <c r="B491" s="19"/>
      <c r="C491" s="19"/>
      <c r="D491" s="31"/>
      <c r="E491" s="31"/>
      <c r="F491" s="31"/>
      <c r="G491" s="31"/>
      <c r="H491" s="31"/>
      <c r="I491" s="31"/>
      <c r="J491" s="31"/>
      <c r="K491" s="19"/>
      <c r="L491" s="19"/>
      <c r="M491" s="19"/>
      <c r="N491" s="31"/>
      <c r="O491" s="31"/>
      <c r="P491" s="19"/>
      <c r="Q491" s="19"/>
    </row>
    <row r="492" spans="1:17" ht="46.5" customHeight="1" x14ac:dyDescent="0.7">
      <c r="A492" s="19"/>
      <c r="B492" s="19"/>
      <c r="C492" s="19"/>
      <c r="D492" s="31"/>
      <c r="E492" s="31"/>
      <c r="F492" s="31"/>
      <c r="G492" s="31"/>
      <c r="H492" s="31"/>
      <c r="I492" s="31"/>
      <c r="J492" s="31"/>
      <c r="K492" s="19"/>
      <c r="L492" s="19"/>
      <c r="M492" s="19"/>
      <c r="N492" s="31"/>
      <c r="O492" s="31"/>
      <c r="P492" s="19"/>
      <c r="Q492" s="19"/>
    </row>
    <row r="493" spans="1:17" ht="46.5" customHeight="1" x14ac:dyDescent="0.7">
      <c r="A493" s="19"/>
      <c r="B493" s="19"/>
      <c r="C493" s="19"/>
      <c r="D493" s="31"/>
      <c r="E493" s="31"/>
      <c r="F493" s="31"/>
      <c r="G493" s="31"/>
      <c r="H493" s="31"/>
      <c r="I493" s="31"/>
      <c r="J493" s="31"/>
      <c r="K493" s="19"/>
      <c r="L493" s="19"/>
      <c r="M493" s="19"/>
      <c r="N493" s="31"/>
      <c r="O493" s="31"/>
      <c r="P493" s="19"/>
      <c r="Q493" s="19"/>
    </row>
    <row r="494" spans="1:17" ht="46.5" customHeight="1" x14ac:dyDescent="0.7">
      <c r="A494" s="19"/>
      <c r="B494" s="19"/>
      <c r="C494" s="19"/>
      <c r="D494" s="31"/>
      <c r="E494" s="31"/>
      <c r="F494" s="31"/>
      <c r="G494" s="31"/>
      <c r="H494" s="31"/>
      <c r="I494" s="31"/>
      <c r="J494" s="31"/>
      <c r="K494" s="19"/>
      <c r="L494" s="19"/>
      <c r="M494" s="19"/>
      <c r="N494" s="31"/>
      <c r="O494" s="31"/>
      <c r="P494" s="19"/>
      <c r="Q494" s="19"/>
    </row>
    <row r="495" spans="1:17" ht="46.5" customHeight="1" x14ac:dyDescent="0.7">
      <c r="A495" s="19"/>
      <c r="B495" s="19"/>
      <c r="C495" s="19"/>
      <c r="D495" s="31"/>
      <c r="E495" s="31"/>
      <c r="F495" s="31"/>
      <c r="G495" s="31"/>
      <c r="H495" s="31"/>
      <c r="I495" s="31"/>
      <c r="J495" s="31"/>
      <c r="K495" s="19"/>
      <c r="L495" s="19"/>
      <c r="M495" s="19"/>
      <c r="N495" s="31"/>
      <c r="O495" s="31"/>
      <c r="P495" s="19"/>
      <c r="Q495" s="19"/>
    </row>
    <row r="496" spans="1:17" ht="46.5" customHeight="1" x14ac:dyDescent="0.7">
      <c r="A496" s="19"/>
      <c r="B496" s="19"/>
      <c r="C496" s="19"/>
      <c r="D496" s="31"/>
      <c r="E496" s="31"/>
      <c r="F496" s="31"/>
      <c r="G496" s="31"/>
      <c r="H496" s="31"/>
      <c r="I496" s="31"/>
      <c r="J496" s="31"/>
      <c r="K496" s="19"/>
      <c r="L496" s="19"/>
      <c r="M496" s="19"/>
      <c r="N496" s="31"/>
      <c r="O496" s="31"/>
      <c r="P496" s="19"/>
      <c r="Q496" s="19"/>
    </row>
    <row r="497" spans="1:17" ht="46.5" customHeight="1" x14ac:dyDescent="0.7">
      <c r="A497" s="19"/>
      <c r="B497" s="19"/>
      <c r="C497" s="19"/>
      <c r="D497" s="31"/>
      <c r="E497" s="31"/>
      <c r="F497" s="31"/>
      <c r="G497" s="31"/>
      <c r="H497" s="31"/>
      <c r="I497" s="31"/>
      <c r="J497" s="31"/>
      <c r="K497" s="19"/>
      <c r="L497" s="19"/>
      <c r="M497" s="19"/>
      <c r="N497" s="31"/>
      <c r="O497" s="31"/>
      <c r="P497" s="19"/>
      <c r="Q497" s="19"/>
    </row>
    <row r="498" spans="1:17" ht="46.5" customHeight="1" x14ac:dyDescent="0.7">
      <c r="A498" s="19"/>
      <c r="B498" s="19"/>
      <c r="C498" s="19"/>
      <c r="D498" s="31"/>
      <c r="E498" s="31"/>
      <c r="F498" s="31"/>
      <c r="G498" s="31"/>
      <c r="H498" s="31"/>
      <c r="I498" s="31"/>
      <c r="J498" s="31"/>
      <c r="K498" s="19"/>
      <c r="L498" s="19"/>
      <c r="M498" s="19"/>
      <c r="N498" s="31"/>
      <c r="O498" s="31"/>
      <c r="P498" s="19"/>
      <c r="Q498" s="19"/>
    </row>
    <row r="499" spans="1:17" ht="46.5" customHeight="1" x14ac:dyDescent="0.7">
      <c r="A499" s="19"/>
      <c r="B499" s="19"/>
      <c r="C499" s="19"/>
      <c r="D499" s="31"/>
      <c r="E499" s="31"/>
      <c r="F499" s="31"/>
      <c r="G499" s="31"/>
      <c r="H499" s="31"/>
      <c r="I499" s="31"/>
      <c r="J499" s="31"/>
      <c r="K499" s="19"/>
      <c r="L499" s="19"/>
      <c r="M499" s="19"/>
      <c r="N499" s="31"/>
      <c r="O499" s="31"/>
      <c r="P499" s="19"/>
      <c r="Q499" s="19"/>
    </row>
    <row r="500" spans="1:17" ht="46.5" customHeight="1" x14ac:dyDescent="0.7">
      <c r="A500" s="19"/>
      <c r="B500" s="19"/>
      <c r="C500" s="19"/>
      <c r="D500" s="31"/>
      <c r="E500" s="31"/>
      <c r="F500" s="31"/>
      <c r="G500" s="31"/>
      <c r="H500" s="31"/>
      <c r="I500" s="31"/>
      <c r="J500" s="31"/>
      <c r="K500" s="19"/>
      <c r="L500" s="19"/>
      <c r="M500" s="19"/>
      <c r="N500" s="31"/>
      <c r="O500" s="31"/>
      <c r="P500" s="19"/>
      <c r="Q500" s="19"/>
    </row>
    <row r="501" spans="1:17" ht="46.5" customHeight="1" x14ac:dyDescent="0.7">
      <c r="A501" s="19"/>
      <c r="B501" s="19"/>
      <c r="C501" s="19"/>
      <c r="D501" s="31"/>
      <c r="E501" s="31"/>
      <c r="F501" s="31"/>
      <c r="G501" s="31"/>
      <c r="H501" s="31"/>
      <c r="I501" s="31"/>
      <c r="J501" s="31"/>
      <c r="K501" s="19"/>
      <c r="L501" s="19"/>
      <c r="M501" s="19"/>
      <c r="N501" s="31"/>
      <c r="O501" s="31"/>
      <c r="P501" s="19"/>
      <c r="Q501" s="19"/>
    </row>
    <row r="502" spans="1:17" ht="46.5" customHeight="1" x14ac:dyDescent="0.7">
      <c r="A502" s="19"/>
      <c r="B502" s="19"/>
      <c r="C502" s="19"/>
      <c r="D502" s="31"/>
      <c r="E502" s="31"/>
      <c r="F502" s="31"/>
      <c r="G502" s="31"/>
      <c r="H502" s="31"/>
      <c r="I502" s="31"/>
      <c r="J502" s="31"/>
      <c r="K502" s="19"/>
      <c r="L502" s="19"/>
      <c r="M502" s="19"/>
      <c r="N502" s="31"/>
      <c r="O502" s="31"/>
      <c r="P502" s="19"/>
      <c r="Q502" s="19"/>
    </row>
    <row r="503" spans="1:17" ht="46.5" customHeight="1" x14ac:dyDescent="0.7">
      <c r="A503" s="19"/>
      <c r="B503" s="19"/>
      <c r="C503" s="19"/>
      <c r="D503" s="31"/>
      <c r="E503" s="31"/>
      <c r="F503" s="31"/>
      <c r="G503" s="31"/>
      <c r="H503" s="31"/>
      <c r="I503" s="31"/>
      <c r="J503" s="31"/>
      <c r="K503" s="19"/>
      <c r="L503" s="19"/>
      <c r="M503" s="19"/>
      <c r="N503" s="31"/>
      <c r="O503" s="31"/>
      <c r="P503" s="19"/>
      <c r="Q503" s="19"/>
    </row>
    <row r="504" spans="1:17" ht="46.5" customHeight="1" x14ac:dyDescent="0.7">
      <c r="A504" s="19"/>
      <c r="B504" s="19"/>
      <c r="C504" s="19"/>
      <c r="D504" s="31"/>
      <c r="E504" s="31"/>
      <c r="F504" s="31"/>
      <c r="G504" s="31"/>
      <c r="H504" s="31"/>
      <c r="I504" s="31"/>
      <c r="J504" s="31"/>
      <c r="K504" s="19"/>
      <c r="L504" s="19"/>
      <c r="M504" s="19"/>
      <c r="N504" s="31"/>
      <c r="O504" s="31"/>
      <c r="P504" s="19"/>
      <c r="Q504" s="19"/>
    </row>
    <row r="505" spans="1:17" ht="46.5" customHeight="1" x14ac:dyDescent="0.7">
      <c r="A505" s="19"/>
      <c r="B505" s="19"/>
      <c r="C505" s="19"/>
      <c r="D505" s="31"/>
      <c r="E505" s="31"/>
      <c r="F505" s="31"/>
      <c r="G505" s="31"/>
      <c r="H505" s="31"/>
      <c r="I505" s="31"/>
      <c r="J505" s="31"/>
      <c r="K505" s="19"/>
      <c r="L505" s="19"/>
      <c r="M505" s="19"/>
      <c r="N505" s="31"/>
      <c r="O505" s="31"/>
      <c r="P505" s="19"/>
      <c r="Q505" s="19"/>
    </row>
    <row r="506" spans="1:17" ht="46.5" customHeight="1" x14ac:dyDescent="0.7">
      <c r="A506" s="19"/>
      <c r="B506" s="19"/>
      <c r="C506" s="19"/>
      <c r="D506" s="31"/>
      <c r="E506" s="31"/>
      <c r="F506" s="31"/>
      <c r="G506" s="31"/>
      <c r="H506" s="31"/>
      <c r="I506" s="31"/>
      <c r="J506" s="31"/>
      <c r="K506" s="19"/>
      <c r="L506" s="19"/>
      <c r="M506" s="19"/>
      <c r="N506" s="31"/>
      <c r="O506" s="31"/>
      <c r="P506" s="19"/>
      <c r="Q506" s="19"/>
    </row>
    <row r="507" spans="1:17" ht="46.5" customHeight="1" x14ac:dyDescent="0.7">
      <c r="A507" s="19"/>
      <c r="B507" s="19"/>
      <c r="C507" s="19"/>
      <c r="D507" s="31"/>
      <c r="E507" s="31"/>
      <c r="F507" s="31"/>
      <c r="G507" s="31"/>
      <c r="H507" s="31"/>
      <c r="I507" s="31"/>
      <c r="J507" s="31"/>
      <c r="K507" s="19"/>
      <c r="L507" s="19"/>
      <c r="M507" s="19"/>
      <c r="N507" s="31"/>
      <c r="O507" s="31"/>
      <c r="P507" s="19"/>
      <c r="Q507" s="19"/>
    </row>
    <row r="508" spans="1:17" ht="46.5" customHeight="1" x14ac:dyDescent="0.7">
      <c r="A508" s="19"/>
      <c r="B508" s="19"/>
      <c r="C508" s="19"/>
      <c r="D508" s="31"/>
      <c r="E508" s="31"/>
      <c r="F508" s="31"/>
      <c r="G508" s="31"/>
      <c r="H508" s="31"/>
      <c r="I508" s="31"/>
      <c r="J508" s="31"/>
      <c r="K508" s="19"/>
      <c r="L508" s="19"/>
      <c r="M508" s="19"/>
      <c r="N508" s="31"/>
      <c r="O508" s="31"/>
      <c r="P508" s="19"/>
      <c r="Q508" s="19"/>
    </row>
    <row r="509" spans="1:17" ht="46.5" customHeight="1" x14ac:dyDescent="0.7">
      <c r="A509" s="19"/>
      <c r="B509" s="19"/>
      <c r="C509" s="19"/>
      <c r="D509" s="31"/>
      <c r="E509" s="31"/>
      <c r="F509" s="31"/>
      <c r="G509" s="31"/>
      <c r="H509" s="31"/>
      <c r="I509" s="31"/>
      <c r="J509" s="31"/>
      <c r="K509" s="19"/>
      <c r="L509" s="19"/>
      <c r="M509" s="19"/>
      <c r="N509" s="31"/>
      <c r="O509" s="31"/>
      <c r="P509" s="19"/>
      <c r="Q509" s="19"/>
    </row>
    <row r="510" spans="1:17" ht="46.5" customHeight="1" x14ac:dyDescent="0.7">
      <c r="A510" s="19"/>
      <c r="B510" s="19"/>
      <c r="C510" s="19"/>
      <c r="D510" s="31"/>
      <c r="E510" s="31"/>
      <c r="F510" s="31"/>
      <c r="G510" s="31"/>
      <c r="H510" s="31"/>
      <c r="I510" s="31"/>
      <c r="J510" s="31"/>
      <c r="K510" s="19"/>
      <c r="L510" s="19"/>
      <c r="M510" s="19"/>
      <c r="N510" s="31"/>
      <c r="O510" s="31"/>
      <c r="P510" s="19"/>
      <c r="Q510" s="19"/>
    </row>
    <row r="511" spans="1:17" ht="46.5" customHeight="1" x14ac:dyDescent="0.7">
      <c r="A511" s="19"/>
      <c r="B511" s="19"/>
      <c r="C511" s="19"/>
      <c r="D511" s="31"/>
      <c r="E511" s="31"/>
      <c r="F511" s="31"/>
      <c r="G511" s="31"/>
      <c r="H511" s="31"/>
      <c r="I511" s="31"/>
      <c r="J511" s="31"/>
      <c r="K511" s="19"/>
      <c r="L511" s="19"/>
      <c r="M511" s="19"/>
      <c r="N511" s="31"/>
      <c r="O511" s="31"/>
      <c r="P511" s="19"/>
      <c r="Q511" s="19"/>
    </row>
    <row r="512" spans="1:17" ht="46.5" customHeight="1" x14ac:dyDescent="0.7">
      <c r="A512" s="19"/>
      <c r="B512" s="19"/>
      <c r="C512" s="19"/>
      <c r="D512" s="31"/>
      <c r="E512" s="31"/>
      <c r="F512" s="31"/>
      <c r="G512" s="31"/>
      <c r="H512" s="31"/>
      <c r="I512" s="31"/>
      <c r="J512" s="31"/>
      <c r="K512" s="19"/>
      <c r="L512" s="19"/>
      <c r="M512" s="19"/>
      <c r="N512" s="31"/>
      <c r="O512" s="31"/>
      <c r="P512" s="19"/>
      <c r="Q512" s="19"/>
    </row>
    <row r="513" spans="1:17" ht="46.5" customHeight="1" x14ac:dyDescent="0.7">
      <c r="A513" s="19"/>
      <c r="B513" s="19"/>
      <c r="C513" s="19"/>
      <c r="D513" s="31"/>
      <c r="E513" s="31"/>
      <c r="F513" s="31"/>
      <c r="G513" s="31"/>
      <c r="H513" s="31"/>
      <c r="I513" s="31"/>
      <c r="J513" s="31"/>
      <c r="K513" s="19"/>
      <c r="L513" s="19"/>
      <c r="M513" s="19"/>
      <c r="N513" s="31"/>
      <c r="O513" s="31"/>
      <c r="P513" s="19"/>
      <c r="Q513" s="19"/>
    </row>
    <row r="514" spans="1:17" ht="46.5" customHeight="1" x14ac:dyDescent="0.7">
      <c r="A514" s="19"/>
      <c r="B514" s="19"/>
      <c r="C514" s="19"/>
      <c r="D514" s="31"/>
      <c r="E514" s="31"/>
      <c r="F514" s="31"/>
      <c r="G514" s="31"/>
      <c r="H514" s="31"/>
      <c r="I514" s="31"/>
      <c r="J514" s="31"/>
      <c r="K514" s="19"/>
      <c r="L514" s="19"/>
      <c r="M514" s="19"/>
      <c r="N514" s="31"/>
      <c r="O514" s="31"/>
      <c r="P514" s="19"/>
      <c r="Q514" s="19"/>
    </row>
    <row r="515" spans="1:17" ht="46.5" customHeight="1" x14ac:dyDescent="0.7">
      <c r="A515" s="19"/>
      <c r="B515" s="19"/>
      <c r="C515" s="19"/>
      <c r="D515" s="31"/>
      <c r="E515" s="31"/>
      <c r="F515" s="31"/>
      <c r="G515" s="31"/>
      <c r="H515" s="31"/>
      <c r="I515" s="31"/>
      <c r="J515" s="31"/>
      <c r="K515" s="19"/>
      <c r="L515" s="19"/>
      <c r="M515" s="19"/>
      <c r="N515" s="31"/>
      <c r="O515" s="31"/>
      <c r="P515" s="19"/>
      <c r="Q515" s="19"/>
    </row>
    <row r="516" spans="1:17" ht="46.5" customHeight="1" x14ac:dyDescent="0.7">
      <c r="A516" s="19"/>
      <c r="B516" s="19"/>
      <c r="C516" s="19"/>
      <c r="D516" s="31"/>
      <c r="E516" s="31"/>
      <c r="F516" s="31"/>
      <c r="G516" s="31"/>
      <c r="H516" s="31"/>
      <c r="I516" s="31"/>
      <c r="J516" s="31"/>
      <c r="K516" s="19"/>
      <c r="L516" s="19"/>
      <c r="M516" s="19"/>
      <c r="N516" s="31"/>
      <c r="O516" s="31"/>
      <c r="P516" s="19"/>
      <c r="Q516" s="19"/>
    </row>
    <row r="517" spans="1:17" ht="46.5" customHeight="1" x14ac:dyDescent="0.7">
      <c r="A517" s="19"/>
      <c r="B517" s="19"/>
      <c r="C517" s="19"/>
      <c r="D517" s="31"/>
      <c r="E517" s="31"/>
      <c r="F517" s="31"/>
      <c r="G517" s="31"/>
      <c r="H517" s="31"/>
      <c r="I517" s="31"/>
      <c r="J517" s="31"/>
      <c r="K517" s="19"/>
      <c r="L517" s="19"/>
      <c r="M517" s="19"/>
      <c r="N517" s="31"/>
      <c r="O517" s="31"/>
      <c r="P517" s="19"/>
      <c r="Q517" s="19"/>
    </row>
    <row r="518" spans="1:17" ht="46.5" customHeight="1" x14ac:dyDescent="0.7">
      <c r="A518" s="19"/>
      <c r="B518" s="19"/>
      <c r="C518" s="19"/>
      <c r="D518" s="31"/>
      <c r="E518" s="31"/>
      <c r="F518" s="31"/>
      <c r="G518" s="31"/>
      <c r="H518" s="31"/>
      <c r="I518" s="31"/>
      <c r="J518" s="31"/>
      <c r="K518" s="19"/>
      <c r="L518" s="19"/>
      <c r="M518" s="19"/>
      <c r="N518" s="31"/>
      <c r="O518" s="31"/>
      <c r="P518" s="19"/>
      <c r="Q518" s="19"/>
    </row>
    <row r="519" spans="1:17" ht="46.5" customHeight="1" x14ac:dyDescent="0.7">
      <c r="A519" s="19"/>
      <c r="B519" s="19"/>
      <c r="C519" s="19"/>
      <c r="D519" s="31"/>
      <c r="E519" s="31"/>
      <c r="F519" s="31"/>
      <c r="G519" s="31"/>
      <c r="H519" s="31"/>
      <c r="I519" s="31"/>
      <c r="J519" s="31"/>
      <c r="K519" s="19"/>
      <c r="L519" s="19"/>
      <c r="M519" s="19"/>
      <c r="N519" s="31"/>
      <c r="O519" s="31"/>
      <c r="P519" s="19"/>
      <c r="Q519" s="19"/>
    </row>
    <row r="520" spans="1:17" ht="46.5" customHeight="1" x14ac:dyDescent="0.7">
      <c r="A520" s="19"/>
      <c r="B520" s="19"/>
      <c r="C520" s="19"/>
      <c r="D520" s="31"/>
      <c r="E520" s="31"/>
      <c r="F520" s="31"/>
      <c r="G520" s="31"/>
      <c r="H520" s="31"/>
      <c r="I520" s="31"/>
      <c r="J520" s="31"/>
      <c r="K520" s="19"/>
      <c r="L520" s="19"/>
      <c r="M520" s="19"/>
      <c r="N520" s="31"/>
      <c r="O520" s="31"/>
      <c r="P520" s="19"/>
      <c r="Q520" s="19"/>
    </row>
    <row r="521" spans="1:17" ht="46.5" customHeight="1" x14ac:dyDescent="0.7">
      <c r="A521" s="19"/>
      <c r="B521" s="19"/>
      <c r="C521" s="19"/>
      <c r="D521" s="31"/>
      <c r="E521" s="31"/>
      <c r="F521" s="31"/>
      <c r="G521" s="31"/>
      <c r="H521" s="31"/>
      <c r="I521" s="31"/>
      <c r="J521" s="31"/>
      <c r="K521" s="19"/>
      <c r="L521" s="19"/>
      <c r="M521" s="19"/>
      <c r="N521" s="31"/>
      <c r="O521" s="31"/>
      <c r="P521" s="19"/>
      <c r="Q521" s="19"/>
    </row>
    <row r="522" spans="1:17" ht="46.5" customHeight="1" x14ac:dyDescent="0.7">
      <c r="A522" s="19"/>
      <c r="B522" s="19"/>
      <c r="C522" s="19"/>
      <c r="D522" s="31"/>
      <c r="E522" s="31"/>
      <c r="F522" s="31"/>
      <c r="G522" s="31"/>
      <c r="H522" s="31"/>
      <c r="I522" s="31"/>
      <c r="J522" s="31"/>
      <c r="K522" s="19"/>
      <c r="L522" s="19"/>
      <c r="M522" s="19"/>
      <c r="N522" s="31"/>
      <c r="O522" s="31"/>
      <c r="P522" s="19"/>
      <c r="Q522" s="19"/>
    </row>
    <row r="523" spans="1:17" ht="46.5" customHeight="1" x14ac:dyDescent="0.7">
      <c r="A523" s="19"/>
      <c r="B523" s="19"/>
      <c r="C523" s="19"/>
      <c r="D523" s="31"/>
      <c r="E523" s="31"/>
      <c r="F523" s="31"/>
      <c r="G523" s="31"/>
      <c r="H523" s="31"/>
      <c r="I523" s="31"/>
      <c r="J523" s="31"/>
      <c r="K523" s="19"/>
      <c r="L523" s="19"/>
      <c r="M523" s="19"/>
      <c r="N523" s="31"/>
      <c r="O523" s="31"/>
      <c r="P523" s="19"/>
      <c r="Q523" s="19"/>
    </row>
    <row r="524" spans="1:17" ht="46.5" customHeight="1" x14ac:dyDescent="0.7">
      <c r="A524" s="19"/>
      <c r="B524" s="19"/>
      <c r="C524" s="19"/>
      <c r="D524" s="31"/>
      <c r="E524" s="31"/>
      <c r="F524" s="31"/>
      <c r="G524" s="31"/>
      <c r="H524" s="31"/>
      <c r="I524" s="31"/>
      <c r="J524" s="31"/>
      <c r="K524" s="19"/>
      <c r="L524" s="19"/>
      <c r="M524" s="19"/>
      <c r="N524" s="31"/>
      <c r="O524" s="31"/>
      <c r="P524" s="19"/>
      <c r="Q524" s="19"/>
    </row>
    <row r="525" spans="1:17" ht="46.5" customHeight="1" x14ac:dyDescent="0.7">
      <c r="A525" s="19"/>
      <c r="B525" s="19"/>
      <c r="C525" s="19"/>
      <c r="D525" s="31"/>
      <c r="E525" s="31"/>
      <c r="F525" s="31"/>
      <c r="G525" s="31"/>
      <c r="H525" s="31"/>
      <c r="I525" s="31"/>
      <c r="J525" s="31"/>
      <c r="K525" s="19"/>
      <c r="L525" s="19"/>
      <c r="M525" s="19"/>
      <c r="N525" s="31"/>
      <c r="O525" s="31"/>
      <c r="P525" s="19"/>
      <c r="Q525" s="19"/>
    </row>
    <row r="526" spans="1:17" ht="46.5" customHeight="1" x14ac:dyDescent="0.7">
      <c r="A526" s="19"/>
      <c r="B526" s="19"/>
      <c r="C526" s="19"/>
      <c r="D526" s="31"/>
      <c r="E526" s="31"/>
      <c r="F526" s="31"/>
      <c r="G526" s="31"/>
      <c r="H526" s="31"/>
      <c r="I526" s="31"/>
      <c r="J526" s="31"/>
      <c r="K526" s="19"/>
      <c r="L526" s="19"/>
      <c r="M526" s="19"/>
      <c r="N526" s="31"/>
      <c r="O526" s="31"/>
      <c r="P526" s="19"/>
      <c r="Q526" s="19"/>
    </row>
    <row r="527" spans="1:17" ht="46.5" customHeight="1" x14ac:dyDescent="0.7">
      <c r="A527" s="19"/>
      <c r="B527" s="19"/>
      <c r="C527" s="19"/>
      <c r="D527" s="31"/>
      <c r="E527" s="31"/>
      <c r="F527" s="31"/>
      <c r="G527" s="31"/>
      <c r="H527" s="31"/>
      <c r="I527" s="31"/>
      <c r="J527" s="31"/>
      <c r="K527" s="19"/>
      <c r="L527" s="19"/>
      <c r="M527" s="19"/>
      <c r="N527" s="31"/>
      <c r="O527" s="31"/>
      <c r="P527" s="19"/>
      <c r="Q527" s="19"/>
    </row>
    <row r="528" spans="1:17" ht="46.5" customHeight="1" x14ac:dyDescent="0.7">
      <c r="A528" s="19"/>
      <c r="B528" s="19"/>
      <c r="C528" s="19"/>
      <c r="D528" s="31"/>
      <c r="E528" s="31"/>
      <c r="F528" s="31"/>
      <c r="G528" s="31"/>
      <c r="H528" s="31"/>
      <c r="I528" s="31"/>
      <c r="J528" s="31"/>
      <c r="K528" s="19"/>
      <c r="L528" s="19"/>
      <c r="M528" s="19"/>
      <c r="N528" s="31"/>
      <c r="O528" s="31"/>
      <c r="P528" s="19"/>
      <c r="Q528" s="19"/>
    </row>
    <row r="529" spans="1:17" ht="46.5" customHeight="1" x14ac:dyDescent="0.7">
      <c r="A529" s="19"/>
      <c r="B529" s="19"/>
      <c r="C529" s="19"/>
      <c r="D529" s="31"/>
      <c r="E529" s="31"/>
      <c r="F529" s="31"/>
      <c r="G529" s="31"/>
      <c r="H529" s="31"/>
      <c r="I529" s="31"/>
      <c r="J529" s="31"/>
      <c r="K529" s="19"/>
      <c r="L529" s="19"/>
      <c r="M529" s="19"/>
      <c r="N529" s="31"/>
      <c r="O529" s="31"/>
      <c r="P529" s="19"/>
      <c r="Q529" s="19"/>
    </row>
    <row r="530" spans="1:17" ht="46.5" customHeight="1" x14ac:dyDescent="0.7">
      <c r="A530" s="19"/>
      <c r="B530" s="19"/>
      <c r="C530" s="19"/>
      <c r="D530" s="31"/>
      <c r="E530" s="31"/>
      <c r="F530" s="31"/>
      <c r="G530" s="31"/>
      <c r="H530" s="31"/>
      <c r="I530" s="31"/>
      <c r="J530" s="31"/>
      <c r="K530" s="19"/>
      <c r="L530" s="19"/>
      <c r="M530" s="19"/>
      <c r="N530" s="31"/>
      <c r="O530" s="31"/>
      <c r="P530" s="19"/>
      <c r="Q530" s="19"/>
    </row>
    <row r="531" spans="1:17" ht="46.5" customHeight="1" x14ac:dyDescent="0.7">
      <c r="A531" s="19"/>
      <c r="B531" s="19"/>
      <c r="C531" s="19"/>
      <c r="D531" s="31"/>
      <c r="E531" s="31"/>
      <c r="F531" s="31"/>
      <c r="G531" s="31"/>
      <c r="H531" s="31"/>
      <c r="I531" s="31"/>
      <c r="J531" s="31"/>
      <c r="K531" s="19"/>
      <c r="L531" s="19"/>
      <c r="M531" s="19"/>
      <c r="N531" s="31"/>
      <c r="O531" s="31"/>
      <c r="P531" s="19"/>
      <c r="Q531" s="19"/>
    </row>
    <row r="532" spans="1:17" ht="46.5" customHeight="1" x14ac:dyDescent="0.7">
      <c r="A532" s="19"/>
      <c r="B532" s="19"/>
      <c r="C532" s="19"/>
      <c r="D532" s="31"/>
      <c r="E532" s="31"/>
      <c r="F532" s="31"/>
      <c r="G532" s="31"/>
      <c r="H532" s="31"/>
      <c r="I532" s="31"/>
      <c r="J532" s="31"/>
      <c r="K532" s="19"/>
      <c r="L532" s="19"/>
      <c r="M532" s="19"/>
      <c r="N532" s="31"/>
      <c r="O532" s="31"/>
      <c r="P532" s="19"/>
      <c r="Q532" s="19"/>
    </row>
    <row r="533" spans="1:17" ht="46.5" customHeight="1" x14ac:dyDescent="0.7">
      <c r="A533" s="19"/>
      <c r="B533" s="19"/>
      <c r="C533" s="19"/>
      <c r="D533" s="31"/>
      <c r="E533" s="31"/>
      <c r="F533" s="31"/>
      <c r="G533" s="31"/>
      <c r="H533" s="31"/>
      <c r="I533" s="31"/>
      <c r="J533" s="31"/>
      <c r="K533" s="19"/>
      <c r="L533" s="19"/>
      <c r="M533" s="19"/>
      <c r="N533" s="31"/>
      <c r="O533" s="31"/>
      <c r="P533" s="19"/>
      <c r="Q533" s="19"/>
    </row>
    <row r="534" spans="1:17" ht="46.5" customHeight="1" x14ac:dyDescent="0.7">
      <c r="A534" s="19"/>
      <c r="B534" s="19"/>
      <c r="C534" s="19"/>
      <c r="D534" s="31"/>
      <c r="E534" s="31"/>
      <c r="F534" s="31"/>
      <c r="G534" s="31"/>
      <c r="H534" s="31"/>
      <c r="I534" s="31"/>
      <c r="J534" s="31"/>
      <c r="K534" s="19"/>
      <c r="L534" s="19"/>
      <c r="M534" s="19"/>
      <c r="N534" s="31"/>
      <c r="O534" s="31"/>
      <c r="P534" s="19"/>
      <c r="Q534" s="19"/>
    </row>
    <row r="535" spans="1:17" ht="46.5" customHeight="1" x14ac:dyDescent="0.7">
      <c r="A535" s="19"/>
      <c r="B535" s="19"/>
      <c r="C535" s="19"/>
      <c r="D535" s="31"/>
      <c r="E535" s="31"/>
      <c r="F535" s="31"/>
      <c r="G535" s="31"/>
      <c r="H535" s="31"/>
      <c r="I535" s="31"/>
      <c r="J535" s="31"/>
      <c r="K535" s="19"/>
      <c r="L535" s="19"/>
      <c r="M535" s="19"/>
      <c r="N535" s="31"/>
      <c r="O535" s="31"/>
      <c r="P535" s="19"/>
      <c r="Q535" s="19"/>
    </row>
    <row r="536" spans="1:17" ht="46.5" customHeight="1" x14ac:dyDescent="0.7">
      <c r="A536" s="19"/>
      <c r="B536" s="19"/>
      <c r="C536" s="19"/>
      <c r="D536" s="31"/>
      <c r="E536" s="31"/>
      <c r="F536" s="31"/>
      <c r="G536" s="31"/>
      <c r="H536" s="31"/>
      <c r="I536" s="31"/>
      <c r="J536" s="31"/>
      <c r="K536" s="19"/>
      <c r="L536" s="19"/>
      <c r="M536" s="19"/>
      <c r="N536" s="31"/>
      <c r="O536" s="31"/>
      <c r="P536" s="19"/>
      <c r="Q536" s="19"/>
    </row>
    <row r="537" spans="1:17" ht="46.5" customHeight="1" x14ac:dyDescent="0.7">
      <c r="A537" s="19"/>
      <c r="B537" s="19"/>
      <c r="C537" s="19"/>
      <c r="D537" s="31"/>
      <c r="E537" s="31"/>
      <c r="F537" s="31"/>
      <c r="G537" s="31"/>
      <c r="H537" s="31"/>
      <c r="I537" s="31"/>
      <c r="J537" s="31"/>
      <c r="K537" s="19"/>
      <c r="L537" s="19"/>
      <c r="M537" s="19"/>
      <c r="N537" s="31"/>
      <c r="O537" s="31"/>
      <c r="P537" s="19"/>
      <c r="Q537" s="19"/>
    </row>
    <row r="538" spans="1:17" ht="46.5" customHeight="1" x14ac:dyDescent="0.7">
      <c r="A538" s="19"/>
      <c r="B538" s="19"/>
      <c r="C538" s="19"/>
      <c r="D538" s="31"/>
      <c r="E538" s="31"/>
      <c r="F538" s="31"/>
      <c r="G538" s="31"/>
      <c r="H538" s="31"/>
      <c r="I538" s="31"/>
      <c r="J538" s="31"/>
      <c r="K538" s="19"/>
      <c r="L538" s="19"/>
      <c r="M538" s="19"/>
      <c r="N538" s="31"/>
      <c r="O538" s="31"/>
      <c r="P538" s="19"/>
      <c r="Q538" s="19"/>
    </row>
    <row r="539" spans="1:17" ht="46.5" customHeight="1" x14ac:dyDescent="0.7">
      <c r="A539" s="19"/>
      <c r="B539" s="19"/>
      <c r="C539" s="19"/>
      <c r="D539" s="31"/>
      <c r="E539" s="31"/>
      <c r="F539" s="31"/>
      <c r="G539" s="31"/>
      <c r="H539" s="31"/>
      <c r="I539" s="31"/>
      <c r="J539" s="31"/>
      <c r="K539" s="19"/>
      <c r="L539" s="19"/>
      <c r="M539" s="19"/>
      <c r="N539" s="31"/>
      <c r="O539" s="31"/>
      <c r="P539" s="19"/>
      <c r="Q539" s="19"/>
    </row>
    <row r="540" spans="1:17" ht="46.5" customHeight="1" x14ac:dyDescent="0.7">
      <c r="A540" s="19"/>
      <c r="B540" s="19"/>
      <c r="C540" s="19"/>
      <c r="D540" s="31"/>
      <c r="E540" s="31"/>
      <c r="F540" s="31"/>
      <c r="G540" s="31"/>
      <c r="H540" s="31"/>
      <c r="I540" s="31"/>
      <c r="J540" s="31"/>
      <c r="K540" s="19"/>
      <c r="L540" s="19"/>
      <c r="M540" s="19"/>
      <c r="N540" s="31"/>
      <c r="O540" s="31"/>
      <c r="P540" s="19"/>
      <c r="Q540" s="19"/>
    </row>
    <row r="541" spans="1:17" ht="46.5" customHeight="1" x14ac:dyDescent="0.7">
      <c r="A541" s="19"/>
      <c r="B541" s="19"/>
      <c r="C541" s="19"/>
      <c r="D541" s="31"/>
      <c r="E541" s="31"/>
      <c r="F541" s="31"/>
      <c r="G541" s="31"/>
      <c r="H541" s="31"/>
      <c r="I541" s="31"/>
      <c r="J541" s="31"/>
      <c r="K541" s="19"/>
      <c r="L541" s="19"/>
      <c r="M541" s="19"/>
      <c r="N541" s="31"/>
      <c r="O541" s="31"/>
      <c r="P541" s="19"/>
      <c r="Q541" s="19"/>
    </row>
    <row r="542" spans="1:17" ht="46.5" customHeight="1" x14ac:dyDescent="0.7">
      <c r="A542" s="19"/>
      <c r="B542" s="19"/>
      <c r="C542" s="19"/>
      <c r="D542" s="31"/>
      <c r="E542" s="31"/>
      <c r="F542" s="31"/>
      <c r="G542" s="31"/>
      <c r="H542" s="31"/>
      <c r="I542" s="31"/>
      <c r="J542" s="31"/>
      <c r="K542" s="19"/>
      <c r="L542" s="19"/>
      <c r="M542" s="19"/>
      <c r="N542" s="31"/>
      <c r="O542" s="31"/>
      <c r="P542" s="19"/>
      <c r="Q542" s="19"/>
    </row>
    <row r="543" spans="1:17" ht="46.5" customHeight="1" x14ac:dyDescent="0.7">
      <c r="A543" s="19"/>
      <c r="B543" s="19"/>
      <c r="C543" s="19"/>
      <c r="D543" s="31"/>
      <c r="E543" s="31"/>
      <c r="F543" s="31"/>
      <c r="G543" s="31"/>
      <c r="H543" s="31"/>
      <c r="I543" s="31"/>
      <c r="J543" s="31"/>
      <c r="K543" s="19"/>
      <c r="L543" s="19"/>
      <c r="M543" s="19"/>
      <c r="N543" s="31"/>
      <c r="O543" s="31"/>
      <c r="P543" s="19"/>
      <c r="Q543" s="19"/>
    </row>
    <row r="544" spans="1:17" ht="46.5" customHeight="1" x14ac:dyDescent="0.7">
      <c r="A544" s="19"/>
      <c r="B544" s="19"/>
      <c r="C544" s="19"/>
      <c r="D544" s="31"/>
      <c r="E544" s="31"/>
      <c r="F544" s="31"/>
      <c r="G544" s="31"/>
      <c r="H544" s="31"/>
      <c r="I544" s="31"/>
      <c r="J544" s="31"/>
      <c r="K544" s="19"/>
      <c r="L544" s="19"/>
      <c r="M544" s="19"/>
      <c r="N544" s="31"/>
      <c r="O544" s="31"/>
      <c r="P544" s="19"/>
      <c r="Q544" s="19"/>
    </row>
    <row r="545" spans="1:17" ht="46.5" customHeight="1" x14ac:dyDescent="0.7">
      <c r="A545" s="19"/>
      <c r="B545" s="19"/>
      <c r="C545" s="19"/>
      <c r="D545" s="31"/>
      <c r="E545" s="31"/>
      <c r="F545" s="31"/>
      <c r="G545" s="31"/>
      <c r="H545" s="31"/>
      <c r="I545" s="31"/>
      <c r="J545" s="31"/>
      <c r="K545" s="19"/>
      <c r="L545" s="19"/>
      <c r="M545" s="19"/>
      <c r="N545" s="31"/>
      <c r="O545" s="31"/>
      <c r="P545" s="19"/>
      <c r="Q545" s="19"/>
    </row>
    <row r="546" spans="1:17" ht="46.5" customHeight="1" x14ac:dyDescent="0.7">
      <c r="A546" s="19"/>
      <c r="B546" s="19"/>
      <c r="C546" s="19"/>
      <c r="D546" s="31"/>
      <c r="E546" s="31"/>
      <c r="F546" s="31"/>
      <c r="G546" s="31"/>
      <c r="H546" s="31"/>
      <c r="I546" s="31"/>
      <c r="J546" s="31"/>
      <c r="K546" s="19"/>
      <c r="L546" s="19"/>
      <c r="M546" s="19"/>
      <c r="N546" s="31"/>
      <c r="O546" s="31"/>
      <c r="P546" s="19"/>
      <c r="Q546" s="19"/>
    </row>
    <row r="547" spans="1:17" ht="46.5" customHeight="1" x14ac:dyDescent="0.7">
      <c r="A547" s="19"/>
      <c r="B547" s="19"/>
      <c r="C547" s="19"/>
      <c r="D547" s="31"/>
      <c r="E547" s="31"/>
      <c r="F547" s="31"/>
      <c r="G547" s="31"/>
      <c r="H547" s="31"/>
      <c r="I547" s="31"/>
      <c r="J547" s="31"/>
      <c r="K547" s="19"/>
      <c r="L547" s="19"/>
      <c r="M547" s="19"/>
      <c r="N547" s="31"/>
      <c r="O547" s="31"/>
      <c r="P547" s="19"/>
      <c r="Q547" s="19"/>
    </row>
    <row r="548" spans="1:17" ht="46.5" customHeight="1" x14ac:dyDescent="0.7">
      <c r="A548" s="19"/>
      <c r="B548" s="19"/>
      <c r="C548" s="19"/>
      <c r="D548" s="31"/>
      <c r="E548" s="31"/>
      <c r="F548" s="31"/>
      <c r="G548" s="31"/>
      <c r="H548" s="31"/>
      <c r="I548" s="31"/>
      <c r="J548" s="31"/>
      <c r="K548" s="19"/>
      <c r="L548" s="19"/>
      <c r="M548" s="19"/>
      <c r="N548" s="31"/>
      <c r="O548" s="31"/>
      <c r="P548" s="19"/>
      <c r="Q548" s="19"/>
    </row>
    <row r="549" spans="1:17" ht="46.5" customHeight="1" x14ac:dyDescent="0.7">
      <c r="A549" s="19"/>
      <c r="B549" s="19"/>
      <c r="C549" s="19"/>
      <c r="D549" s="31"/>
      <c r="E549" s="31"/>
      <c r="F549" s="31"/>
      <c r="G549" s="31"/>
      <c r="H549" s="31"/>
      <c r="I549" s="31"/>
      <c r="J549" s="31"/>
      <c r="K549" s="19"/>
      <c r="L549" s="19"/>
      <c r="M549" s="19"/>
      <c r="N549" s="31"/>
      <c r="O549" s="31"/>
      <c r="P549" s="19"/>
      <c r="Q549" s="19"/>
    </row>
    <row r="550" spans="1:17" ht="46.5" customHeight="1" x14ac:dyDescent="0.7">
      <c r="A550" s="19"/>
      <c r="B550" s="19"/>
      <c r="C550" s="19"/>
      <c r="D550" s="31"/>
      <c r="E550" s="31"/>
      <c r="F550" s="31"/>
      <c r="G550" s="31"/>
      <c r="H550" s="31"/>
      <c r="I550" s="31"/>
      <c r="J550" s="31"/>
      <c r="K550" s="19"/>
      <c r="L550" s="19"/>
      <c r="M550" s="19"/>
      <c r="N550" s="31"/>
      <c r="O550" s="31"/>
      <c r="P550" s="19"/>
      <c r="Q550" s="19"/>
    </row>
    <row r="551" spans="1:17" ht="46.5" customHeight="1" x14ac:dyDescent="0.7">
      <c r="A551" s="19"/>
      <c r="B551" s="19"/>
      <c r="C551" s="19"/>
      <c r="D551" s="31"/>
      <c r="E551" s="31"/>
      <c r="F551" s="31"/>
      <c r="G551" s="31"/>
      <c r="H551" s="31"/>
      <c r="I551" s="31"/>
      <c r="J551" s="31"/>
      <c r="K551" s="19"/>
      <c r="L551" s="19"/>
      <c r="M551" s="19"/>
      <c r="N551" s="31"/>
      <c r="O551" s="31"/>
      <c r="P551" s="19"/>
      <c r="Q551" s="19"/>
    </row>
    <row r="552" spans="1:17" ht="46.5" customHeight="1" x14ac:dyDescent="0.7">
      <c r="A552" s="19"/>
      <c r="B552" s="19"/>
      <c r="C552" s="19"/>
      <c r="D552" s="31"/>
      <c r="E552" s="31"/>
      <c r="F552" s="31"/>
      <c r="G552" s="31"/>
      <c r="H552" s="31"/>
      <c r="I552" s="31"/>
      <c r="J552" s="31"/>
      <c r="K552" s="19"/>
      <c r="L552" s="19"/>
      <c r="M552" s="19"/>
      <c r="N552" s="31"/>
      <c r="O552" s="31"/>
      <c r="P552" s="19"/>
      <c r="Q552" s="19"/>
    </row>
    <row r="553" spans="1:17" ht="46.5" customHeight="1" x14ac:dyDescent="0.7">
      <c r="A553" s="19"/>
      <c r="B553" s="19"/>
      <c r="C553" s="19"/>
      <c r="D553" s="31"/>
      <c r="E553" s="31"/>
      <c r="F553" s="31"/>
      <c r="G553" s="31"/>
      <c r="H553" s="31"/>
      <c r="I553" s="31"/>
      <c r="J553" s="31"/>
      <c r="K553" s="19"/>
      <c r="L553" s="19"/>
      <c r="M553" s="19"/>
      <c r="N553" s="31"/>
      <c r="O553" s="31"/>
      <c r="P553" s="19"/>
      <c r="Q553" s="19"/>
    </row>
    <row r="554" spans="1:17" ht="46.5" customHeight="1" x14ac:dyDescent="0.7">
      <c r="A554" s="19"/>
      <c r="B554" s="19"/>
      <c r="C554" s="19"/>
      <c r="D554" s="31"/>
      <c r="E554" s="31"/>
      <c r="F554" s="31"/>
      <c r="G554" s="31"/>
      <c r="H554" s="31"/>
      <c r="I554" s="31"/>
      <c r="J554" s="31"/>
      <c r="K554" s="19"/>
      <c r="L554" s="19"/>
      <c r="M554" s="19"/>
      <c r="N554" s="31"/>
      <c r="O554" s="31"/>
      <c r="P554" s="19"/>
      <c r="Q554" s="19"/>
    </row>
    <row r="555" spans="1:17" ht="46.5" customHeight="1" x14ac:dyDescent="0.7">
      <c r="A555" s="19"/>
      <c r="B555" s="19"/>
      <c r="C555" s="19"/>
      <c r="D555" s="31"/>
      <c r="E555" s="31"/>
      <c r="F555" s="31"/>
      <c r="G555" s="31"/>
      <c r="H555" s="31"/>
      <c r="I555" s="31"/>
      <c r="J555" s="31"/>
      <c r="K555" s="19"/>
      <c r="L555" s="19"/>
      <c r="M555" s="19"/>
      <c r="N555" s="31"/>
      <c r="O555" s="31"/>
      <c r="P555" s="19"/>
      <c r="Q555" s="19"/>
    </row>
    <row r="556" spans="1:17" ht="46.5" customHeight="1" x14ac:dyDescent="0.7">
      <c r="A556" s="19"/>
      <c r="B556" s="19"/>
      <c r="C556" s="19"/>
      <c r="D556" s="31"/>
      <c r="E556" s="31"/>
      <c r="F556" s="31"/>
      <c r="G556" s="31"/>
      <c r="H556" s="31"/>
      <c r="I556" s="31"/>
      <c r="J556" s="31"/>
      <c r="K556" s="19"/>
      <c r="L556" s="19"/>
      <c r="M556" s="19"/>
      <c r="N556" s="31"/>
      <c r="O556" s="31"/>
      <c r="P556" s="19"/>
      <c r="Q556" s="19"/>
    </row>
    <row r="557" spans="1:17" ht="46.5" customHeight="1" x14ac:dyDescent="0.7">
      <c r="A557" s="19"/>
      <c r="B557" s="19"/>
      <c r="C557" s="19"/>
      <c r="D557" s="31"/>
      <c r="E557" s="31"/>
      <c r="F557" s="31"/>
      <c r="G557" s="31"/>
      <c r="H557" s="31"/>
      <c r="I557" s="31"/>
      <c r="J557" s="31"/>
      <c r="K557" s="19"/>
      <c r="L557" s="19"/>
      <c r="M557" s="19"/>
      <c r="N557" s="31"/>
      <c r="O557" s="31"/>
      <c r="P557" s="19"/>
      <c r="Q557" s="19"/>
    </row>
    <row r="558" spans="1:17" ht="46.5" customHeight="1" x14ac:dyDescent="0.7">
      <c r="A558" s="19"/>
      <c r="B558" s="19"/>
      <c r="C558" s="19"/>
      <c r="D558" s="31"/>
      <c r="E558" s="31"/>
      <c r="F558" s="31"/>
      <c r="G558" s="31"/>
      <c r="H558" s="31"/>
      <c r="I558" s="31"/>
      <c r="J558" s="31"/>
      <c r="K558" s="19"/>
      <c r="L558" s="19"/>
      <c r="M558" s="19"/>
      <c r="N558" s="31"/>
      <c r="O558" s="31"/>
      <c r="P558" s="19"/>
      <c r="Q558" s="19"/>
    </row>
    <row r="559" spans="1:17" ht="46.5" customHeight="1" x14ac:dyDescent="0.7">
      <c r="A559" s="19"/>
      <c r="B559" s="19"/>
      <c r="C559" s="19"/>
      <c r="D559" s="31"/>
      <c r="E559" s="31"/>
      <c r="F559" s="31"/>
      <c r="G559" s="31"/>
      <c r="H559" s="31"/>
      <c r="I559" s="31"/>
      <c r="J559" s="31"/>
      <c r="K559" s="19"/>
      <c r="L559" s="19"/>
      <c r="M559" s="19"/>
      <c r="N559" s="31"/>
      <c r="O559" s="31"/>
      <c r="P559" s="19"/>
      <c r="Q559" s="19"/>
    </row>
    <row r="560" spans="1:17" ht="46.5" customHeight="1" x14ac:dyDescent="0.7">
      <c r="A560" s="19"/>
      <c r="B560" s="19"/>
      <c r="C560" s="19"/>
      <c r="D560" s="31"/>
      <c r="E560" s="31"/>
      <c r="F560" s="31"/>
      <c r="G560" s="31"/>
      <c r="H560" s="31"/>
      <c r="I560" s="31"/>
      <c r="J560" s="31"/>
      <c r="K560" s="19"/>
      <c r="L560" s="19"/>
      <c r="M560" s="19"/>
      <c r="N560" s="31"/>
      <c r="O560" s="31"/>
      <c r="P560" s="19"/>
      <c r="Q560" s="19"/>
    </row>
    <row r="561" spans="1:17" ht="46.5" customHeight="1" x14ac:dyDescent="0.7">
      <c r="A561" s="19"/>
      <c r="B561" s="19"/>
      <c r="C561" s="19"/>
      <c r="D561" s="31"/>
      <c r="E561" s="31"/>
      <c r="F561" s="31"/>
      <c r="G561" s="31"/>
      <c r="H561" s="31"/>
      <c r="I561" s="31"/>
      <c r="J561" s="31"/>
      <c r="K561" s="19"/>
      <c r="L561" s="19"/>
      <c r="M561" s="19"/>
      <c r="N561" s="31"/>
      <c r="O561" s="31"/>
      <c r="P561" s="19"/>
      <c r="Q561" s="19"/>
    </row>
    <row r="562" spans="1:17" ht="46.5" customHeight="1" x14ac:dyDescent="0.7">
      <c r="A562" s="19"/>
      <c r="B562" s="19"/>
      <c r="C562" s="19"/>
      <c r="D562" s="31"/>
      <c r="E562" s="31"/>
      <c r="F562" s="31"/>
      <c r="G562" s="31"/>
      <c r="H562" s="31"/>
      <c r="I562" s="31"/>
      <c r="J562" s="31"/>
      <c r="K562" s="19"/>
      <c r="L562" s="19"/>
      <c r="M562" s="19"/>
      <c r="N562" s="31"/>
      <c r="O562" s="31"/>
      <c r="P562" s="19"/>
      <c r="Q562" s="19"/>
    </row>
    <row r="563" spans="1:17" ht="46.5" customHeight="1" x14ac:dyDescent="0.7">
      <c r="A563" s="19"/>
      <c r="B563" s="19"/>
      <c r="C563" s="19"/>
      <c r="D563" s="31"/>
      <c r="E563" s="31"/>
      <c r="F563" s="31"/>
      <c r="G563" s="31"/>
      <c r="H563" s="31"/>
      <c r="I563" s="31"/>
      <c r="J563" s="31"/>
      <c r="K563" s="19"/>
      <c r="L563" s="19"/>
      <c r="M563" s="19"/>
      <c r="N563" s="31"/>
      <c r="O563" s="31"/>
      <c r="P563" s="19"/>
      <c r="Q563" s="19"/>
    </row>
    <row r="564" spans="1:17" ht="46.5" customHeight="1" x14ac:dyDescent="0.7">
      <c r="A564" s="19"/>
      <c r="B564" s="19"/>
      <c r="C564" s="19"/>
      <c r="D564" s="31"/>
      <c r="E564" s="31"/>
      <c r="F564" s="31"/>
      <c r="G564" s="31"/>
      <c r="H564" s="31"/>
      <c r="I564" s="31"/>
      <c r="J564" s="31"/>
      <c r="K564" s="19"/>
      <c r="L564" s="19"/>
      <c r="M564" s="19"/>
      <c r="N564" s="31"/>
      <c r="O564" s="31"/>
      <c r="P564" s="19"/>
      <c r="Q564" s="19"/>
    </row>
    <row r="565" spans="1:17" ht="46.5" customHeight="1" x14ac:dyDescent="0.7">
      <c r="A565" s="19"/>
      <c r="B565" s="19"/>
      <c r="C565" s="19"/>
      <c r="D565" s="31"/>
      <c r="E565" s="31"/>
      <c r="F565" s="31"/>
      <c r="G565" s="31"/>
      <c r="H565" s="31"/>
      <c r="I565" s="31"/>
      <c r="J565" s="31"/>
      <c r="K565" s="19"/>
      <c r="L565" s="19"/>
      <c r="M565" s="19"/>
      <c r="N565" s="31"/>
      <c r="O565" s="31"/>
      <c r="P565" s="19"/>
      <c r="Q565" s="19"/>
    </row>
    <row r="566" spans="1:17" ht="46.5" customHeight="1" x14ac:dyDescent="0.7">
      <c r="A566" s="19"/>
      <c r="B566" s="19"/>
      <c r="C566" s="19"/>
      <c r="D566" s="31"/>
      <c r="E566" s="31"/>
      <c r="F566" s="31"/>
      <c r="G566" s="31"/>
      <c r="H566" s="31"/>
      <c r="I566" s="31"/>
      <c r="J566" s="31"/>
      <c r="K566" s="19"/>
      <c r="L566" s="19"/>
      <c r="M566" s="19"/>
      <c r="N566" s="31"/>
      <c r="O566" s="31"/>
      <c r="P566" s="19"/>
      <c r="Q566" s="19"/>
    </row>
    <row r="567" spans="1:17" ht="46.5" customHeight="1" x14ac:dyDescent="0.7">
      <c r="A567" s="19"/>
      <c r="B567" s="19"/>
      <c r="C567" s="19"/>
      <c r="D567" s="31"/>
      <c r="E567" s="31"/>
      <c r="F567" s="31"/>
      <c r="G567" s="31"/>
      <c r="H567" s="31"/>
      <c r="I567" s="31"/>
      <c r="J567" s="31"/>
      <c r="K567" s="19"/>
      <c r="L567" s="19"/>
      <c r="M567" s="19"/>
      <c r="N567" s="31"/>
      <c r="O567" s="31"/>
      <c r="P567" s="19"/>
      <c r="Q567" s="19"/>
    </row>
    <row r="568" spans="1:17" ht="46.5" customHeight="1" x14ac:dyDescent="0.7">
      <c r="A568" s="19"/>
      <c r="B568" s="19"/>
      <c r="C568" s="19"/>
      <c r="D568" s="31"/>
      <c r="E568" s="31"/>
      <c r="F568" s="31"/>
      <c r="G568" s="31"/>
      <c r="H568" s="31"/>
      <c r="I568" s="31"/>
      <c r="J568" s="31"/>
      <c r="K568" s="19"/>
      <c r="L568" s="19"/>
      <c r="M568" s="19"/>
      <c r="N568" s="31"/>
      <c r="O568" s="31"/>
      <c r="P568" s="19"/>
      <c r="Q568" s="19"/>
    </row>
    <row r="569" spans="1:17" ht="46.5" customHeight="1" x14ac:dyDescent="0.7">
      <c r="A569" s="19"/>
      <c r="B569" s="19"/>
      <c r="C569" s="19"/>
      <c r="D569" s="31"/>
      <c r="E569" s="31"/>
      <c r="F569" s="31"/>
      <c r="G569" s="31"/>
      <c r="H569" s="31"/>
      <c r="I569" s="31"/>
      <c r="J569" s="31"/>
      <c r="K569" s="19"/>
      <c r="L569" s="19"/>
      <c r="M569" s="19"/>
      <c r="N569" s="31"/>
      <c r="O569" s="31"/>
      <c r="P569" s="19"/>
      <c r="Q569" s="19"/>
    </row>
    <row r="570" spans="1:17" ht="46.5" customHeight="1" x14ac:dyDescent="0.7">
      <c r="A570" s="19"/>
      <c r="B570" s="19"/>
      <c r="C570" s="19"/>
      <c r="D570" s="31"/>
      <c r="E570" s="31"/>
      <c r="F570" s="31"/>
      <c r="G570" s="31"/>
      <c r="H570" s="31"/>
      <c r="I570" s="31"/>
      <c r="J570" s="31"/>
      <c r="K570" s="19"/>
      <c r="L570" s="19"/>
      <c r="M570" s="19"/>
      <c r="N570" s="31"/>
      <c r="O570" s="31"/>
      <c r="P570" s="19"/>
      <c r="Q570" s="19"/>
    </row>
    <row r="571" spans="1:17" ht="46.5" customHeight="1" x14ac:dyDescent="0.7">
      <c r="A571" s="19"/>
      <c r="B571" s="19"/>
      <c r="C571" s="19"/>
      <c r="D571" s="31"/>
      <c r="E571" s="31"/>
      <c r="F571" s="31"/>
      <c r="G571" s="31"/>
      <c r="H571" s="31"/>
      <c r="I571" s="31"/>
      <c r="J571" s="31"/>
      <c r="K571" s="19"/>
      <c r="L571" s="19"/>
      <c r="M571" s="19"/>
      <c r="N571" s="31"/>
      <c r="O571" s="31"/>
      <c r="P571" s="19"/>
      <c r="Q571" s="19"/>
    </row>
    <row r="572" spans="1:17" ht="46.5" customHeight="1" x14ac:dyDescent="0.7">
      <c r="A572" s="19"/>
      <c r="B572" s="19"/>
      <c r="C572" s="19"/>
      <c r="D572" s="31"/>
      <c r="E572" s="31"/>
      <c r="F572" s="31"/>
      <c r="G572" s="31"/>
      <c r="H572" s="31"/>
      <c r="I572" s="31"/>
      <c r="J572" s="31"/>
      <c r="K572" s="19"/>
      <c r="L572" s="19"/>
      <c r="M572" s="19"/>
      <c r="N572" s="31"/>
      <c r="O572" s="31"/>
      <c r="P572" s="19"/>
      <c r="Q572" s="19"/>
    </row>
    <row r="573" spans="1:17" ht="46.5" customHeight="1" x14ac:dyDescent="0.7">
      <c r="A573" s="19"/>
      <c r="B573" s="19"/>
      <c r="C573" s="19"/>
      <c r="D573" s="31"/>
      <c r="E573" s="31"/>
      <c r="F573" s="31"/>
      <c r="G573" s="31"/>
      <c r="H573" s="31"/>
      <c r="I573" s="31"/>
      <c r="J573" s="31"/>
      <c r="K573" s="19"/>
      <c r="L573" s="19"/>
      <c r="M573" s="19"/>
      <c r="N573" s="31"/>
      <c r="O573" s="31"/>
      <c r="P573" s="19"/>
      <c r="Q573" s="19"/>
    </row>
    <row r="574" spans="1:17" ht="46.5" customHeight="1" x14ac:dyDescent="0.7">
      <c r="A574" s="19"/>
      <c r="B574" s="19"/>
      <c r="C574" s="19"/>
      <c r="D574" s="31"/>
      <c r="E574" s="31"/>
      <c r="F574" s="31"/>
      <c r="G574" s="31"/>
      <c r="H574" s="31"/>
      <c r="I574" s="31"/>
      <c r="J574" s="31"/>
      <c r="K574" s="19"/>
      <c r="L574" s="19"/>
      <c r="M574" s="19"/>
      <c r="N574" s="31"/>
      <c r="O574" s="31"/>
      <c r="P574" s="19"/>
      <c r="Q574" s="19"/>
    </row>
    <row r="575" spans="1:17" ht="46.5" customHeight="1" x14ac:dyDescent="0.7">
      <c r="A575" s="19"/>
      <c r="B575" s="19"/>
      <c r="C575" s="19"/>
      <c r="D575" s="31"/>
      <c r="E575" s="31"/>
      <c r="F575" s="31"/>
      <c r="G575" s="31"/>
      <c r="H575" s="31"/>
      <c r="I575" s="31"/>
      <c r="J575" s="31"/>
      <c r="K575" s="19"/>
      <c r="L575" s="19"/>
      <c r="M575" s="19"/>
      <c r="N575" s="31"/>
      <c r="O575" s="31"/>
      <c r="P575" s="19"/>
      <c r="Q575" s="19"/>
    </row>
    <row r="576" spans="1:17" ht="46.5" customHeight="1" x14ac:dyDescent="0.7">
      <c r="A576" s="19"/>
      <c r="B576" s="19"/>
      <c r="C576" s="19"/>
      <c r="D576" s="31"/>
      <c r="E576" s="31"/>
      <c r="F576" s="31"/>
      <c r="G576" s="31"/>
      <c r="H576" s="31"/>
      <c r="I576" s="31"/>
      <c r="J576" s="31"/>
      <c r="K576" s="19"/>
      <c r="L576" s="19"/>
      <c r="M576" s="19"/>
      <c r="N576" s="31"/>
      <c r="O576" s="31"/>
      <c r="P576" s="19"/>
      <c r="Q576" s="19"/>
    </row>
    <row r="577" spans="1:17" ht="46.5" customHeight="1" x14ac:dyDescent="0.7">
      <c r="A577" s="19"/>
      <c r="B577" s="19"/>
      <c r="C577" s="19"/>
      <c r="D577" s="31"/>
      <c r="E577" s="31"/>
      <c r="F577" s="31"/>
      <c r="G577" s="31"/>
      <c r="H577" s="31"/>
      <c r="I577" s="31"/>
      <c r="J577" s="31"/>
      <c r="K577" s="19"/>
      <c r="L577" s="19"/>
      <c r="M577" s="19"/>
      <c r="N577" s="31"/>
      <c r="O577" s="31"/>
      <c r="P577" s="19"/>
      <c r="Q577" s="19"/>
    </row>
    <row r="578" spans="1:17" ht="46.5" customHeight="1" x14ac:dyDescent="0.7">
      <c r="A578" s="19"/>
      <c r="B578" s="19"/>
      <c r="C578" s="19"/>
      <c r="D578" s="31"/>
      <c r="E578" s="31"/>
      <c r="F578" s="31"/>
      <c r="G578" s="31"/>
      <c r="H578" s="31"/>
      <c r="I578" s="31"/>
      <c r="J578" s="31"/>
      <c r="K578" s="19"/>
      <c r="L578" s="19"/>
      <c r="M578" s="19"/>
      <c r="N578" s="31"/>
      <c r="O578" s="31"/>
      <c r="P578" s="19"/>
      <c r="Q578" s="19"/>
    </row>
    <row r="579" spans="1:17" ht="46.5" customHeight="1" x14ac:dyDescent="0.7">
      <c r="A579" s="19"/>
      <c r="B579" s="19"/>
      <c r="C579" s="19"/>
      <c r="D579" s="31"/>
      <c r="E579" s="31"/>
      <c r="F579" s="31"/>
      <c r="G579" s="31"/>
      <c r="H579" s="31"/>
      <c r="I579" s="31"/>
      <c r="J579" s="31"/>
      <c r="K579" s="19"/>
      <c r="L579" s="19"/>
      <c r="M579" s="19"/>
      <c r="N579" s="31"/>
      <c r="O579" s="31"/>
      <c r="P579" s="19"/>
      <c r="Q579" s="19"/>
    </row>
    <row r="580" spans="1:17" ht="46.5" customHeight="1" x14ac:dyDescent="0.7">
      <c r="A580" s="19"/>
      <c r="B580" s="19"/>
      <c r="C580" s="19"/>
      <c r="D580" s="31"/>
      <c r="E580" s="31"/>
      <c r="F580" s="31"/>
      <c r="G580" s="31"/>
      <c r="H580" s="31"/>
      <c r="I580" s="31"/>
      <c r="J580" s="31"/>
      <c r="K580" s="19"/>
      <c r="L580" s="19"/>
      <c r="M580" s="19"/>
      <c r="N580" s="31"/>
      <c r="O580" s="31"/>
      <c r="P580" s="19"/>
      <c r="Q580" s="19"/>
    </row>
    <row r="581" spans="1:17" ht="46.5" customHeight="1" x14ac:dyDescent="0.7">
      <c r="A581" s="19"/>
      <c r="B581" s="19"/>
      <c r="C581" s="19"/>
      <c r="D581" s="31"/>
      <c r="E581" s="31"/>
      <c r="F581" s="31"/>
      <c r="G581" s="31"/>
      <c r="H581" s="31"/>
      <c r="I581" s="31"/>
      <c r="J581" s="31"/>
      <c r="K581" s="19"/>
      <c r="L581" s="19"/>
      <c r="M581" s="19"/>
      <c r="N581" s="31"/>
      <c r="O581" s="31"/>
      <c r="P581" s="19"/>
      <c r="Q581" s="19"/>
    </row>
    <row r="582" spans="1:17" ht="46.5" customHeight="1" x14ac:dyDescent="0.7">
      <c r="A582" s="19"/>
      <c r="B582" s="19"/>
      <c r="C582" s="19"/>
      <c r="D582" s="31"/>
      <c r="E582" s="31"/>
      <c r="F582" s="31"/>
      <c r="G582" s="31"/>
      <c r="H582" s="31"/>
      <c r="I582" s="31"/>
      <c r="J582" s="31"/>
      <c r="K582" s="19"/>
      <c r="L582" s="19"/>
      <c r="M582" s="19"/>
      <c r="N582" s="31"/>
      <c r="O582" s="31"/>
      <c r="P582" s="19"/>
      <c r="Q582" s="19"/>
    </row>
    <row r="583" spans="1:17" ht="46.5" customHeight="1" x14ac:dyDescent="0.7">
      <c r="A583" s="19"/>
      <c r="B583" s="19"/>
      <c r="C583" s="19"/>
      <c r="D583" s="31"/>
      <c r="E583" s="31"/>
      <c r="F583" s="31"/>
      <c r="G583" s="31"/>
      <c r="H583" s="31"/>
      <c r="I583" s="31"/>
      <c r="J583" s="31"/>
      <c r="K583" s="19"/>
      <c r="L583" s="19"/>
      <c r="M583" s="19"/>
      <c r="N583" s="31"/>
      <c r="O583" s="31"/>
      <c r="P583" s="19"/>
      <c r="Q583" s="19"/>
    </row>
    <row r="584" spans="1:17" ht="46.5" customHeight="1" x14ac:dyDescent="0.7">
      <c r="A584" s="19"/>
      <c r="B584" s="19"/>
      <c r="C584" s="19"/>
      <c r="D584" s="31"/>
      <c r="E584" s="31"/>
      <c r="F584" s="31"/>
      <c r="G584" s="31"/>
      <c r="H584" s="31"/>
      <c r="I584" s="31"/>
      <c r="J584" s="31"/>
      <c r="K584" s="19"/>
      <c r="L584" s="19"/>
      <c r="M584" s="19"/>
      <c r="N584" s="31"/>
      <c r="O584" s="31"/>
      <c r="P584" s="19"/>
      <c r="Q584" s="19"/>
    </row>
    <row r="585" spans="1:17" ht="46.5" customHeight="1" x14ac:dyDescent="0.7">
      <c r="A585" s="19"/>
      <c r="B585" s="19"/>
      <c r="C585" s="19"/>
      <c r="D585" s="31"/>
      <c r="E585" s="31"/>
      <c r="F585" s="31"/>
      <c r="G585" s="31"/>
      <c r="H585" s="31"/>
      <c r="I585" s="31"/>
      <c r="J585" s="31"/>
      <c r="K585" s="19"/>
      <c r="L585" s="19"/>
      <c r="M585" s="19"/>
      <c r="N585" s="31"/>
      <c r="O585" s="31"/>
      <c r="P585" s="19"/>
      <c r="Q585" s="19"/>
    </row>
    <row r="586" spans="1:17" ht="46.5" customHeight="1" x14ac:dyDescent="0.7">
      <c r="A586" s="19"/>
      <c r="B586" s="19"/>
      <c r="C586" s="19"/>
      <c r="D586" s="31"/>
      <c r="E586" s="31"/>
      <c r="F586" s="31"/>
      <c r="G586" s="31"/>
      <c r="H586" s="31"/>
      <c r="I586" s="31"/>
      <c r="J586" s="31"/>
      <c r="K586" s="19"/>
      <c r="L586" s="19"/>
      <c r="M586" s="19"/>
      <c r="N586" s="31"/>
      <c r="O586" s="31"/>
      <c r="P586" s="19"/>
      <c r="Q586" s="19"/>
    </row>
    <row r="587" spans="1:17" ht="46.5" customHeight="1" x14ac:dyDescent="0.7">
      <c r="A587" s="19"/>
      <c r="B587" s="19"/>
      <c r="C587" s="19"/>
      <c r="D587" s="31"/>
      <c r="E587" s="31"/>
      <c r="F587" s="31"/>
      <c r="G587" s="31"/>
      <c r="H587" s="31"/>
      <c r="I587" s="31"/>
      <c r="J587" s="31"/>
      <c r="K587" s="19"/>
      <c r="L587" s="19"/>
      <c r="M587" s="19"/>
      <c r="N587" s="31"/>
      <c r="O587" s="31"/>
      <c r="P587" s="19"/>
      <c r="Q587" s="19"/>
    </row>
    <row r="588" spans="1:17" ht="46.5" customHeight="1" x14ac:dyDescent="0.7">
      <c r="A588" s="19"/>
      <c r="B588" s="19"/>
      <c r="C588" s="19"/>
      <c r="D588" s="31"/>
      <c r="E588" s="31"/>
      <c r="F588" s="31"/>
      <c r="G588" s="31"/>
      <c r="H588" s="31"/>
      <c r="I588" s="31"/>
      <c r="J588" s="31"/>
      <c r="K588" s="19"/>
      <c r="L588" s="19"/>
      <c r="M588" s="19"/>
      <c r="N588" s="31"/>
      <c r="O588" s="31"/>
      <c r="P588" s="19"/>
      <c r="Q588" s="19"/>
    </row>
    <row r="589" spans="1:17" ht="46.5" customHeight="1" x14ac:dyDescent="0.7">
      <c r="A589" s="19"/>
      <c r="B589" s="19"/>
      <c r="C589" s="19"/>
      <c r="D589" s="31"/>
      <c r="E589" s="31"/>
      <c r="F589" s="31"/>
      <c r="G589" s="31"/>
      <c r="H589" s="31"/>
      <c r="I589" s="31"/>
      <c r="J589" s="31"/>
      <c r="K589" s="19"/>
      <c r="L589" s="19"/>
      <c r="M589" s="19"/>
      <c r="N589" s="31"/>
      <c r="O589" s="31"/>
      <c r="P589" s="19"/>
      <c r="Q589" s="19"/>
    </row>
    <row r="590" spans="1:17" ht="46.5" customHeight="1" x14ac:dyDescent="0.7">
      <c r="A590" s="19"/>
      <c r="B590" s="19"/>
      <c r="C590" s="19"/>
      <c r="D590" s="31"/>
      <c r="E590" s="31"/>
      <c r="F590" s="31"/>
      <c r="G590" s="31"/>
      <c r="H590" s="31"/>
      <c r="I590" s="31"/>
      <c r="J590" s="31"/>
      <c r="K590" s="19"/>
      <c r="L590" s="19"/>
      <c r="M590" s="19"/>
      <c r="N590" s="31"/>
      <c r="O590" s="31"/>
      <c r="P590" s="19"/>
      <c r="Q590" s="19"/>
    </row>
    <row r="591" spans="1:17" ht="46.5" customHeight="1" x14ac:dyDescent="0.7">
      <c r="A591" s="19"/>
      <c r="B591" s="19"/>
      <c r="C591" s="19"/>
      <c r="D591" s="31"/>
      <c r="E591" s="31"/>
      <c r="F591" s="31"/>
      <c r="G591" s="31"/>
      <c r="H591" s="31"/>
      <c r="I591" s="31"/>
      <c r="J591" s="31"/>
      <c r="K591" s="19"/>
      <c r="L591" s="19"/>
      <c r="M591" s="19"/>
      <c r="N591" s="31"/>
      <c r="O591" s="31"/>
      <c r="P591" s="19"/>
      <c r="Q591" s="19"/>
    </row>
    <row r="592" spans="1:17" ht="46.5" customHeight="1" x14ac:dyDescent="0.7">
      <c r="A592" s="19"/>
      <c r="B592" s="19"/>
      <c r="C592" s="19"/>
      <c r="D592" s="31"/>
      <c r="E592" s="31"/>
      <c r="F592" s="31"/>
      <c r="G592" s="31"/>
      <c r="H592" s="31"/>
      <c r="I592" s="31"/>
      <c r="J592" s="31"/>
      <c r="K592" s="19"/>
      <c r="L592" s="19"/>
      <c r="M592" s="19"/>
      <c r="N592" s="31"/>
      <c r="O592" s="31"/>
      <c r="P592" s="19"/>
      <c r="Q592" s="19"/>
    </row>
    <row r="593" spans="1:17" ht="46.5" customHeight="1" x14ac:dyDescent="0.7">
      <c r="A593" s="19"/>
      <c r="B593" s="19"/>
      <c r="C593" s="19"/>
      <c r="D593" s="31"/>
      <c r="E593" s="31"/>
      <c r="F593" s="31"/>
      <c r="G593" s="31"/>
      <c r="H593" s="31"/>
      <c r="I593" s="31"/>
      <c r="J593" s="31"/>
      <c r="K593" s="19"/>
      <c r="L593" s="19"/>
      <c r="M593" s="19"/>
      <c r="N593" s="31"/>
      <c r="O593" s="31"/>
      <c r="P593" s="19"/>
      <c r="Q593" s="19"/>
    </row>
    <row r="594" spans="1:17" ht="46.5" customHeight="1" x14ac:dyDescent="0.7">
      <c r="A594" s="19"/>
      <c r="B594" s="19"/>
      <c r="C594" s="19"/>
      <c r="D594" s="31"/>
      <c r="E594" s="31"/>
      <c r="F594" s="31"/>
      <c r="G594" s="31"/>
      <c r="H594" s="31"/>
      <c r="I594" s="31"/>
      <c r="J594" s="31"/>
      <c r="K594" s="19"/>
      <c r="L594" s="19"/>
      <c r="M594" s="19"/>
      <c r="N594" s="31"/>
      <c r="O594" s="31"/>
      <c r="P594" s="19"/>
      <c r="Q594" s="19"/>
    </row>
    <row r="595" spans="1:17" ht="46.5" customHeight="1" x14ac:dyDescent="0.7">
      <c r="A595" s="19"/>
      <c r="B595" s="19"/>
      <c r="C595" s="19"/>
      <c r="D595" s="31"/>
      <c r="E595" s="31"/>
      <c r="F595" s="31"/>
      <c r="G595" s="31"/>
      <c r="H595" s="31"/>
      <c r="I595" s="31"/>
      <c r="J595" s="31"/>
      <c r="K595" s="19"/>
      <c r="L595" s="19"/>
      <c r="M595" s="19"/>
      <c r="N595" s="31"/>
      <c r="O595" s="31"/>
      <c r="P595" s="19"/>
      <c r="Q595" s="19"/>
    </row>
    <row r="596" spans="1:17" ht="46.5" customHeight="1" x14ac:dyDescent="0.7">
      <c r="A596" s="19"/>
      <c r="B596" s="19"/>
      <c r="C596" s="19"/>
      <c r="D596" s="31"/>
      <c r="E596" s="31"/>
      <c r="F596" s="31"/>
      <c r="G596" s="31"/>
      <c r="H596" s="31"/>
      <c r="I596" s="31"/>
      <c r="J596" s="31"/>
      <c r="K596" s="19"/>
      <c r="L596" s="19"/>
      <c r="M596" s="19"/>
      <c r="N596" s="31"/>
      <c r="O596" s="31"/>
      <c r="P596" s="19"/>
      <c r="Q596" s="19"/>
    </row>
    <row r="597" spans="1:17" ht="46.5" customHeight="1" x14ac:dyDescent="0.7">
      <c r="A597" s="19"/>
      <c r="B597" s="19"/>
      <c r="C597" s="19"/>
      <c r="D597" s="31"/>
      <c r="E597" s="31"/>
      <c r="F597" s="31"/>
      <c r="G597" s="31"/>
      <c r="H597" s="31"/>
      <c r="I597" s="31"/>
      <c r="J597" s="31"/>
      <c r="K597" s="19"/>
      <c r="L597" s="19"/>
      <c r="M597" s="19"/>
      <c r="N597" s="31"/>
      <c r="O597" s="31"/>
      <c r="P597" s="19"/>
      <c r="Q597" s="19"/>
    </row>
    <row r="598" spans="1:17" ht="46.5" customHeight="1" x14ac:dyDescent="0.7">
      <c r="A598" s="19"/>
      <c r="B598" s="19"/>
      <c r="C598" s="19"/>
      <c r="D598" s="31"/>
      <c r="E598" s="31"/>
      <c r="F598" s="31"/>
      <c r="G598" s="31"/>
      <c r="H598" s="31"/>
      <c r="I598" s="31"/>
      <c r="J598" s="31"/>
      <c r="K598" s="19"/>
      <c r="L598" s="19"/>
      <c r="M598" s="19"/>
      <c r="N598" s="31"/>
      <c r="O598" s="31"/>
      <c r="P598" s="19"/>
      <c r="Q598" s="19"/>
    </row>
    <row r="599" spans="1:17" ht="46.5" customHeight="1" x14ac:dyDescent="0.7">
      <c r="A599" s="19"/>
      <c r="B599" s="19"/>
      <c r="C599" s="19"/>
      <c r="D599" s="31"/>
      <c r="E599" s="31"/>
      <c r="F599" s="31"/>
      <c r="G599" s="31"/>
      <c r="H599" s="31"/>
      <c r="I599" s="31"/>
      <c r="J599" s="31"/>
      <c r="K599" s="19"/>
      <c r="L599" s="19"/>
      <c r="M599" s="19"/>
      <c r="N599" s="31"/>
      <c r="O599" s="31"/>
      <c r="P599" s="19"/>
      <c r="Q599" s="19"/>
    </row>
    <row r="600" spans="1:17" ht="46.5" customHeight="1" x14ac:dyDescent="0.7">
      <c r="A600" s="19"/>
      <c r="B600" s="19"/>
      <c r="C600" s="19"/>
      <c r="D600" s="31"/>
      <c r="E600" s="31"/>
      <c r="F600" s="31"/>
      <c r="G600" s="31"/>
      <c r="H600" s="31"/>
      <c r="I600" s="31"/>
      <c r="J600" s="31"/>
      <c r="K600" s="19"/>
      <c r="L600" s="19"/>
      <c r="M600" s="19"/>
      <c r="N600" s="31"/>
      <c r="O600" s="31"/>
      <c r="P600" s="19"/>
      <c r="Q600" s="19"/>
    </row>
    <row r="601" spans="1:17" ht="46.5" customHeight="1" x14ac:dyDescent="0.7">
      <c r="A601" s="19"/>
      <c r="B601" s="19"/>
      <c r="C601" s="19"/>
      <c r="D601" s="31"/>
      <c r="E601" s="31"/>
      <c r="F601" s="31"/>
      <c r="G601" s="31"/>
      <c r="H601" s="31"/>
      <c r="I601" s="31"/>
      <c r="J601" s="31"/>
      <c r="K601" s="19"/>
      <c r="L601" s="19"/>
      <c r="M601" s="19"/>
      <c r="N601" s="31"/>
      <c r="O601" s="31"/>
      <c r="P601" s="19"/>
      <c r="Q601" s="19"/>
    </row>
    <row r="602" spans="1:17" ht="46.5" customHeight="1" x14ac:dyDescent="0.7">
      <c r="A602" s="19"/>
      <c r="B602" s="19"/>
      <c r="C602" s="19"/>
      <c r="D602" s="31"/>
      <c r="E602" s="31"/>
      <c r="F602" s="31"/>
      <c r="G602" s="31"/>
      <c r="H602" s="31"/>
      <c r="I602" s="31"/>
      <c r="J602" s="31"/>
      <c r="K602" s="19"/>
      <c r="L602" s="19"/>
      <c r="M602" s="19"/>
      <c r="N602" s="31"/>
      <c r="O602" s="31"/>
      <c r="P602" s="19"/>
      <c r="Q602" s="19"/>
    </row>
    <row r="603" spans="1:17" ht="46.5" customHeight="1" x14ac:dyDescent="0.7">
      <c r="A603" s="19"/>
      <c r="B603" s="19"/>
      <c r="C603" s="19"/>
      <c r="D603" s="31"/>
      <c r="E603" s="31"/>
      <c r="F603" s="31"/>
      <c r="G603" s="31"/>
      <c r="H603" s="31"/>
      <c r="I603" s="31"/>
      <c r="J603" s="31"/>
      <c r="K603" s="19"/>
      <c r="L603" s="19"/>
      <c r="M603" s="19"/>
      <c r="N603" s="31"/>
      <c r="O603" s="31"/>
      <c r="P603" s="19"/>
      <c r="Q603" s="19"/>
    </row>
    <row r="604" spans="1:17" ht="46.5" customHeight="1" x14ac:dyDescent="0.7">
      <c r="A604" s="19"/>
      <c r="B604" s="19"/>
      <c r="C604" s="19"/>
      <c r="D604" s="31"/>
      <c r="E604" s="31"/>
      <c r="F604" s="31"/>
      <c r="G604" s="31"/>
      <c r="H604" s="31"/>
      <c r="I604" s="31"/>
      <c r="J604" s="31"/>
      <c r="K604" s="19"/>
      <c r="L604" s="19"/>
      <c r="M604" s="19"/>
      <c r="N604" s="31"/>
      <c r="O604" s="31"/>
      <c r="P604" s="19"/>
      <c r="Q604" s="19"/>
    </row>
    <row r="605" spans="1:17" ht="46.5" customHeight="1" x14ac:dyDescent="0.7">
      <c r="A605" s="19"/>
      <c r="B605" s="19"/>
      <c r="C605" s="19"/>
      <c r="D605" s="31"/>
      <c r="E605" s="31"/>
      <c r="F605" s="31"/>
      <c r="G605" s="31"/>
      <c r="H605" s="31"/>
      <c r="I605" s="31"/>
      <c r="J605" s="31"/>
      <c r="K605" s="19"/>
      <c r="L605" s="19"/>
      <c r="M605" s="19"/>
      <c r="N605" s="31"/>
      <c r="O605" s="31"/>
      <c r="P605" s="19"/>
      <c r="Q605" s="19"/>
    </row>
    <row r="606" spans="1:17" ht="46.5" customHeight="1" x14ac:dyDescent="0.7">
      <c r="A606" s="19"/>
      <c r="B606" s="19"/>
      <c r="C606" s="19"/>
      <c r="D606" s="31"/>
      <c r="E606" s="31"/>
      <c r="F606" s="31"/>
      <c r="G606" s="31"/>
      <c r="H606" s="31"/>
      <c r="I606" s="31"/>
      <c r="J606" s="31"/>
      <c r="K606" s="19"/>
      <c r="L606" s="19"/>
      <c r="M606" s="19"/>
      <c r="N606" s="31"/>
      <c r="O606" s="31"/>
      <c r="P606" s="19"/>
      <c r="Q606" s="19"/>
    </row>
    <row r="607" spans="1:17" ht="46.5" customHeight="1" x14ac:dyDescent="0.7">
      <c r="A607" s="19"/>
      <c r="B607" s="19"/>
      <c r="C607" s="19"/>
      <c r="D607" s="31"/>
      <c r="E607" s="31"/>
      <c r="F607" s="31"/>
      <c r="G607" s="31"/>
      <c r="H607" s="31"/>
      <c r="I607" s="31"/>
      <c r="J607" s="31"/>
      <c r="K607" s="19"/>
      <c r="L607" s="19"/>
      <c r="M607" s="19"/>
      <c r="N607" s="31"/>
      <c r="O607" s="31"/>
      <c r="P607" s="19"/>
      <c r="Q607" s="19"/>
    </row>
    <row r="608" spans="1:17" ht="46.5" customHeight="1" x14ac:dyDescent="0.7">
      <c r="A608" s="19"/>
      <c r="B608" s="19"/>
      <c r="C608" s="19"/>
      <c r="D608" s="31"/>
      <c r="E608" s="31"/>
      <c r="F608" s="31"/>
      <c r="G608" s="31"/>
      <c r="H608" s="31"/>
      <c r="I608" s="31"/>
      <c r="J608" s="31"/>
      <c r="K608" s="19"/>
      <c r="L608" s="19"/>
      <c r="M608" s="19"/>
      <c r="N608" s="31"/>
      <c r="O608" s="31"/>
      <c r="P608" s="19"/>
      <c r="Q608" s="19"/>
    </row>
    <row r="609" spans="1:17" ht="46.5" customHeight="1" x14ac:dyDescent="0.7">
      <c r="A609" s="19"/>
      <c r="B609" s="19"/>
      <c r="C609" s="19"/>
      <c r="D609" s="31"/>
      <c r="E609" s="31"/>
      <c r="F609" s="31"/>
      <c r="G609" s="31"/>
      <c r="H609" s="31"/>
      <c r="I609" s="31"/>
      <c r="J609" s="31"/>
      <c r="K609" s="19"/>
      <c r="L609" s="19"/>
      <c r="M609" s="19"/>
      <c r="N609" s="31"/>
      <c r="O609" s="31"/>
      <c r="P609" s="19"/>
      <c r="Q609" s="19"/>
    </row>
    <row r="610" spans="1:17" ht="46.5" customHeight="1" x14ac:dyDescent="0.7">
      <c r="A610" s="19"/>
      <c r="B610" s="19"/>
      <c r="C610" s="19"/>
      <c r="D610" s="31"/>
      <c r="E610" s="31"/>
      <c r="F610" s="31"/>
      <c r="G610" s="31"/>
      <c r="H610" s="31"/>
      <c r="I610" s="31"/>
      <c r="J610" s="31"/>
      <c r="K610" s="19"/>
      <c r="L610" s="19"/>
      <c r="M610" s="19"/>
      <c r="N610" s="31"/>
      <c r="O610" s="31"/>
      <c r="P610" s="19"/>
      <c r="Q610" s="19"/>
    </row>
    <row r="611" spans="1:17" ht="46.5" customHeight="1" x14ac:dyDescent="0.7">
      <c r="A611" s="19"/>
      <c r="B611" s="19"/>
      <c r="C611" s="19"/>
      <c r="D611" s="31"/>
      <c r="E611" s="31"/>
      <c r="F611" s="31"/>
      <c r="G611" s="31"/>
      <c r="H611" s="31"/>
      <c r="I611" s="31"/>
      <c r="J611" s="31"/>
      <c r="K611" s="19"/>
      <c r="L611" s="19"/>
      <c r="M611" s="19"/>
      <c r="N611" s="31"/>
      <c r="O611" s="31"/>
      <c r="P611" s="19"/>
      <c r="Q611" s="19"/>
    </row>
    <row r="612" spans="1:17" ht="46.5" customHeight="1" x14ac:dyDescent="0.7">
      <c r="A612" s="19"/>
      <c r="B612" s="19"/>
      <c r="C612" s="19"/>
      <c r="D612" s="31"/>
      <c r="E612" s="31"/>
      <c r="F612" s="31"/>
      <c r="G612" s="31"/>
      <c r="H612" s="31"/>
      <c r="I612" s="31"/>
      <c r="J612" s="31"/>
      <c r="K612" s="19"/>
      <c r="L612" s="19"/>
      <c r="M612" s="19"/>
      <c r="N612" s="31"/>
      <c r="O612" s="31"/>
      <c r="P612" s="19"/>
      <c r="Q612" s="19"/>
    </row>
    <row r="613" spans="1:17" ht="46.5" customHeight="1" x14ac:dyDescent="0.7">
      <c r="A613" s="19"/>
      <c r="B613" s="19"/>
      <c r="C613" s="19"/>
      <c r="D613" s="31"/>
      <c r="E613" s="31"/>
      <c r="F613" s="31"/>
      <c r="G613" s="31"/>
      <c r="H613" s="31"/>
      <c r="I613" s="31"/>
      <c r="J613" s="31"/>
      <c r="K613" s="19"/>
      <c r="L613" s="19"/>
      <c r="M613" s="19"/>
      <c r="N613" s="31"/>
      <c r="O613" s="31"/>
      <c r="P613" s="19"/>
      <c r="Q613" s="19"/>
    </row>
    <row r="614" spans="1:17" ht="46.5" customHeight="1" x14ac:dyDescent="0.7">
      <c r="A614" s="19"/>
      <c r="B614" s="19"/>
      <c r="C614" s="19"/>
      <c r="D614" s="31"/>
      <c r="E614" s="31"/>
      <c r="F614" s="31"/>
      <c r="G614" s="31"/>
      <c r="H614" s="31"/>
      <c r="I614" s="31"/>
      <c r="J614" s="31"/>
      <c r="K614" s="19"/>
      <c r="L614" s="19"/>
      <c r="M614" s="19"/>
      <c r="N614" s="31"/>
      <c r="O614" s="31"/>
      <c r="P614" s="19"/>
      <c r="Q614" s="19"/>
    </row>
    <row r="615" spans="1:17" ht="46.5" customHeight="1" x14ac:dyDescent="0.7">
      <c r="A615" s="19"/>
      <c r="B615" s="19"/>
      <c r="C615" s="19"/>
      <c r="D615" s="31"/>
      <c r="E615" s="31"/>
      <c r="F615" s="31"/>
      <c r="G615" s="31"/>
      <c r="H615" s="31"/>
      <c r="I615" s="31"/>
      <c r="J615" s="31"/>
      <c r="K615" s="19"/>
      <c r="L615" s="19"/>
      <c r="M615" s="19"/>
      <c r="N615" s="31"/>
      <c r="O615" s="31"/>
      <c r="P615" s="19"/>
      <c r="Q615" s="19"/>
    </row>
    <row r="616" spans="1:17" ht="46.5" customHeight="1" x14ac:dyDescent="0.7">
      <c r="A616" s="19"/>
      <c r="B616" s="19"/>
      <c r="C616" s="19"/>
      <c r="D616" s="31"/>
      <c r="E616" s="31"/>
      <c r="F616" s="31"/>
      <c r="G616" s="31"/>
      <c r="H616" s="31"/>
      <c r="I616" s="31"/>
      <c r="J616" s="31"/>
      <c r="K616" s="19"/>
      <c r="L616" s="19"/>
      <c r="M616" s="19"/>
      <c r="N616" s="31"/>
      <c r="O616" s="31"/>
      <c r="P616" s="19"/>
      <c r="Q616" s="19"/>
    </row>
    <row r="617" spans="1:17" ht="46.5" customHeight="1" x14ac:dyDescent="0.7">
      <c r="A617" s="19"/>
      <c r="B617" s="19"/>
      <c r="C617" s="19"/>
      <c r="D617" s="31"/>
      <c r="E617" s="31"/>
      <c r="F617" s="31"/>
      <c r="G617" s="31"/>
      <c r="H617" s="31"/>
      <c r="I617" s="31"/>
      <c r="J617" s="31"/>
      <c r="K617" s="19"/>
      <c r="L617" s="19"/>
      <c r="M617" s="19"/>
      <c r="N617" s="31"/>
      <c r="O617" s="31"/>
      <c r="P617" s="19"/>
      <c r="Q617" s="19"/>
    </row>
    <row r="618" spans="1:17" ht="46.5" customHeight="1" x14ac:dyDescent="0.7">
      <c r="A618" s="19"/>
      <c r="B618" s="19"/>
      <c r="C618" s="19"/>
      <c r="D618" s="31"/>
      <c r="E618" s="31"/>
      <c r="F618" s="31"/>
      <c r="G618" s="31"/>
      <c r="H618" s="31"/>
      <c r="I618" s="31"/>
      <c r="J618" s="31"/>
      <c r="K618" s="19"/>
      <c r="L618" s="19"/>
      <c r="M618" s="19"/>
      <c r="N618" s="31"/>
      <c r="O618" s="31"/>
      <c r="P618" s="19"/>
      <c r="Q618" s="19"/>
    </row>
    <row r="619" spans="1:17" ht="46.5" customHeight="1" x14ac:dyDescent="0.7">
      <c r="A619" s="19"/>
      <c r="B619" s="19"/>
      <c r="C619" s="19"/>
      <c r="D619" s="31"/>
      <c r="E619" s="31"/>
      <c r="F619" s="31"/>
      <c r="G619" s="31"/>
      <c r="H619" s="31"/>
      <c r="I619" s="31"/>
      <c r="J619" s="31"/>
      <c r="K619" s="19"/>
      <c r="L619" s="19"/>
      <c r="M619" s="19"/>
      <c r="N619" s="31"/>
      <c r="O619" s="31"/>
      <c r="P619" s="19"/>
      <c r="Q619" s="19"/>
    </row>
    <row r="620" spans="1:17" ht="46.5" customHeight="1" x14ac:dyDescent="0.7">
      <c r="A620" s="19"/>
      <c r="B620" s="19"/>
      <c r="C620" s="19"/>
      <c r="D620" s="31"/>
      <c r="E620" s="31"/>
      <c r="F620" s="31"/>
      <c r="G620" s="31"/>
      <c r="H620" s="31"/>
      <c r="I620" s="31"/>
      <c r="J620" s="31"/>
      <c r="K620" s="19"/>
      <c r="L620" s="19"/>
      <c r="M620" s="19"/>
      <c r="N620" s="31"/>
      <c r="O620" s="31"/>
      <c r="P620" s="19"/>
      <c r="Q620" s="19"/>
    </row>
    <row r="621" spans="1:17" ht="46.5" customHeight="1" x14ac:dyDescent="0.7">
      <c r="A621" s="19"/>
      <c r="B621" s="19"/>
      <c r="C621" s="19"/>
      <c r="D621" s="31"/>
      <c r="E621" s="31"/>
      <c r="F621" s="31"/>
      <c r="G621" s="31"/>
      <c r="H621" s="31"/>
      <c r="I621" s="31"/>
      <c r="J621" s="31"/>
      <c r="K621" s="19"/>
      <c r="L621" s="19"/>
      <c r="M621" s="19"/>
      <c r="N621" s="31"/>
      <c r="O621" s="31"/>
      <c r="P621" s="19"/>
      <c r="Q621" s="19"/>
    </row>
    <row r="622" spans="1:17" ht="46.5" customHeight="1" x14ac:dyDescent="0.7">
      <c r="A622" s="19"/>
      <c r="B622" s="19"/>
      <c r="C622" s="19"/>
      <c r="D622" s="31"/>
      <c r="E622" s="31"/>
      <c r="F622" s="31"/>
      <c r="G622" s="31"/>
      <c r="H622" s="31"/>
      <c r="I622" s="31"/>
      <c r="J622" s="31"/>
      <c r="K622" s="19"/>
      <c r="L622" s="19"/>
      <c r="M622" s="19"/>
      <c r="N622" s="31"/>
      <c r="O622" s="31"/>
      <c r="P622" s="19"/>
      <c r="Q622" s="19"/>
    </row>
    <row r="623" spans="1:17" ht="46.5" customHeight="1" x14ac:dyDescent="0.7">
      <c r="A623" s="19"/>
      <c r="B623" s="19"/>
      <c r="C623" s="19"/>
      <c r="D623" s="31"/>
      <c r="E623" s="31"/>
      <c r="F623" s="31"/>
      <c r="G623" s="31"/>
      <c r="H623" s="31"/>
      <c r="I623" s="31"/>
      <c r="J623" s="31"/>
      <c r="K623" s="19"/>
      <c r="L623" s="19"/>
      <c r="M623" s="19"/>
      <c r="N623" s="31"/>
      <c r="O623" s="31"/>
      <c r="P623" s="19"/>
      <c r="Q623" s="19"/>
    </row>
    <row r="624" spans="1:17" ht="46.5" customHeight="1" x14ac:dyDescent="0.7">
      <c r="A624" s="19"/>
      <c r="B624" s="19"/>
      <c r="C624" s="19"/>
      <c r="D624" s="31"/>
      <c r="E624" s="31"/>
      <c r="F624" s="31"/>
      <c r="G624" s="31"/>
      <c r="H624" s="31"/>
      <c r="I624" s="31"/>
      <c r="J624" s="31"/>
      <c r="K624" s="19"/>
      <c r="L624" s="19"/>
      <c r="M624" s="19"/>
      <c r="N624" s="31"/>
      <c r="O624" s="31"/>
      <c r="P624" s="19"/>
      <c r="Q624" s="19"/>
    </row>
    <row r="625" spans="1:17" ht="46.5" customHeight="1" x14ac:dyDescent="0.7">
      <c r="A625" s="19"/>
      <c r="B625" s="19"/>
      <c r="C625" s="19"/>
      <c r="D625" s="31"/>
      <c r="E625" s="31"/>
      <c r="F625" s="31"/>
      <c r="G625" s="31"/>
      <c r="H625" s="31"/>
      <c r="I625" s="31"/>
      <c r="J625" s="31"/>
      <c r="K625" s="19"/>
      <c r="L625" s="19"/>
      <c r="M625" s="19"/>
      <c r="N625" s="31"/>
      <c r="O625" s="31"/>
      <c r="P625" s="19"/>
      <c r="Q625" s="19"/>
    </row>
    <row r="626" spans="1:17" ht="46.5" customHeight="1" x14ac:dyDescent="0.7">
      <c r="A626" s="19"/>
      <c r="B626" s="19"/>
      <c r="C626" s="19"/>
      <c r="D626" s="31"/>
      <c r="E626" s="31"/>
      <c r="F626" s="31"/>
      <c r="G626" s="31"/>
      <c r="H626" s="31"/>
      <c r="I626" s="31"/>
      <c r="J626" s="31"/>
      <c r="K626" s="19"/>
      <c r="L626" s="19"/>
      <c r="M626" s="19"/>
      <c r="N626" s="31"/>
      <c r="O626" s="31"/>
      <c r="P626" s="19"/>
      <c r="Q626" s="19"/>
    </row>
    <row r="627" spans="1:17" ht="46.5" customHeight="1" x14ac:dyDescent="0.7">
      <c r="A627" s="19"/>
      <c r="B627" s="19"/>
      <c r="C627" s="19"/>
      <c r="D627" s="31"/>
      <c r="E627" s="31"/>
      <c r="F627" s="31"/>
      <c r="G627" s="31"/>
      <c r="H627" s="31"/>
      <c r="I627" s="31"/>
      <c r="J627" s="31"/>
      <c r="K627" s="19"/>
      <c r="L627" s="19"/>
      <c r="M627" s="19"/>
      <c r="N627" s="31"/>
      <c r="O627" s="31"/>
      <c r="P627" s="19"/>
      <c r="Q627" s="19"/>
    </row>
    <row r="628" spans="1:17" ht="46.5" customHeight="1" x14ac:dyDescent="0.7">
      <c r="A628" s="19"/>
      <c r="B628" s="19"/>
      <c r="C628" s="19"/>
      <c r="D628" s="31"/>
      <c r="E628" s="31"/>
      <c r="F628" s="31"/>
      <c r="G628" s="31"/>
      <c r="H628" s="31"/>
      <c r="I628" s="31"/>
      <c r="J628" s="31"/>
      <c r="K628" s="19"/>
      <c r="L628" s="19"/>
      <c r="M628" s="19"/>
      <c r="N628" s="31"/>
      <c r="O628" s="31"/>
      <c r="P628" s="19"/>
      <c r="Q628" s="19"/>
    </row>
    <row r="629" spans="1:17" ht="46.5" customHeight="1" x14ac:dyDescent="0.7">
      <c r="A629" s="19"/>
      <c r="B629" s="19"/>
      <c r="C629" s="19"/>
      <c r="D629" s="31"/>
      <c r="E629" s="31"/>
      <c r="F629" s="31"/>
      <c r="G629" s="31"/>
      <c r="H629" s="31"/>
      <c r="I629" s="31"/>
      <c r="J629" s="31"/>
      <c r="K629" s="19"/>
      <c r="L629" s="19"/>
      <c r="M629" s="19"/>
      <c r="N629" s="31"/>
      <c r="O629" s="31"/>
      <c r="P629" s="19"/>
      <c r="Q629" s="19"/>
    </row>
    <row r="630" spans="1:17" ht="46.5" customHeight="1" x14ac:dyDescent="0.7">
      <c r="A630" s="19"/>
      <c r="B630" s="19"/>
      <c r="C630" s="19"/>
      <c r="D630" s="31"/>
      <c r="E630" s="31"/>
      <c r="F630" s="31"/>
      <c r="G630" s="31"/>
      <c r="H630" s="31"/>
      <c r="I630" s="31"/>
      <c r="J630" s="31"/>
      <c r="K630" s="19"/>
      <c r="L630" s="19"/>
      <c r="M630" s="19"/>
      <c r="N630" s="31"/>
      <c r="O630" s="31"/>
      <c r="P630" s="19"/>
      <c r="Q630" s="19"/>
    </row>
    <row r="631" spans="1:17" ht="46.5" customHeight="1" x14ac:dyDescent="0.7">
      <c r="A631" s="19"/>
      <c r="B631" s="19"/>
      <c r="C631" s="19"/>
      <c r="D631" s="31"/>
      <c r="E631" s="31"/>
      <c r="F631" s="31"/>
      <c r="G631" s="31"/>
      <c r="H631" s="31"/>
      <c r="I631" s="31"/>
      <c r="J631" s="31"/>
      <c r="K631" s="19"/>
      <c r="L631" s="19"/>
      <c r="M631" s="19"/>
      <c r="N631" s="31"/>
      <c r="O631" s="31"/>
      <c r="P631" s="19"/>
      <c r="Q631" s="19"/>
    </row>
    <row r="632" spans="1:17" ht="46.5" customHeight="1" x14ac:dyDescent="0.7">
      <c r="A632" s="19"/>
      <c r="B632" s="19"/>
      <c r="C632" s="19"/>
      <c r="D632" s="31"/>
      <c r="E632" s="31"/>
      <c r="F632" s="31"/>
      <c r="G632" s="31"/>
      <c r="H632" s="31"/>
      <c r="I632" s="31"/>
      <c r="J632" s="31"/>
      <c r="K632" s="19"/>
      <c r="L632" s="19"/>
      <c r="M632" s="19"/>
      <c r="N632" s="31"/>
      <c r="O632" s="31"/>
      <c r="P632" s="19"/>
      <c r="Q632" s="19"/>
    </row>
    <row r="633" spans="1:17" ht="46.5" customHeight="1" x14ac:dyDescent="0.7">
      <c r="A633" s="19"/>
      <c r="B633" s="19"/>
      <c r="C633" s="19"/>
      <c r="D633" s="31"/>
      <c r="E633" s="31"/>
      <c r="F633" s="31"/>
      <c r="G633" s="31"/>
      <c r="H633" s="31"/>
      <c r="I633" s="31"/>
      <c r="J633" s="31"/>
      <c r="K633" s="19"/>
      <c r="L633" s="19"/>
      <c r="M633" s="19"/>
      <c r="N633" s="31"/>
      <c r="O633" s="31"/>
      <c r="P633" s="19"/>
      <c r="Q633" s="19"/>
    </row>
    <row r="634" spans="1:17" ht="46.5" customHeight="1" x14ac:dyDescent="0.7">
      <c r="A634" s="19"/>
      <c r="B634" s="19"/>
      <c r="C634" s="19"/>
      <c r="D634" s="31"/>
      <c r="E634" s="31"/>
      <c r="F634" s="31"/>
      <c r="G634" s="31"/>
      <c r="H634" s="31"/>
      <c r="I634" s="31"/>
      <c r="J634" s="31"/>
      <c r="K634" s="19"/>
      <c r="L634" s="19"/>
      <c r="M634" s="19"/>
      <c r="N634" s="31"/>
      <c r="O634" s="31"/>
      <c r="P634" s="19"/>
      <c r="Q634" s="19"/>
    </row>
    <row r="635" spans="1:17" ht="46.5" customHeight="1" x14ac:dyDescent="0.7">
      <c r="A635" s="19"/>
      <c r="B635" s="19"/>
      <c r="C635" s="19"/>
      <c r="D635" s="31"/>
      <c r="E635" s="31"/>
      <c r="F635" s="31"/>
      <c r="G635" s="31"/>
      <c r="H635" s="31"/>
      <c r="I635" s="31"/>
      <c r="J635" s="31"/>
      <c r="K635" s="19"/>
      <c r="L635" s="19"/>
      <c r="M635" s="19"/>
      <c r="N635" s="31"/>
      <c r="O635" s="31"/>
      <c r="P635" s="19"/>
      <c r="Q635" s="19"/>
    </row>
    <row r="636" spans="1:17" ht="46.5" customHeight="1" x14ac:dyDescent="0.7">
      <c r="A636" s="19"/>
      <c r="B636" s="19"/>
      <c r="C636" s="19"/>
      <c r="D636" s="31"/>
      <c r="E636" s="31"/>
      <c r="F636" s="31"/>
      <c r="G636" s="31"/>
      <c r="H636" s="31"/>
      <c r="I636" s="31"/>
      <c r="J636" s="31"/>
      <c r="K636" s="19"/>
      <c r="L636" s="19"/>
      <c r="M636" s="19"/>
      <c r="N636" s="31"/>
      <c r="O636" s="31"/>
      <c r="P636" s="19"/>
      <c r="Q636" s="19"/>
    </row>
    <row r="637" spans="1:17" ht="46.5" customHeight="1" x14ac:dyDescent="0.7">
      <c r="A637" s="19"/>
      <c r="B637" s="19"/>
      <c r="C637" s="19"/>
      <c r="D637" s="31"/>
      <c r="E637" s="31"/>
      <c r="F637" s="31"/>
      <c r="G637" s="31"/>
      <c r="H637" s="31"/>
      <c r="I637" s="31"/>
      <c r="J637" s="31"/>
      <c r="K637" s="19"/>
      <c r="L637" s="19"/>
      <c r="M637" s="19"/>
      <c r="N637" s="31"/>
      <c r="O637" s="31"/>
      <c r="P637" s="19"/>
      <c r="Q637" s="19"/>
    </row>
    <row r="638" spans="1:17" ht="46.5" customHeight="1" x14ac:dyDescent="0.7">
      <c r="A638" s="19"/>
      <c r="B638" s="19"/>
      <c r="C638" s="19"/>
      <c r="D638" s="31"/>
      <c r="E638" s="31"/>
      <c r="F638" s="31"/>
      <c r="G638" s="31"/>
      <c r="H638" s="31"/>
      <c r="I638" s="31"/>
      <c r="J638" s="31"/>
      <c r="K638" s="19"/>
      <c r="L638" s="19"/>
      <c r="M638" s="19"/>
      <c r="N638" s="31"/>
      <c r="O638" s="31"/>
      <c r="P638" s="19"/>
      <c r="Q638" s="19"/>
    </row>
    <row r="639" spans="1:17" ht="46.5" customHeight="1" x14ac:dyDescent="0.7">
      <c r="A639" s="19"/>
      <c r="B639" s="19"/>
      <c r="C639" s="19"/>
      <c r="D639" s="31"/>
      <c r="E639" s="31"/>
      <c r="F639" s="31"/>
      <c r="G639" s="31"/>
      <c r="H639" s="31"/>
      <c r="I639" s="31"/>
      <c r="J639" s="31"/>
      <c r="K639" s="19"/>
      <c r="L639" s="19"/>
      <c r="M639" s="19"/>
      <c r="N639" s="31"/>
      <c r="O639" s="31"/>
      <c r="P639" s="19"/>
      <c r="Q639" s="19"/>
    </row>
    <row r="640" spans="1:17" ht="46.5" customHeight="1" x14ac:dyDescent="0.7">
      <c r="A640" s="19"/>
      <c r="B640" s="19"/>
      <c r="C640" s="19"/>
      <c r="D640" s="31"/>
      <c r="E640" s="31"/>
      <c r="F640" s="31"/>
      <c r="G640" s="31"/>
      <c r="H640" s="31"/>
      <c r="I640" s="31"/>
      <c r="J640" s="31"/>
      <c r="K640" s="19"/>
      <c r="L640" s="19"/>
      <c r="M640" s="19"/>
      <c r="N640" s="31"/>
      <c r="O640" s="31"/>
      <c r="P640" s="19"/>
      <c r="Q640" s="19"/>
    </row>
    <row r="641" spans="1:17" ht="46.5" customHeight="1" x14ac:dyDescent="0.7">
      <c r="A641" s="19"/>
      <c r="B641" s="19"/>
      <c r="C641" s="19"/>
      <c r="D641" s="31"/>
      <c r="E641" s="31"/>
      <c r="F641" s="31"/>
      <c r="G641" s="31"/>
      <c r="H641" s="31"/>
      <c r="I641" s="31"/>
      <c r="J641" s="31"/>
      <c r="K641" s="19"/>
      <c r="L641" s="19"/>
      <c r="M641" s="19"/>
      <c r="N641" s="31"/>
      <c r="O641" s="31"/>
      <c r="P641" s="19"/>
      <c r="Q641" s="19"/>
    </row>
    <row r="642" spans="1:17" ht="46.5" customHeight="1" x14ac:dyDescent="0.7">
      <c r="A642" s="19"/>
      <c r="B642" s="19"/>
      <c r="C642" s="19"/>
      <c r="D642" s="31"/>
      <c r="E642" s="31"/>
      <c r="F642" s="31"/>
      <c r="G642" s="31"/>
      <c r="H642" s="31"/>
      <c r="I642" s="31"/>
      <c r="J642" s="31"/>
      <c r="K642" s="19"/>
      <c r="L642" s="19"/>
      <c r="M642" s="19"/>
      <c r="N642" s="31"/>
      <c r="O642" s="31"/>
      <c r="P642" s="19"/>
      <c r="Q642" s="19"/>
    </row>
    <row r="643" spans="1:17" ht="46.5" customHeight="1" x14ac:dyDescent="0.7">
      <c r="A643" s="19"/>
      <c r="B643" s="19"/>
      <c r="C643" s="19"/>
      <c r="D643" s="31"/>
      <c r="E643" s="31"/>
      <c r="F643" s="31"/>
      <c r="G643" s="31"/>
      <c r="H643" s="31"/>
      <c r="I643" s="31"/>
      <c r="J643" s="31"/>
      <c r="K643" s="19"/>
      <c r="L643" s="19"/>
      <c r="M643" s="19"/>
      <c r="N643" s="31"/>
      <c r="O643" s="31"/>
      <c r="P643" s="19"/>
      <c r="Q643" s="19"/>
    </row>
    <row r="644" spans="1:17" ht="46.5" customHeight="1" x14ac:dyDescent="0.7">
      <c r="A644" s="19"/>
      <c r="B644" s="19"/>
      <c r="C644" s="19"/>
      <c r="D644" s="31"/>
      <c r="E644" s="31"/>
      <c r="F644" s="31"/>
      <c r="G644" s="31"/>
      <c r="H644" s="31"/>
      <c r="I644" s="31"/>
      <c r="J644" s="31"/>
      <c r="K644" s="19"/>
      <c r="L644" s="19"/>
      <c r="M644" s="19"/>
      <c r="N644" s="31"/>
      <c r="O644" s="31"/>
      <c r="P644" s="19"/>
      <c r="Q644" s="19"/>
    </row>
    <row r="645" spans="1:17" ht="46.5" customHeight="1" x14ac:dyDescent="0.7">
      <c r="A645" s="19"/>
      <c r="B645" s="19"/>
      <c r="C645" s="19"/>
      <c r="D645" s="31"/>
      <c r="E645" s="31"/>
      <c r="F645" s="31"/>
      <c r="G645" s="31"/>
      <c r="H645" s="31"/>
      <c r="I645" s="31"/>
      <c r="J645" s="31"/>
      <c r="K645" s="19"/>
      <c r="L645" s="19"/>
      <c r="M645" s="19"/>
      <c r="N645" s="31"/>
      <c r="O645" s="31"/>
      <c r="P645" s="19"/>
      <c r="Q645" s="19"/>
    </row>
    <row r="646" spans="1:17" ht="46.5" customHeight="1" x14ac:dyDescent="0.7">
      <c r="A646" s="19"/>
      <c r="B646" s="19"/>
      <c r="C646" s="19"/>
      <c r="D646" s="31"/>
      <c r="E646" s="31"/>
      <c r="F646" s="31"/>
      <c r="G646" s="31"/>
      <c r="H646" s="31"/>
      <c r="I646" s="31"/>
      <c r="J646" s="31"/>
      <c r="K646" s="19"/>
      <c r="L646" s="19"/>
      <c r="M646" s="19"/>
      <c r="N646" s="31"/>
      <c r="O646" s="31"/>
      <c r="P646" s="19"/>
      <c r="Q646" s="19"/>
    </row>
    <row r="647" spans="1:17" ht="46.5" customHeight="1" x14ac:dyDescent="0.7">
      <c r="A647" s="19"/>
      <c r="B647" s="19"/>
      <c r="C647" s="19"/>
      <c r="D647" s="31"/>
      <c r="E647" s="31"/>
      <c r="F647" s="31"/>
      <c r="G647" s="31"/>
      <c r="H647" s="31"/>
      <c r="I647" s="31"/>
      <c r="J647" s="31"/>
      <c r="K647" s="19"/>
      <c r="L647" s="19"/>
      <c r="M647" s="19"/>
      <c r="N647" s="31"/>
      <c r="O647" s="31"/>
      <c r="P647" s="19"/>
      <c r="Q647" s="19"/>
    </row>
    <row r="648" spans="1:17" ht="46.5" customHeight="1" x14ac:dyDescent="0.7">
      <c r="A648" s="19"/>
      <c r="B648" s="19"/>
      <c r="C648" s="19"/>
      <c r="D648" s="31"/>
      <c r="E648" s="31"/>
      <c r="F648" s="31"/>
      <c r="G648" s="31"/>
      <c r="H648" s="31"/>
      <c r="I648" s="31"/>
      <c r="J648" s="31"/>
      <c r="K648" s="19"/>
      <c r="L648" s="19"/>
      <c r="M648" s="19"/>
      <c r="N648" s="31"/>
      <c r="O648" s="31"/>
      <c r="P648" s="19"/>
      <c r="Q648" s="19"/>
    </row>
    <row r="649" spans="1:17" ht="46.5" customHeight="1" x14ac:dyDescent="0.7">
      <c r="A649" s="19"/>
      <c r="B649" s="19"/>
      <c r="C649" s="19"/>
      <c r="D649" s="31"/>
      <c r="E649" s="31"/>
      <c r="F649" s="31"/>
      <c r="G649" s="31"/>
      <c r="H649" s="31"/>
      <c r="I649" s="31"/>
      <c r="J649" s="31"/>
      <c r="K649" s="19"/>
      <c r="L649" s="19"/>
      <c r="M649" s="19"/>
      <c r="N649" s="31"/>
      <c r="O649" s="31"/>
      <c r="P649" s="19"/>
      <c r="Q649" s="19"/>
    </row>
    <row r="650" spans="1:17" ht="46.5" customHeight="1" x14ac:dyDescent="0.7">
      <c r="A650" s="19"/>
      <c r="B650" s="19"/>
      <c r="C650" s="19"/>
      <c r="D650" s="31"/>
      <c r="E650" s="31"/>
      <c r="F650" s="31"/>
      <c r="G650" s="31"/>
      <c r="H650" s="31"/>
      <c r="I650" s="31"/>
      <c r="J650" s="31"/>
      <c r="K650" s="19"/>
      <c r="L650" s="19"/>
      <c r="M650" s="19"/>
      <c r="N650" s="31"/>
      <c r="O650" s="31"/>
      <c r="P650" s="19"/>
      <c r="Q650" s="19"/>
    </row>
    <row r="651" spans="1:17" ht="46.5" customHeight="1" x14ac:dyDescent="0.7">
      <c r="A651" s="19"/>
      <c r="B651" s="19"/>
      <c r="C651" s="19"/>
      <c r="D651" s="31"/>
      <c r="E651" s="31"/>
      <c r="F651" s="31"/>
      <c r="G651" s="31"/>
      <c r="H651" s="31"/>
      <c r="I651" s="31"/>
      <c r="J651" s="31"/>
      <c r="K651" s="19"/>
      <c r="L651" s="19"/>
      <c r="M651" s="19"/>
      <c r="N651" s="31"/>
      <c r="O651" s="31"/>
      <c r="P651" s="19"/>
      <c r="Q651" s="19"/>
    </row>
    <row r="652" spans="1:17" ht="46.5" customHeight="1" x14ac:dyDescent="0.7">
      <c r="A652" s="19"/>
      <c r="B652" s="19"/>
      <c r="C652" s="19"/>
      <c r="D652" s="31"/>
      <c r="E652" s="31"/>
      <c r="F652" s="31"/>
      <c r="G652" s="31"/>
      <c r="H652" s="31"/>
      <c r="I652" s="31"/>
      <c r="J652" s="31"/>
      <c r="K652" s="19"/>
      <c r="L652" s="19"/>
      <c r="M652" s="19"/>
      <c r="N652" s="31"/>
      <c r="O652" s="31"/>
      <c r="P652" s="19"/>
      <c r="Q652" s="19"/>
    </row>
    <row r="653" spans="1:17" ht="46.5" customHeight="1" x14ac:dyDescent="0.7">
      <c r="A653" s="19"/>
      <c r="B653" s="19"/>
      <c r="C653" s="19"/>
      <c r="D653" s="31"/>
      <c r="E653" s="31"/>
      <c r="F653" s="31"/>
      <c r="G653" s="31"/>
      <c r="H653" s="31"/>
      <c r="I653" s="31"/>
      <c r="J653" s="31"/>
      <c r="K653" s="19"/>
      <c r="L653" s="19"/>
      <c r="M653" s="19"/>
      <c r="N653" s="31"/>
      <c r="O653" s="31"/>
      <c r="P653" s="19"/>
      <c r="Q653" s="19"/>
    </row>
    <row r="654" spans="1:17" ht="46.5" customHeight="1" x14ac:dyDescent="0.7">
      <c r="A654" s="19"/>
      <c r="B654" s="19"/>
      <c r="C654" s="19"/>
      <c r="D654" s="31"/>
      <c r="E654" s="31"/>
      <c r="F654" s="31"/>
      <c r="G654" s="31"/>
      <c r="H654" s="31"/>
      <c r="I654" s="31"/>
      <c r="J654" s="31"/>
      <c r="K654" s="19"/>
      <c r="L654" s="19"/>
      <c r="M654" s="19"/>
      <c r="N654" s="31"/>
      <c r="O654" s="31"/>
      <c r="P654" s="19"/>
      <c r="Q654" s="19"/>
    </row>
    <row r="655" spans="1:17" ht="46.5" customHeight="1" x14ac:dyDescent="0.7">
      <c r="A655" s="19"/>
      <c r="B655" s="19"/>
      <c r="C655" s="19"/>
      <c r="D655" s="31"/>
      <c r="E655" s="31"/>
      <c r="F655" s="31"/>
      <c r="G655" s="31"/>
      <c r="H655" s="31"/>
      <c r="I655" s="31"/>
      <c r="J655" s="31"/>
      <c r="K655" s="19"/>
      <c r="L655" s="19"/>
      <c r="M655" s="19"/>
      <c r="N655" s="31"/>
      <c r="O655" s="31"/>
      <c r="P655" s="19"/>
      <c r="Q655" s="19"/>
    </row>
    <row r="656" spans="1:17" ht="46.5" customHeight="1" x14ac:dyDescent="0.7">
      <c r="A656" s="19"/>
      <c r="B656" s="19"/>
      <c r="C656" s="19"/>
      <c r="D656" s="31"/>
      <c r="E656" s="31"/>
      <c r="F656" s="31"/>
      <c r="G656" s="31"/>
      <c r="H656" s="31"/>
      <c r="I656" s="31"/>
      <c r="J656" s="31"/>
      <c r="K656" s="19"/>
      <c r="L656" s="19"/>
      <c r="M656" s="19"/>
      <c r="N656" s="31"/>
      <c r="O656" s="31"/>
      <c r="P656" s="19"/>
      <c r="Q656" s="19"/>
    </row>
    <row r="657" spans="1:17" ht="46.5" customHeight="1" x14ac:dyDescent="0.7">
      <c r="A657" s="19"/>
      <c r="B657" s="19"/>
      <c r="C657" s="19"/>
      <c r="D657" s="31"/>
      <c r="E657" s="31"/>
      <c r="F657" s="31"/>
      <c r="G657" s="31"/>
      <c r="H657" s="31"/>
      <c r="I657" s="31"/>
      <c r="J657" s="31"/>
      <c r="K657" s="19"/>
      <c r="L657" s="19"/>
      <c r="M657" s="19"/>
      <c r="N657" s="31"/>
      <c r="O657" s="31"/>
      <c r="P657" s="19"/>
      <c r="Q657" s="19"/>
    </row>
    <row r="658" spans="1:17" ht="46.5" customHeight="1" x14ac:dyDescent="0.7">
      <c r="A658" s="19"/>
      <c r="B658" s="19"/>
      <c r="C658" s="19"/>
      <c r="D658" s="31"/>
      <c r="E658" s="31"/>
      <c r="F658" s="31"/>
      <c r="G658" s="31"/>
      <c r="H658" s="31"/>
      <c r="I658" s="31"/>
      <c r="J658" s="31"/>
      <c r="K658" s="19"/>
      <c r="L658" s="19"/>
      <c r="M658" s="19"/>
      <c r="N658" s="31"/>
      <c r="O658" s="31"/>
      <c r="P658" s="19"/>
      <c r="Q658" s="19"/>
    </row>
    <row r="659" spans="1:17" ht="46.5" customHeight="1" x14ac:dyDescent="0.7">
      <c r="A659" s="19"/>
      <c r="B659" s="19"/>
      <c r="C659" s="19"/>
      <c r="D659" s="31"/>
      <c r="E659" s="31"/>
      <c r="F659" s="31"/>
      <c r="G659" s="31"/>
      <c r="H659" s="31"/>
      <c r="I659" s="31"/>
      <c r="J659" s="31"/>
      <c r="K659" s="19"/>
      <c r="L659" s="19"/>
      <c r="M659" s="19"/>
      <c r="N659" s="31"/>
      <c r="O659" s="31"/>
      <c r="P659" s="19"/>
      <c r="Q659" s="19"/>
    </row>
    <row r="660" spans="1:17" ht="46.5" customHeight="1" x14ac:dyDescent="0.7">
      <c r="A660" s="19"/>
      <c r="B660" s="19"/>
      <c r="C660" s="19"/>
      <c r="D660" s="31"/>
      <c r="E660" s="31"/>
      <c r="F660" s="31"/>
      <c r="G660" s="31"/>
      <c r="H660" s="31"/>
      <c r="I660" s="31"/>
      <c r="J660" s="31"/>
      <c r="K660" s="19"/>
      <c r="L660" s="19"/>
      <c r="M660" s="19"/>
      <c r="N660" s="31"/>
      <c r="O660" s="31"/>
      <c r="P660" s="19"/>
      <c r="Q660" s="19"/>
    </row>
    <row r="661" spans="1:17" ht="46.5" customHeight="1" x14ac:dyDescent="0.7">
      <c r="A661" s="19"/>
      <c r="B661" s="19"/>
      <c r="C661" s="19"/>
      <c r="D661" s="31"/>
      <c r="E661" s="31"/>
      <c r="F661" s="31"/>
      <c r="G661" s="31"/>
      <c r="H661" s="31"/>
      <c r="I661" s="31"/>
      <c r="J661" s="31"/>
      <c r="K661" s="19"/>
      <c r="L661" s="19"/>
      <c r="M661" s="19"/>
      <c r="N661" s="31"/>
      <c r="O661" s="31"/>
      <c r="P661" s="19"/>
      <c r="Q661" s="19"/>
    </row>
    <row r="662" spans="1:17" ht="46.5" customHeight="1" x14ac:dyDescent="0.7">
      <c r="A662" s="19"/>
      <c r="B662" s="19"/>
      <c r="C662" s="19"/>
      <c r="D662" s="31"/>
      <c r="E662" s="31"/>
      <c r="F662" s="31"/>
      <c r="G662" s="31"/>
      <c r="H662" s="31"/>
      <c r="I662" s="31"/>
      <c r="J662" s="31"/>
      <c r="K662" s="19"/>
      <c r="L662" s="19"/>
      <c r="M662" s="19"/>
      <c r="N662" s="31"/>
      <c r="O662" s="31"/>
      <c r="P662" s="19"/>
      <c r="Q662" s="19"/>
    </row>
    <row r="663" spans="1:17" ht="46.5" customHeight="1" x14ac:dyDescent="0.7">
      <c r="A663" s="19"/>
      <c r="B663" s="19"/>
      <c r="C663" s="19"/>
      <c r="D663" s="31"/>
      <c r="E663" s="31"/>
      <c r="F663" s="31"/>
      <c r="G663" s="31"/>
      <c r="H663" s="31"/>
      <c r="I663" s="31"/>
      <c r="J663" s="31"/>
      <c r="K663" s="19"/>
      <c r="L663" s="19"/>
      <c r="M663" s="19"/>
      <c r="N663" s="31"/>
      <c r="O663" s="31"/>
      <c r="P663" s="19"/>
      <c r="Q663" s="19"/>
    </row>
    <row r="664" spans="1:17" ht="46.5" customHeight="1" x14ac:dyDescent="0.7">
      <c r="A664" s="19"/>
      <c r="B664" s="19"/>
      <c r="C664" s="19"/>
      <c r="D664" s="31"/>
      <c r="E664" s="31"/>
      <c r="F664" s="31"/>
      <c r="G664" s="31"/>
      <c r="H664" s="31"/>
      <c r="I664" s="31"/>
      <c r="J664" s="31"/>
      <c r="K664" s="19"/>
      <c r="L664" s="19"/>
      <c r="M664" s="19"/>
      <c r="N664" s="31"/>
      <c r="O664" s="31"/>
      <c r="P664" s="19"/>
      <c r="Q664" s="19"/>
    </row>
    <row r="665" spans="1:17" ht="46.5" customHeight="1" x14ac:dyDescent="0.7">
      <c r="A665" s="19"/>
      <c r="B665" s="19"/>
      <c r="C665" s="19"/>
      <c r="D665" s="31"/>
      <c r="E665" s="31"/>
      <c r="F665" s="31"/>
      <c r="G665" s="31"/>
      <c r="H665" s="31"/>
      <c r="I665" s="31"/>
      <c r="J665" s="31"/>
      <c r="K665" s="19"/>
      <c r="L665" s="19"/>
      <c r="M665" s="19"/>
      <c r="N665" s="31"/>
      <c r="O665" s="31"/>
      <c r="P665" s="19"/>
      <c r="Q665" s="19"/>
    </row>
    <row r="666" spans="1:17" ht="46.5" customHeight="1" x14ac:dyDescent="0.7">
      <c r="A666" s="19"/>
      <c r="B666" s="19"/>
      <c r="C666" s="19"/>
      <c r="D666" s="31"/>
      <c r="E666" s="31"/>
      <c r="F666" s="31"/>
      <c r="G666" s="31"/>
      <c r="H666" s="31"/>
      <c r="I666" s="31"/>
      <c r="J666" s="31"/>
      <c r="K666" s="19"/>
      <c r="L666" s="19"/>
      <c r="M666" s="19"/>
      <c r="N666" s="31"/>
      <c r="O666" s="31"/>
      <c r="P666" s="19"/>
      <c r="Q666" s="19"/>
    </row>
    <row r="667" spans="1:17" ht="46.5" customHeight="1" x14ac:dyDescent="0.7">
      <c r="A667" s="19"/>
      <c r="B667" s="19"/>
      <c r="C667" s="19"/>
      <c r="D667" s="31"/>
      <c r="E667" s="31"/>
      <c r="F667" s="31"/>
      <c r="G667" s="31"/>
      <c r="H667" s="31"/>
      <c r="I667" s="31"/>
      <c r="J667" s="31"/>
      <c r="K667" s="19"/>
      <c r="L667" s="19"/>
      <c r="M667" s="19"/>
      <c r="N667" s="31"/>
      <c r="O667" s="31"/>
      <c r="P667" s="19"/>
      <c r="Q667" s="19"/>
    </row>
    <row r="668" spans="1:17" ht="46.5" customHeight="1" x14ac:dyDescent="0.7">
      <c r="A668" s="19"/>
      <c r="B668" s="19"/>
      <c r="C668" s="19"/>
      <c r="D668" s="31"/>
      <c r="E668" s="31"/>
      <c r="F668" s="31"/>
      <c r="G668" s="31"/>
      <c r="H668" s="31"/>
      <c r="I668" s="31"/>
      <c r="J668" s="31"/>
      <c r="K668" s="19"/>
      <c r="L668" s="19"/>
      <c r="M668" s="19"/>
      <c r="N668" s="31"/>
      <c r="O668" s="31"/>
      <c r="P668" s="19"/>
      <c r="Q668" s="19"/>
    </row>
    <row r="669" spans="1:17" ht="46.5" customHeight="1" x14ac:dyDescent="0.7">
      <c r="A669" s="19"/>
      <c r="B669" s="19"/>
      <c r="C669" s="19"/>
      <c r="D669" s="31"/>
      <c r="E669" s="31"/>
      <c r="F669" s="31"/>
      <c r="G669" s="31"/>
      <c r="H669" s="31"/>
      <c r="I669" s="31"/>
      <c r="J669" s="31"/>
      <c r="K669" s="19"/>
      <c r="L669" s="19"/>
      <c r="M669" s="19"/>
      <c r="N669" s="31"/>
      <c r="O669" s="31"/>
      <c r="P669" s="19"/>
      <c r="Q669" s="19"/>
    </row>
    <row r="670" spans="1:17" ht="46.5" customHeight="1" x14ac:dyDescent="0.7">
      <c r="A670" s="19"/>
      <c r="B670" s="19"/>
      <c r="C670" s="19"/>
      <c r="D670" s="31"/>
      <c r="E670" s="31"/>
      <c r="F670" s="31"/>
      <c r="G670" s="31"/>
      <c r="H670" s="31"/>
      <c r="I670" s="31"/>
      <c r="J670" s="31"/>
      <c r="K670" s="19"/>
      <c r="L670" s="19"/>
      <c r="M670" s="19"/>
      <c r="N670" s="31"/>
      <c r="O670" s="31"/>
      <c r="P670" s="19"/>
      <c r="Q670" s="19"/>
    </row>
    <row r="671" spans="1:17" ht="46.5" customHeight="1" x14ac:dyDescent="0.7">
      <c r="A671" s="19"/>
      <c r="B671" s="19"/>
      <c r="C671" s="19"/>
      <c r="D671" s="31"/>
      <c r="E671" s="31"/>
      <c r="F671" s="31"/>
      <c r="G671" s="31"/>
      <c r="H671" s="31"/>
      <c r="I671" s="31"/>
      <c r="J671" s="31"/>
      <c r="K671" s="19"/>
      <c r="L671" s="19"/>
      <c r="M671" s="19"/>
      <c r="N671" s="31"/>
      <c r="O671" s="31"/>
      <c r="P671" s="19"/>
      <c r="Q671" s="19"/>
    </row>
    <row r="672" spans="1:17" ht="46.5" customHeight="1" x14ac:dyDescent="0.7">
      <c r="A672" s="19"/>
      <c r="B672" s="19"/>
      <c r="C672" s="19"/>
      <c r="D672" s="31"/>
      <c r="E672" s="31"/>
      <c r="F672" s="31"/>
      <c r="G672" s="31"/>
      <c r="H672" s="31"/>
      <c r="I672" s="31"/>
      <c r="J672" s="31"/>
      <c r="K672" s="19"/>
      <c r="L672" s="19"/>
      <c r="M672" s="19"/>
      <c r="N672" s="31"/>
      <c r="O672" s="31"/>
      <c r="P672" s="19"/>
      <c r="Q672" s="19"/>
    </row>
    <row r="673" spans="1:17" ht="46.5" customHeight="1" x14ac:dyDescent="0.7">
      <c r="A673" s="19"/>
      <c r="B673" s="19"/>
      <c r="C673" s="19"/>
      <c r="D673" s="31"/>
      <c r="E673" s="31"/>
      <c r="F673" s="31"/>
      <c r="G673" s="31"/>
      <c r="H673" s="31"/>
      <c r="I673" s="31"/>
      <c r="J673" s="31"/>
      <c r="K673" s="19"/>
      <c r="L673" s="19"/>
      <c r="M673" s="19"/>
      <c r="N673" s="31"/>
      <c r="O673" s="31"/>
      <c r="P673" s="19"/>
      <c r="Q673" s="19"/>
    </row>
    <row r="674" spans="1:17" ht="46.5" customHeight="1" x14ac:dyDescent="0.7">
      <c r="A674" s="19"/>
      <c r="B674" s="19"/>
      <c r="C674" s="19"/>
      <c r="D674" s="31"/>
      <c r="E674" s="31"/>
      <c r="F674" s="31"/>
      <c r="G674" s="31"/>
      <c r="H674" s="31"/>
      <c r="I674" s="31"/>
      <c r="J674" s="31"/>
      <c r="K674" s="19"/>
      <c r="L674" s="19"/>
      <c r="M674" s="19"/>
      <c r="N674" s="31"/>
      <c r="O674" s="31"/>
      <c r="P674" s="19"/>
      <c r="Q674" s="19"/>
    </row>
    <row r="675" spans="1:17" ht="46.5" customHeight="1" x14ac:dyDescent="0.7">
      <c r="A675" s="19"/>
      <c r="B675" s="19"/>
      <c r="C675" s="19"/>
      <c r="D675" s="31"/>
      <c r="E675" s="31"/>
      <c r="F675" s="31"/>
      <c r="G675" s="31"/>
      <c r="H675" s="31"/>
      <c r="I675" s="31"/>
      <c r="J675" s="31"/>
      <c r="K675" s="19"/>
      <c r="L675" s="19"/>
      <c r="M675" s="19"/>
      <c r="N675" s="31"/>
      <c r="O675" s="31"/>
      <c r="P675" s="19"/>
      <c r="Q675" s="19"/>
    </row>
    <row r="676" spans="1:17" ht="46.5" customHeight="1" x14ac:dyDescent="0.7">
      <c r="A676" s="19"/>
      <c r="B676" s="19"/>
      <c r="C676" s="19"/>
      <c r="D676" s="31"/>
      <c r="E676" s="31"/>
      <c r="F676" s="31"/>
      <c r="G676" s="31"/>
      <c r="H676" s="31"/>
      <c r="I676" s="31"/>
      <c r="J676" s="31"/>
      <c r="K676" s="19"/>
      <c r="L676" s="19"/>
      <c r="M676" s="19"/>
      <c r="N676" s="31"/>
      <c r="O676" s="31"/>
      <c r="P676" s="19"/>
      <c r="Q676" s="19"/>
    </row>
    <row r="677" spans="1:17" ht="46.5" customHeight="1" x14ac:dyDescent="0.7">
      <c r="A677" s="19"/>
      <c r="B677" s="19"/>
      <c r="C677" s="19"/>
      <c r="D677" s="31"/>
      <c r="E677" s="31"/>
      <c r="F677" s="31"/>
      <c r="G677" s="31"/>
      <c r="H677" s="31"/>
      <c r="I677" s="31"/>
      <c r="J677" s="31"/>
      <c r="K677" s="19"/>
      <c r="L677" s="19"/>
      <c r="M677" s="19"/>
      <c r="N677" s="31"/>
      <c r="O677" s="31"/>
      <c r="P677" s="19"/>
      <c r="Q677" s="19"/>
    </row>
    <row r="678" spans="1:17" ht="46.5" customHeight="1" x14ac:dyDescent="0.7">
      <c r="A678" s="19"/>
      <c r="B678" s="19"/>
      <c r="C678" s="19"/>
      <c r="D678" s="31"/>
      <c r="E678" s="31"/>
      <c r="F678" s="31"/>
      <c r="G678" s="31"/>
      <c r="H678" s="31"/>
      <c r="I678" s="31"/>
      <c r="J678" s="31"/>
      <c r="K678" s="19"/>
      <c r="L678" s="19"/>
      <c r="M678" s="19"/>
      <c r="N678" s="31"/>
      <c r="O678" s="31"/>
      <c r="P678" s="19"/>
      <c r="Q678" s="19"/>
    </row>
    <row r="679" spans="1:17" ht="46.5" customHeight="1" x14ac:dyDescent="0.7">
      <c r="A679" s="19"/>
      <c r="B679" s="19"/>
      <c r="C679" s="19"/>
      <c r="D679" s="31"/>
      <c r="E679" s="31"/>
      <c r="F679" s="31"/>
      <c r="G679" s="31"/>
      <c r="H679" s="31"/>
      <c r="I679" s="31"/>
      <c r="J679" s="31"/>
      <c r="K679" s="19"/>
      <c r="L679" s="19"/>
      <c r="M679" s="19"/>
      <c r="N679" s="31"/>
      <c r="O679" s="31"/>
      <c r="P679" s="19"/>
      <c r="Q679" s="19"/>
    </row>
    <row r="680" spans="1:17" ht="46.5" customHeight="1" x14ac:dyDescent="0.7">
      <c r="A680" s="19"/>
      <c r="B680" s="19"/>
      <c r="C680" s="19"/>
      <c r="D680" s="31"/>
      <c r="E680" s="31"/>
      <c r="F680" s="31"/>
      <c r="G680" s="31"/>
      <c r="H680" s="31"/>
      <c r="I680" s="31"/>
      <c r="J680" s="31"/>
      <c r="K680" s="19"/>
      <c r="L680" s="19"/>
      <c r="M680" s="19"/>
      <c r="N680" s="31"/>
      <c r="O680" s="31"/>
      <c r="P680" s="19"/>
      <c r="Q680" s="19"/>
    </row>
    <row r="681" spans="1:17" ht="46.5" customHeight="1" x14ac:dyDescent="0.7">
      <c r="A681" s="19"/>
      <c r="B681" s="19"/>
      <c r="C681" s="19"/>
      <c r="D681" s="31"/>
      <c r="E681" s="31"/>
      <c r="F681" s="31"/>
      <c r="G681" s="31"/>
      <c r="H681" s="31"/>
      <c r="I681" s="31"/>
      <c r="J681" s="31"/>
      <c r="K681" s="19"/>
      <c r="L681" s="19"/>
      <c r="M681" s="19"/>
      <c r="N681" s="31"/>
      <c r="O681" s="31"/>
      <c r="P681" s="19"/>
      <c r="Q681" s="19"/>
    </row>
    <row r="682" spans="1:17" ht="46.5" customHeight="1" x14ac:dyDescent="0.7">
      <c r="A682" s="19"/>
      <c r="B682" s="19"/>
      <c r="C682" s="19"/>
      <c r="D682" s="31"/>
      <c r="E682" s="31"/>
      <c r="F682" s="31"/>
      <c r="G682" s="31"/>
      <c r="H682" s="31"/>
      <c r="I682" s="31"/>
      <c r="J682" s="31"/>
      <c r="K682" s="19"/>
      <c r="L682" s="19"/>
      <c r="M682" s="19"/>
      <c r="N682" s="31"/>
      <c r="O682" s="31"/>
      <c r="P682" s="19"/>
      <c r="Q682" s="19"/>
    </row>
    <row r="683" spans="1:17" ht="46.5" customHeight="1" x14ac:dyDescent="0.7">
      <c r="A683" s="19"/>
      <c r="B683" s="19"/>
      <c r="C683" s="19"/>
      <c r="D683" s="31"/>
      <c r="E683" s="31"/>
      <c r="F683" s="31"/>
      <c r="G683" s="31"/>
      <c r="H683" s="31"/>
      <c r="I683" s="31"/>
      <c r="J683" s="31"/>
      <c r="K683" s="19"/>
      <c r="L683" s="19"/>
      <c r="M683" s="19"/>
      <c r="N683" s="31"/>
      <c r="O683" s="31"/>
      <c r="P683" s="19"/>
      <c r="Q683" s="19"/>
    </row>
    <row r="684" spans="1:17" ht="46.5" customHeight="1" x14ac:dyDescent="0.7">
      <c r="A684" s="19"/>
      <c r="B684" s="19"/>
      <c r="C684" s="19"/>
      <c r="D684" s="31"/>
      <c r="E684" s="31"/>
      <c r="F684" s="31"/>
      <c r="G684" s="31"/>
      <c r="H684" s="31"/>
      <c r="I684" s="31"/>
      <c r="J684" s="31"/>
      <c r="K684" s="19"/>
      <c r="L684" s="19"/>
      <c r="M684" s="19"/>
      <c r="N684" s="31"/>
      <c r="O684" s="31"/>
      <c r="P684" s="19"/>
      <c r="Q684" s="19"/>
    </row>
    <row r="685" spans="1:17" ht="46.5" customHeight="1" x14ac:dyDescent="0.7">
      <c r="A685" s="19"/>
      <c r="B685" s="19"/>
      <c r="C685" s="19"/>
      <c r="D685" s="31"/>
      <c r="E685" s="31"/>
      <c r="F685" s="31"/>
      <c r="G685" s="31"/>
      <c r="H685" s="31"/>
      <c r="I685" s="31"/>
      <c r="J685" s="31"/>
      <c r="K685" s="19"/>
      <c r="L685" s="19"/>
      <c r="M685" s="19"/>
      <c r="N685" s="31"/>
      <c r="O685" s="31"/>
      <c r="P685" s="19"/>
      <c r="Q685" s="19"/>
    </row>
    <row r="686" spans="1:17" ht="46.5" customHeight="1" x14ac:dyDescent="0.7">
      <c r="A686" s="19"/>
      <c r="B686" s="19"/>
      <c r="C686" s="19"/>
      <c r="D686" s="31"/>
      <c r="E686" s="31"/>
      <c r="F686" s="31"/>
      <c r="G686" s="31"/>
      <c r="H686" s="31"/>
      <c r="I686" s="31"/>
      <c r="J686" s="31"/>
      <c r="K686" s="19"/>
      <c r="L686" s="19"/>
      <c r="M686" s="19"/>
      <c r="N686" s="31"/>
      <c r="O686" s="31"/>
      <c r="P686" s="19"/>
      <c r="Q686" s="19"/>
    </row>
    <row r="687" spans="1:17" ht="46.5" customHeight="1" x14ac:dyDescent="0.7">
      <c r="A687" s="19"/>
      <c r="B687" s="19"/>
      <c r="C687" s="19"/>
      <c r="D687" s="31"/>
      <c r="E687" s="31"/>
      <c r="F687" s="31"/>
      <c r="G687" s="31"/>
      <c r="H687" s="31"/>
      <c r="I687" s="31"/>
      <c r="J687" s="31"/>
      <c r="K687" s="19"/>
      <c r="L687" s="19"/>
      <c r="M687" s="19"/>
      <c r="N687" s="31"/>
      <c r="O687" s="31"/>
      <c r="P687" s="19"/>
      <c r="Q687" s="19"/>
    </row>
    <row r="688" spans="1:17" ht="46.5" customHeight="1" x14ac:dyDescent="0.7">
      <c r="A688" s="19"/>
      <c r="B688" s="19"/>
      <c r="C688" s="19"/>
      <c r="D688" s="31"/>
      <c r="E688" s="31"/>
      <c r="F688" s="31"/>
      <c r="G688" s="31"/>
      <c r="H688" s="31"/>
      <c r="I688" s="31"/>
      <c r="J688" s="31"/>
      <c r="K688" s="19"/>
      <c r="L688" s="19"/>
      <c r="M688" s="19"/>
      <c r="N688" s="31"/>
      <c r="O688" s="31"/>
      <c r="P688" s="19"/>
      <c r="Q688" s="19"/>
    </row>
    <row r="689" spans="1:17" ht="46.5" customHeight="1" x14ac:dyDescent="0.7">
      <c r="A689" s="19"/>
      <c r="B689" s="19"/>
      <c r="C689" s="19"/>
      <c r="D689" s="31"/>
      <c r="E689" s="31"/>
      <c r="F689" s="31"/>
      <c r="G689" s="31"/>
      <c r="H689" s="31"/>
      <c r="I689" s="31"/>
      <c r="J689" s="31"/>
      <c r="K689" s="19"/>
      <c r="L689" s="19"/>
      <c r="M689" s="19"/>
      <c r="N689" s="31"/>
      <c r="O689" s="31"/>
      <c r="P689" s="19"/>
      <c r="Q689" s="19"/>
    </row>
    <row r="690" spans="1:17" ht="46.5" customHeight="1" x14ac:dyDescent="0.7">
      <c r="A690" s="19"/>
      <c r="B690" s="19"/>
      <c r="C690" s="19"/>
      <c r="D690" s="31"/>
      <c r="E690" s="31"/>
      <c r="F690" s="31"/>
      <c r="G690" s="31"/>
      <c r="H690" s="31"/>
      <c r="I690" s="31"/>
      <c r="J690" s="31"/>
      <c r="K690" s="19"/>
      <c r="L690" s="19"/>
      <c r="M690" s="19"/>
      <c r="N690" s="31"/>
      <c r="O690" s="31"/>
      <c r="P690" s="19"/>
      <c r="Q690" s="19"/>
    </row>
    <row r="691" spans="1:17" ht="46.5" customHeight="1" x14ac:dyDescent="0.7">
      <c r="A691" s="19"/>
      <c r="B691" s="19"/>
      <c r="C691" s="19"/>
      <c r="D691" s="31"/>
      <c r="E691" s="31"/>
      <c r="F691" s="31"/>
      <c r="G691" s="31"/>
      <c r="H691" s="31"/>
      <c r="I691" s="31"/>
      <c r="J691" s="31"/>
      <c r="K691" s="19"/>
      <c r="L691" s="19"/>
      <c r="M691" s="19"/>
      <c r="N691" s="31"/>
      <c r="O691" s="31"/>
      <c r="P691" s="19"/>
      <c r="Q691" s="19"/>
    </row>
    <row r="692" spans="1:17" ht="46.5" customHeight="1" x14ac:dyDescent="0.7">
      <c r="A692" s="19"/>
      <c r="B692" s="19"/>
      <c r="C692" s="19"/>
      <c r="D692" s="31"/>
      <c r="E692" s="31"/>
      <c r="F692" s="31"/>
      <c r="G692" s="31"/>
      <c r="H692" s="31"/>
      <c r="I692" s="31"/>
      <c r="J692" s="31"/>
      <c r="K692" s="19"/>
      <c r="L692" s="19"/>
      <c r="M692" s="19"/>
      <c r="N692" s="31"/>
      <c r="O692" s="31"/>
      <c r="P692" s="19"/>
      <c r="Q692" s="19"/>
    </row>
    <row r="693" spans="1:17" ht="46.5" customHeight="1" x14ac:dyDescent="0.7">
      <c r="A693" s="19"/>
      <c r="B693" s="19"/>
      <c r="C693" s="19"/>
      <c r="D693" s="31"/>
      <c r="E693" s="31"/>
      <c r="F693" s="31"/>
      <c r="G693" s="31"/>
      <c r="H693" s="31"/>
      <c r="I693" s="31"/>
      <c r="J693" s="31"/>
      <c r="K693" s="19"/>
      <c r="L693" s="19"/>
      <c r="M693" s="19"/>
      <c r="N693" s="31"/>
      <c r="O693" s="31"/>
      <c r="P693" s="19"/>
      <c r="Q693" s="19"/>
    </row>
    <row r="694" spans="1:17" ht="46.5" customHeight="1" x14ac:dyDescent="0.7">
      <c r="A694" s="19"/>
      <c r="B694" s="19"/>
      <c r="C694" s="19"/>
      <c r="D694" s="31"/>
      <c r="E694" s="31"/>
      <c r="F694" s="31"/>
      <c r="G694" s="31"/>
      <c r="H694" s="31"/>
      <c r="I694" s="31"/>
      <c r="J694" s="31"/>
      <c r="K694" s="19"/>
      <c r="L694" s="19"/>
      <c r="M694" s="19"/>
      <c r="N694" s="31"/>
      <c r="O694" s="31"/>
      <c r="P694" s="19"/>
      <c r="Q694" s="19"/>
    </row>
    <row r="695" spans="1:17" ht="46.5" customHeight="1" x14ac:dyDescent="0.7">
      <c r="A695" s="19"/>
      <c r="B695" s="19"/>
      <c r="C695" s="19"/>
      <c r="D695" s="31"/>
      <c r="E695" s="31"/>
      <c r="F695" s="31"/>
      <c r="G695" s="31"/>
      <c r="H695" s="31"/>
      <c r="I695" s="31"/>
      <c r="J695" s="31"/>
      <c r="K695" s="19"/>
      <c r="L695" s="19"/>
      <c r="M695" s="19"/>
      <c r="N695" s="31"/>
      <c r="O695" s="31"/>
      <c r="P695" s="19"/>
      <c r="Q695" s="19"/>
    </row>
    <row r="696" spans="1:17" ht="46.5" customHeight="1" x14ac:dyDescent="0.7">
      <c r="A696" s="19"/>
      <c r="B696" s="19"/>
      <c r="C696" s="19"/>
      <c r="D696" s="31"/>
      <c r="E696" s="31"/>
      <c r="F696" s="31"/>
      <c r="G696" s="31"/>
      <c r="H696" s="31"/>
      <c r="I696" s="31"/>
      <c r="J696" s="31"/>
      <c r="K696" s="19"/>
      <c r="L696" s="19"/>
      <c r="M696" s="19"/>
      <c r="N696" s="31"/>
      <c r="O696" s="31"/>
      <c r="P696" s="19"/>
      <c r="Q696" s="19"/>
    </row>
    <row r="697" spans="1:17" ht="46.5" customHeight="1" x14ac:dyDescent="0.7">
      <c r="A697" s="19"/>
      <c r="B697" s="19"/>
      <c r="C697" s="19"/>
      <c r="D697" s="31"/>
      <c r="E697" s="31"/>
      <c r="F697" s="31"/>
      <c r="G697" s="31"/>
      <c r="H697" s="31"/>
      <c r="I697" s="31"/>
      <c r="J697" s="31"/>
      <c r="K697" s="19"/>
      <c r="L697" s="19"/>
      <c r="M697" s="19"/>
      <c r="N697" s="31"/>
      <c r="O697" s="31"/>
      <c r="P697" s="19"/>
      <c r="Q697" s="19"/>
    </row>
    <row r="698" spans="1:17" ht="46.5" customHeight="1" x14ac:dyDescent="0.7">
      <c r="A698" s="19"/>
      <c r="B698" s="19"/>
      <c r="C698" s="19"/>
      <c r="D698" s="31"/>
      <c r="E698" s="31"/>
      <c r="F698" s="31"/>
      <c r="G698" s="31"/>
      <c r="H698" s="31"/>
      <c r="I698" s="31"/>
      <c r="J698" s="31"/>
      <c r="K698" s="19"/>
      <c r="L698" s="19"/>
      <c r="M698" s="19"/>
      <c r="N698" s="31"/>
      <c r="O698" s="31"/>
      <c r="P698" s="19"/>
      <c r="Q698" s="19"/>
    </row>
    <row r="699" spans="1:17" ht="46.5" customHeight="1" x14ac:dyDescent="0.7">
      <c r="A699" s="19"/>
      <c r="B699" s="19"/>
      <c r="C699" s="19"/>
      <c r="D699" s="31"/>
      <c r="E699" s="31"/>
      <c r="F699" s="31"/>
      <c r="G699" s="31"/>
      <c r="H699" s="31"/>
      <c r="I699" s="31"/>
      <c r="J699" s="31"/>
      <c r="K699" s="19"/>
      <c r="L699" s="19"/>
      <c r="M699" s="19"/>
      <c r="N699" s="31"/>
      <c r="O699" s="31"/>
      <c r="P699" s="19"/>
      <c r="Q699" s="19"/>
    </row>
    <row r="700" spans="1:17" ht="46.5" customHeight="1" x14ac:dyDescent="0.7">
      <c r="A700" s="19"/>
      <c r="B700" s="19"/>
      <c r="C700" s="19"/>
      <c r="D700" s="31"/>
      <c r="E700" s="31"/>
      <c r="F700" s="31"/>
      <c r="G700" s="31"/>
      <c r="H700" s="31"/>
      <c r="I700" s="31"/>
      <c r="J700" s="31"/>
      <c r="K700" s="19"/>
      <c r="L700" s="19"/>
      <c r="M700" s="19"/>
      <c r="N700" s="31"/>
      <c r="O700" s="31"/>
      <c r="P700" s="19"/>
      <c r="Q700" s="19"/>
    </row>
    <row r="701" spans="1:17" ht="46.5" customHeight="1" x14ac:dyDescent="0.7">
      <c r="A701" s="19"/>
      <c r="B701" s="19"/>
      <c r="C701" s="19"/>
      <c r="D701" s="31"/>
      <c r="E701" s="31"/>
      <c r="F701" s="31"/>
      <c r="G701" s="31"/>
      <c r="H701" s="31"/>
      <c r="I701" s="31"/>
      <c r="J701" s="31"/>
      <c r="K701" s="19"/>
      <c r="L701" s="19"/>
      <c r="M701" s="19"/>
      <c r="N701" s="31"/>
      <c r="O701" s="31"/>
      <c r="P701" s="19"/>
      <c r="Q701" s="19"/>
    </row>
    <row r="702" spans="1:17" ht="46.5" customHeight="1" x14ac:dyDescent="0.7">
      <c r="A702" s="19"/>
      <c r="B702" s="19"/>
      <c r="C702" s="19"/>
      <c r="D702" s="31"/>
      <c r="E702" s="31"/>
      <c r="F702" s="31"/>
      <c r="G702" s="31"/>
      <c r="H702" s="31"/>
      <c r="I702" s="31"/>
      <c r="J702" s="31"/>
      <c r="K702" s="19"/>
      <c r="L702" s="19"/>
      <c r="M702" s="19"/>
      <c r="N702" s="31"/>
      <c r="O702" s="31"/>
      <c r="P702" s="19"/>
      <c r="Q702" s="19"/>
    </row>
    <row r="703" spans="1:17" ht="46.5" customHeight="1" x14ac:dyDescent="0.7">
      <c r="A703" s="19"/>
      <c r="B703" s="19"/>
      <c r="C703" s="19"/>
      <c r="D703" s="31"/>
      <c r="E703" s="31"/>
      <c r="F703" s="31"/>
      <c r="G703" s="31"/>
      <c r="H703" s="31"/>
      <c r="I703" s="31"/>
      <c r="J703" s="31"/>
      <c r="K703" s="19"/>
      <c r="L703" s="19"/>
      <c r="M703" s="19"/>
      <c r="N703" s="31"/>
      <c r="O703" s="31"/>
      <c r="P703" s="19"/>
      <c r="Q703" s="19"/>
    </row>
    <row r="704" spans="1:17" ht="46.5" customHeight="1" x14ac:dyDescent="0.7">
      <c r="A704" s="19"/>
      <c r="B704" s="19"/>
      <c r="C704" s="19"/>
      <c r="D704" s="31"/>
      <c r="E704" s="31"/>
      <c r="F704" s="31"/>
      <c r="G704" s="31"/>
      <c r="H704" s="31"/>
      <c r="I704" s="31"/>
      <c r="J704" s="31"/>
      <c r="K704" s="19"/>
      <c r="L704" s="19"/>
      <c r="M704" s="19"/>
      <c r="N704" s="31"/>
      <c r="O704" s="31"/>
      <c r="P704" s="19"/>
      <c r="Q704" s="19"/>
    </row>
    <row r="705" spans="1:17" ht="46.5" customHeight="1" x14ac:dyDescent="0.7">
      <c r="A705" s="19"/>
      <c r="B705" s="19"/>
      <c r="C705" s="19"/>
      <c r="D705" s="31"/>
      <c r="E705" s="31"/>
      <c r="F705" s="31"/>
      <c r="G705" s="31"/>
      <c r="H705" s="31"/>
      <c r="I705" s="31"/>
      <c r="J705" s="31"/>
      <c r="K705" s="19"/>
      <c r="L705" s="19"/>
      <c r="M705" s="19"/>
      <c r="N705" s="31"/>
      <c r="O705" s="31"/>
      <c r="P705" s="19"/>
      <c r="Q705" s="19"/>
    </row>
    <row r="706" spans="1:17" ht="46.5" customHeight="1" x14ac:dyDescent="0.7">
      <c r="A706" s="19"/>
      <c r="B706" s="19"/>
      <c r="C706" s="19"/>
      <c r="D706" s="31"/>
      <c r="E706" s="31"/>
      <c r="F706" s="31"/>
      <c r="G706" s="31"/>
      <c r="H706" s="31"/>
      <c r="I706" s="31"/>
      <c r="J706" s="31"/>
      <c r="K706" s="19"/>
      <c r="L706" s="19"/>
      <c r="M706" s="19"/>
      <c r="N706" s="31"/>
      <c r="O706" s="31"/>
      <c r="P706" s="19"/>
      <c r="Q706" s="19"/>
    </row>
    <row r="707" spans="1:17" ht="46.5" customHeight="1" x14ac:dyDescent="0.7">
      <c r="A707" s="19"/>
      <c r="B707" s="19"/>
      <c r="C707" s="19"/>
      <c r="D707" s="31"/>
      <c r="E707" s="31"/>
      <c r="F707" s="31"/>
      <c r="G707" s="31"/>
      <c r="H707" s="31"/>
      <c r="I707" s="31"/>
      <c r="J707" s="31"/>
      <c r="K707" s="19"/>
      <c r="L707" s="19"/>
      <c r="M707" s="19"/>
      <c r="N707" s="31"/>
      <c r="O707" s="31"/>
      <c r="P707" s="19"/>
      <c r="Q707" s="19"/>
    </row>
    <row r="708" spans="1:17" ht="46.5" customHeight="1" x14ac:dyDescent="0.7">
      <c r="A708" s="19"/>
      <c r="B708" s="19"/>
      <c r="C708" s="19"/>
      <c r="D708" s="31"/>
      <c r="E708" s="31"/>
      <c r="F708" s="31"/>
      <c r="G708" s="31"/>
      <c r="H708" s="31"/>
      <c r="I708" s="31"/>
      <c r="J708" s="31"/>
      <c r="K708" s="19"/>
      <c r="L708" s="19"/>
      <c r="M708" s="19"/>
      <c r="N708" s="31"/>
      <c r="O708" s="31"/>
      <c r="P708" s="19"/>
      <c r="Q708" s="19"/>
    </row>
    <row r="709" spans="1:17" ht="46.5" customHeight="1" x14ac:dyDescent="0.7">
      <c r="A709" s="19"/>
      <c r="B709" s="19"/>
      <c r="C709" s="19"/>
      <c r="D709" s="31"/>
      <c r="E709" s="31"/>
      <c r="F709" s="31"/>
      <c r="G709" s="31"/>
      <c r="H709" s="31"/>
      <c r="I709" s="31"/>
      <c r="J709" s="31"/>
      <c r="K709" s="19"/>
      <c r="L709" s="19"/>
      <c r="M709" s="19"/>
      <c r="N709" s="31"/>
      <c r="O709" s="31"/>
      <c r="P709" s="19"/>
      <c r="Q709" s="19"/>
    </row>
    <row r="710" spans="1:17" ht="46.5" customHeight="1" x14ac:dyDescent="0.7">
      <c r="A710" s="19"/>
      <c r="B710" s="19"/>
      <c r="C710" s="19"/>
      <c r="D710" s="31"/>
      <c r="E710" s="31"/>
      <c r="F710" s="31"/>
      <c r="G710" s="31"/>
      <c r="H710" s="31"/>
      <c r="I710" s="31"/>
      <c r="J710" s="31"/>
      <c r="K710" s="19"/>
      <c r="L710" s="19"/>
      <c r="M710" s="19"/>
      <c r="N710" s="31"/>
      <c r="O710" s="31"/>
      <c r="P710" s="19"/>
      <c r="Q710" s="19"/>
    </row>
    <row r="711" spans="1:17" ht="46.5" customHeight="1" x14ac:dyDescent="0.7">
      <c r="A711" s="19"/>
      <c r="B711" s="19"/>
      <c r="C711" s="19"/>
      <c r="D711" s="31"/>
      <c r="E711" s="31"/>
      <c r="F711" s="31"/>
      <c r="G711" s="31"/>
      <c r="H711" s="31"/>
      <c r="I711" s="31"/>
      <c r="J711" s="31"/>
      <c r="K711" s="19"/>
      <c r="L711" s="19"/>
      <c r="M711" s="19"/>
      <c r="N711" s="31"/>
      <c r="O711" s="31"/>
      <c r="P711" s="19"/>
      <c r="Q711" s="19"/>
    </row>
    <row r="712" spans="1:17" ht="46.5" customHeight="1" x14ac:dyDescent="0.7">
      <c r="A712" s="19"/>
      <c r="B712" s="19"/>
      <c r="C712" s="19"/>
      <c r="D712" s="31"/>
      <c r="E712" s="31"/>
      <c r="F712" s="31"/>
      <c r="G712" s="31"/>
      <c r="H712" s="31"/>
      <c r="I712" s="31"/>
      <c r="J712" s="31"/>
      <c r="K712" s="19"/>
      <c r="L712" s="19"/>
      <c r="M712" s="19"/>
      <c r="N712" s="31"/>
      <c r="O712" s="31"/>
      <c r="P712" s="19"/>
      <c r="Q712" s="19"/>
    </row>
    <row r="713" spans="1:17" ht="46.5" customHeight="1" x14ac:dyDescent="0.7">
      <c r="A713" s="19"/>
      <c r="B713" s="19"/>
      <c r="C713" s="19"/>
      <c r="D713" s="31"/>
      <c r="E713" s="31"/>
      <c r="F713" s="31"/>
      <c r="G713" s="31"/>
      <c r="H713" s="31"/>
      <c r="I713" s="31"/>
      <c r="J713" s="31"/>
      <c r="K713" s="19"/>
      <c r="L713" s="19"/>
      <c r="M713" s="19"/>
      <c r="N713" s="31"/>
      <c r="O713" s="31"/>
      <c r="P713" s="19"/>
      <c r="Q713" s="19"/>
    </row>
    <row r="714" spans="1:17" ht="46.5" customHeight="1" x14ac:dyDescent="0.7">
      <c r="A714" s="19"/>
      <c r="B714" s="19"/>
      <c r="C714" s="19"/>
      <c r="D714" s="31"/>
      <c r="E714" s="31"/>
      <c r="F714" s="31"/>
      <c r="G714" s="31"/>
      <c r="H714" s="31"/>
      <c r="I714" s="31"/>
      <c r="J714" s="31"/>
      <c r="K714" s="19"/>
      <c r="L714" s="19"/>
      <c r="M714" s="19"/>
      <c r="N714" s="31"/>
      <c r="O714" s="31"/>
      <c r="P714" s="19"/>
      <c r="Q714" s="19"/>
    </row>
    <row r="715" spans="1:17" ht="46.5" customHeight="1" x14ac:dyDescent="0.7">
      <c r="A715" s="19"/>
      <c r="B715" s="19"/>
      <c r="C715" s="19"/>
      <c r="D715" s="31"/>
      <c r="E715" s="31"/>
      <c r="F715" s="31"/>
      <c r="G715" s="31"/>
      <c r="H715" s="31"/>
      <c r="I715" s="31"/>
      <c r="J715" s="31"/>
      <c r="K715" s="19"/>
      <c r="L715" s="19"/>
      <c r="M715" s="19"/>
      <c r="N715" s="31"/>
      <c r="O715" s="31"/>
      <c r="P715" s="19"/>
      <c r="Q715" s="19"/>
    </row>
    <row r="716" spans="1:17" ht="46.5" customHeight="1" x14ac:dyDescent="0.7">
      <c r="A716" s="19"/>
      <c r="B716" s="19"/>
      <c r="C716" s="19"/>
      <c r="D716" s="31"/>
      <c r="E716" s="31"/>
      <c r="F716" s="31"/>
      <c r="G716" s="31"/>
      <c r="H716" s="31"/>
      <c r="I716" s="31"/>
      <c r="J716" s="31"/>
      <c r="K716" s="19"/>
      <c r="L716" s="19"/>
      <c r="M716" s="19"/>
      <c r="N716" s="31"/>
      <c r="O716" s="31"/>
      <c r="P716" s="19"/>
      <c r="Q716" s="19"/>
    </row>
    <row r="717" spans="1:17" ht="46.5" customHeight="1" x14ac:dyDescent="0.7">
      <c r="A717" s="19"/>
      <c r="B717" s="19"/>
      <c r="C717" s="19"/>
      <c r="D717" s="31"/>
      <c r="E717" s="31"/>
      <c r="F717" s="31"/>
      <c r="G717" s="31"/>
      <c r="H717" s="31"/>
      <c r="I717" s="31"/>
      <c r="J717" s="31"/>
      <c r="K717" s="19"/>
      <c r="L717" s="19"/>
      <c r="M717" s="19"/>
      <c r="N717" s="31"/>
      <c r="O717" s="31"/>
      <c r="P717" s="19"/>
      <c r="Q717" s="19"/>
    </row>
    <row r="718" spans="1:17" ht="46.5" customHeight="1" x14ac:dyDescent="0.7">
      <c r="A718" s="19"/>
      <c r="B718" s="19"/>
      <c r="C718" s="19"/>
      <c r="D718" s="31"/>
      <c r="E718" s="31"/>
      <c r="F718" s="31"/>
      <c r="G718" s="31"/>
      <c r="H718" s="31"/>
      <c r="I718" s="31"/>
      <c r="J718" s="31"/>
      <c r="K718" s="19"/>
      <c r="L718" s="19"/>
      <c r="M718" s="19"/>
      <c r="N718" s="31"/>
      <c r="O718" s="31"/>
      <c r="P718" s="19"/>
      <c r="Q718" s="19"/>
    </row>
    <row r="719" spans="1:17" ht="46.5" customHeight="1" x14ac:dyDescent="0.7">
      <c r="A719" s="19"/>
      <c r="B719" s="19"/>
      <c r="C719" s="19"/>
      <c r="D719" s="31"/>
      <c r="E719" s="31"/>
      <c r="F719" s="31"/>
      <c r="G719" s="31"/>
      <c r="H719" s="31"/>
      <c r="I719" s="31"/>
      <c r="J719" s="31"/>
      <c r="K719" s="19"/>
      <c r="L719" s="19"/>
      <c r="M719" s="19"/>
      <c r="N719" s="31"/>
      <c r="O719" s="31"/>
      <c r="P719" s="19"/>
      <c r="Q719" s="19"/>
    </row>
    <row r="720" spans="1:17" ht="46.5" customHeight="1" x14ac:dyDescent="0.7">
      <c r="A720" s="19"/>
      <c r="B720" s="19"/>
      <c r="C720" s="19"/>
      <c r="D720" s="31"/>
      <c r="E720" s="31"/>
      <c r="F720" s="31"/>
      <c r="G720" s="31"/>
      <c r="H720" s="31"/>
      <c r="I720" s="31"/>
      <c r="J720" s="31"/>
      <c r="K720" s="19"/>
      <c r="L720" s="19"/>
      <c r="M720" s="19"/>
      <c r="N720" s="31"/>
      <c r="O720" s="31"/>
      <c r="P720" s="19"/>
      <c r="Q720" s="19"/>
    </row>
    <row r="721" spans="1:17" ht="46.5" customHeight="1" x14ac:dyDescent="0.7">
      <c r="A721" s="19"/>
      <c r="B721" s="19"/>
      <c r="C721" s="19"/>
      <c r="D721" s="31"/>
      <c r="E721" s="31"/>
      <c r="F721" s="31"/>
      <c r="G721" s="31"/>
      <c r="H721" s="31"/>
      <c r="I721" s="31"/>
      <c r="J721" s="31"/>
      <c r="K721" s="19"/>
      <c r="L721" s="19"/>
      <c r="M721" s="19"/>
      <c r="N721" s="31"/>
      <c r="O721" s="31"/>
      <c r="P721" s="19"/>
      <c r="Q721" s="19"/>
    </row>
    <row r="722" spans="1:17" ht="46.5" customHeight="1" x14ac:dyDescent="0.7">
      <c r="A722" s="19"/>
      <c r="B722" s="19"/>
      <c r="C722" s="19"/>
      <c r="D722" s="31"/>
      <c r="E722" s="31"/>
      <c r="F722" s="31"/>
      <c r="G722" s="31"/>
      <c r="H722" s="31"/>
      <c r="I722" s="31"/>
      <c r="J722" s="31"/>
      <c r="K722" s="19"/>
      <c r="L722" s="19"/>
      <c r="M722" s="19"/>
      <c r="N722" s="31"/>
      <c r="O722" s="31"/>
      <c r="P722" s="19"/>
      <c r="Q722" s="19"/>
    </row>
    <row r="723" spans="1:17" ht="46.5" customHeight="1" x14ac:dyDescent="0.7">
      <c r="A723" s="19"/>
      <c r="B723" s="19"/>
      <c r="C723" s="19"/>
      <c r="D723" s="31"/>
      <c r="E723" s="31"/>
      <c r="F723" s="31"/>
      <c r="G723" s="31"/>
      <c r="H723" s="31"/>
      <c r="I723" s="31"/>
      <c r="J723" s="31"/>
      <c r="K723" s="19"/>
      <c r="L723" s="19"/>
      <c r="M723" s="19"/>
      <c r="N723" s="31"/>
      <c r="O723" s="31"/>
      <c r="P723" s="19"/>
      <c r="Q723" s="19"/>
    </row>
    <row r="724" spans="1:17" ht="46.5" customHeight="1" x14ac:dyDescent="0.7">
      <c r="A724" s="19"/>
      <c r="B724" s="19"/>
      <c r="C724" s="19"/>
      <c r="D724" s="31"/>
      <c r="E724" s="31"/>
      <c r="F724" s="31"/>
      <c r="G724" s="31"/>
      <c r="H724" s="31"/>
      <c r="I724" s="31"/>
      <c r="J724" s="31"/>
      <c r="K724" s="19"/>
      <c r="L724" s="19"/>
      <c r="M724" s="19"/>
      <c r="N724" s="31"/>
      <c r="O724" s="31"/>
      <c r="P724" s="19"/>
      <c r="Q724" s="19"/>
    </row>
    <row r="725" spans="1:17" ht="46.5" customHeight="1" x14ac:dyDescent="0.7">
      <c r="A725" s="19"/>
      <c r="B725" s="19"/>
      <c r="C725" s="19"/>
      <c r="D725" s="31"/>
      <c r="E725" s="31"/>
      <c r="F725" s="31"/>
      <c r="G725" s="31"/>
      <c r="H725" s="31"/>
      <c r="I725" s="31"/>
      <c r="J725" s="31"/>
      <c r="K725" s="19"/>
      <c r="L725" s="19"/>
      <c r="M725" s="19"/>
      <c r="N725" s="31"/>
      <c r="O725" s="31"/>
      <c r="P725" s="19"/>
      <c r="Q725" s="19"/>
    </row>
    <row r="726" spans="1:17" ht="46.5" customHeight="1" x14ac:dyDescent="0.7">
      <c r="A726" s="19"/>
      <c r="B726" s="19"/>
      <c r="C726" s="19"/>
      <c r="D726" s="31"/>
      <c r="E726" s="31"/>
      <c r="F726" s="31"/>
      <c r="G726" s="31"/>
      <c r="H726" s="31"/>
      <c r="I726" s="31"/>
      <c r="J726" s="31"/>
      <c r="K726" s="19"/>
      <c r="L726" s="19"/>
      <c r="M726" s="19"/>
      <c r="N726" s="31"/>
      <c r="O726" s="31"/>
      <c r="P726" s="19"/>
      <c r="Q726" s="19"/>
    </row>
    <row r="727" spans="1:17" ht="46.5" customHeight="1" x14ac:dyDescent="0.7">
      <c r="A727" s="19"/>
      <c r="B727" s="19"/>
      <c r="C727" s="19"/>
      <c r="D727" s="31"/>
      <c r="E727" s="31"/>
      <c r="F727" s="31"/>
      <c r="G727" s="31"/>
      <c r="H727" s="31"/>
      <c r="I727" s="31"/>
      <c r="J727" s="31"/>
      <c r="K727" s="19"/>
      <c r="L727" s="19"/>
      <c r="M727" s="19"/>
      <c r="N727" s="31"/>
      <c r="O727" s="31"/>
      <c r="P727" s="19"/>
      <c r="Q727" s="19"/>
    </row>
    <row r="728" spans="1:17" ht="46.5" customHeight="1" x14ac:dyDescent="0.7">
      <c r="A728" s="19"/>
      <c r="B728" s="19"/>
      <c r="C728" s="19"/>
      <c r="D728" s="31"/>
      <c r="E728" s="31"/>
      <c r="F728" s="31"/>
      <c r="G728" s="31"/>
      <c r="H728" s="31"/>
      <c r="I728" s="31"/>
      <c r="J728" s="31"/>
      <c r="K728" s="19"/>
      <c r="L728" s="19"/>
      <c r="M728" s="19"/>
      <c r="N728" s="31"/>
      <c r="O728" s="31"/>
      <c r="P728" s="19"/>
      <c r="Q728" s="19"/>
    </row>
    <row r="729" spans="1:17" ht="46.5" customHeight="1" x14ac:dyDescent="0.7">
      <c r="A729" s="19"/>
      <c r="B729" s="19"/>
      <c r="C729" s="19"/>
      <c r="D729" s="31"/>
      <c r="E729" s="31"/>
      <c r="F729" s="31"/>
      <c r="G729" s="31"/>
      <c r="H729" s="31"/>
      <c r="I729" s="31"/>
      <c r="J729" s="31"/>
      <c r="K729" s="19"/>
      <c r="L729" s="19"/>
      <c r="M729" s="19"/>
      <c r="N729" s="31"/>
      <c r="O729" s="31"/>
      <c r="P729" s="19"/>
      <c r="Q729" s="19"/>
    </row>
    <row r="730" spans="1:17" ht="46.5" customHeight="1" x14ac:dyDescent="0.7">
      <c r="A730" s="19"/>
      <c r="B730" s="19"/>
      <c r="C730" s="19"/>
      <c r="D730" s="31"/>
      <c r="E730" s="31"/>
      <c r="F730" s="31"/>
      <c r="G730" s="31"/>
      <c r="H730" s="31"/>
      <c r="I730" s="31"/>
      <c r="J730" s="31"/>
      <c r="K730" s="19"/>
      <c r="L730" s="19"/>
      <c r="M730" s="19"/>
      <c r="N730" s="31"/>
      <c r="O730" s="31"/>
      <c r="P730" s="19"/>
      <c r="Q730" s="19"/>
    </row>
    <row r="731" spans="1:17" ht="46.5" customHeight="1" x14ac:dyDescent="0.7">
      <c r="A731" s="19"/>
      <c r="B731" s="19"/>
      <c r="C731" s="19"/>
      <c r="D731" s="31"/>
      <c r="E731" s="31"/>
      <c r="F731" s="31"/>
      <c r="G731" s="31"/>
      <c r="H731" s="31"/>
      <c r="I731" s="31"/>
      <c r="J731" s="31"/>
      <c r="K731" s="19"/>
      <c r="L731" s="19"/>
      <c r="M731" s="19"/>
      <c r="N731" s="31"/>
      <c r="O731" s="31"/>
      <c r="P731" s="19"/>
      <c r="Q731" s="19"/>
    </row>
    <row r="732" spans="1:17" ht="46.5" customHeight="1" x14ac:dyDescent="0.7">
      <c r="A732" s="19"/>
      <c r="B732" s="19"/>
      <c r="C732" s="19"/>
      <c r="D732" s="31"/>
      <c r="E732" s="31"/>
      <c r="F732" s="31"/>
      <c r="G732" s="31"/>
      <c r="H732" s="31"/>
      <c r="I732" s="31"/>
      <c r="J732" s="31"/>
      <c r="K732" s="19"/>
      <c r="L732" s="19"/>
      <c r="M732" s="19"/>
      <c r="N732" s="31"/>
      <c r="O732" s="31"/>
      <c r="P732" s="19"/>
      <c r="Q732" s="19"/>
    </row>
    <row r="733" spans="1:17" ht="46.5" customHeight="1" x14ac:dyDescent="0.7">
      <c r="A733" s="19"/>
      <c r="B733" s="19"/>
      <c r="C733" s="19"/>
      <c r="D733" s="31"/>
      <c r="E733" s="31"/>
      <c r="F733" s="31"/>
      <c r="G733" s="31"/>
      <c r="H733" s="31"/>
      <c r="I733" s="31"/>
      <c r="J733" s="31"/>
      <c r="K733" s="19"/>
      <c r="L733" s="19"/>
      <c r="M733" s="19"/>
      <c r="N733" s="31"/>
      <c r="O733" s="31"/>
      <c r="P733" s="19"/>
      <c r="Q733" s="19"/>
    </row>
    <row r="734" spans="1:17" ht="46.5" customHeight="1" x14ac:dyDescent="0.7">
      <c r="A734" s="19"/>
      <c r="B734" s="19"/>
      <c r="C734" s="19"/>
      <c r="D734" s="31"/>
      <c r="E734" s="31"/>
      <c r="F734" s="31"/>
      <c r="G734" s="31"/>
      <c r="H734" s="31"/>
      <c r="I734" s="31"/>
      <c r="J734" s="31"/>
      <c r="K734" s="19"/>
      <c r="L734" s="19"/>
      <c r="M734" s="19"/>
      <c r="N734" s="31"/>
      <c r="O734" s="31"/>
      <c r="P734" s="19"/>
      <c r="Q734" s="19"/>
    </row>
    <row r="735" spans="1:17" ht="46.5" customHeight="1" x14ac:dyDescent="0.7">
      <c r="A735" s="19"/>
      <c r="B735" s="19"/>
      <c r="C735" s="19"/>
      <c r="D735" s="31"/>
      <c r="E735" s="31"/>
      <c r="F735" s="31"/>
      <c r="G735" s="31"/>
      <c r="H735" s="31"/>
      <c r="I735" s="31"/>
      <c r="J735" s="31"/>
      <c r="K735" s="19"/>
      <c r="L735" s="19"/>
      <c r="M735" s="19"/>
      <c r="N735" s="31"/>
      <c r="O735" s="31"/>
      <c r="P735" s="19"/>
      <c r="Q735" s="19"/>
    </row>
    <row r="736" spans="1:17" ht="46.5" customHeight="1" x14ac:dyDescent="0.7">
      <c r="A736" s="19"/>
      <c r="B736" s="19"/>
      <c r="C736" s="19"/>
      <c r="D736" s="31"/>
      <c r="E736" s="31"/>
      <c r="F736" s="31"/>
      <c r="G736" s="31"/>
      <c r="H736" s="31"/>
      <c r="I736" s="31"/>
      <c r="J736" s="31"/>
      <c r="K736" s="19"/>
      <c r="L736" s="19"/>
      <c r="M736" s="19"/>
      <c r="N736" s="31"/>
      <c r="O736" s="31"/>
      <c r="P736" s="19"/>
      <c r="Q736" s="19"/>
    </row>
    <row r="737" spans="1:17" ht="46.5" customHeight="1" x14ac:dyDescent="0.7">
      <c r="A737" s="19"/>
      <c r="B737" s="19"/>
      <c r="C737" s="19"/>
      <c r="D737" s="31"/>
      <c r="E737" s="31"/>
      <c r="F737" s="31"/>
      <c r="G737" s="31"/>
      <c r="H737" s="31"/>
      <c r="I737" s="31"/>
      <c r="J737" s="31"/>
      <c r="K737" s="19"/>
      <c r="L737" s="19"/>
      <c r="M737" s="19"/>
      <c r="N737" s="31"/>
      <c r="O737" s="31"/>
      <c r="P737" s="19"/>
      <c r="Q737" s="19"/>
    </row>
    <row r="738" spans="1:17" ht="46.5" customHeight="1" x14ac:dyDescent="0.7">
      <c r="A738" s="19"/>
      <c r="B738" s="19"/>
      <c r="C738" s="19"/>
      <c r="D738" s="31"/>
      <c r="E738" s="31"/>
      <c r="F738" s="31"/>
      <c r="G738" s="31"/>
      <c r="H738" s="31"/>
      <c r="I738" s="31"/>
      <c r="J738" s="31"/>
      <c r="K738" s="19"/>
      <c r="L738" s="19"/>
      <c r="M738" s="19"/>
      <c r="N738" s="31"/>
      <c r="O738" s="31"/>
      <c r="P738" s="19"/>
      <c r="Q738" s="19"/>
    </row>
    <row r="739" spans="1:17" ht="46.5" customHeight="1" x14ac:dyDescent="0.7">
      <c r="A739" s="19"/>
      <c r="B739" s="19"/>
      <c r="C739" s="19"/>
      <c r="D739" s="31"/>
      <c r="E739" s="31"/>
      <c r="F739" s="31"/>
      <c r="G739" s="31"/>
      <c r="H739" s="31"/>
      <c r="I739" s="31"/>
      <c r="J739" s="31"/>
      <c r="K739" s="19"/>
      <c r="L739" s="19"/>
      <c r="M739" s="19"/>
      <c r="N739" s="31"/>
      <c r="O739" s="31"/>
      <c r="P739" s="19"/>
      <c r="Q739" s="19"/>
    </row>
    <row r="740" spans="1:17" ht="46.5" customHeight="1" x14ac:dyDescent="0.7">
      <c r="A740" s="19"/>
      <c r="B740" s="19"/>
      <c r="C740" s="19"/>
      <c r="D740" s="31"/>
      <c r="E740" s="31"/>
      <c r="F740" s="31"/>
      <c r="G740" s="31"/>
      <c r="H740" s="31"/>
      <c r="I740" s="31"/>
      <c r="J740" s="31"/>
      <c r="K740" s="19"/>
      <c r="L740" s="19"/>
      <c r="M740" s="19"/>
      <c r="N740" s="31"/>
      <c r="O740" s="31"/>
      <c r="P740" s="19"/>
      <c r="Q740" s="19"/>
    </row>
    <row r="741" spans="1:17" ht="46.5" customHeight="1" x14ac:dyDescent="0.7">
      <c r="A741" s="19"/>
      <c r="B741" s="19"/>
      <c r="C741" s="19"/>
      <c r="D741" s="31"/>
      <c r="E741" s="31"/>
      <c r="F741" s="31"/>
      <c r="G741" s="31"/>
      <c r="H741" s="31"/>
      <c r="I741" s="31"/>
      <c r="J741" s="31"/>
      <c r="K741" s="19"/>
      <c r="L741" s="19"/>
      <c r="M741" s="19"/>
      <c r="N741" s="31"/>
      <c r="O741" s="31"/>
      <c r="P741" s="19"/>
      <c r="Q741" s="19"/>
    </row>
    <row r="742" spans="1:17" ht="46.5" customHeight="1" x14ac:dyDescent="0.7">
      <c r="A742" s="19"/>
      <c r="B742" s="19"/>
      <c r="C742" s="19"/>
      <c r="D742" s="31"/>
      <c r="E742" s="31"/>
      <c r="F742" s="31"/>
      <c r="G742" s="31"/>
      <c r="H742" s="31"/>
      <c r="I742" s="31"/>
      <c r="J742" s="31"/>
      <c r="K742" s="19"/>
      <c r="L742" s="19"/>
      <c r="M742" s="19"/>
      <c r="N742" s="31"/>
      <c r="O742" s="31"/>
      <c r="P742" s="19"/>
      <c r="Q742" s="19"/>
    </row>
    <row r="743" spans="1:17" ht="46.5" customHeight="1" x14ac:dyDescent="0.7">
      <c r="A743" s="19"/>
      <c r="B743" s="19"/>
      <c r="C743" s="19"/>
      <c r="D743" s="31"/>
      <c r="E743" s="31"/>
      <c r="F743" s="31"/>
      <c r="G743" s="31"/>
      <c r="H743" s="31"/>
      <c r="I743" s="31"/>
      <c r="J743" s="31"/>
      <c r="K743" s="19"/>
      <c r="L743" s="19"/>
      <c r="M743" s="19"/>
      <c r="N743" s="31"/>
      <c r="O743" s="31"/>
      <c r="P743" s="19"/>
      <c r="Q743" s="19"/>
    </row>
    <row r="744" spans="1:17" ht="46.5" customHeight="1" x14ac:dyDescent="0.7">
      <c r="A744" s="19"/>
      <c r="B744" s="19"/>
      <c r="C744" s="19"/>
      <c r="D744" s="31"/>
      <c r="E744" s="31"/>
      <c r="F744" s="31"/>
      <c r="G744" s="31"/>
      <c r="H744" s="31"/>
      <c r="I744" s="31"/>
      <c r="J744" s="31"/>
      <c r="K744" s="19"/>
      <c r="L744" s="19"/>
      <c r="M744" s="19"/>
      <c r="N744" s="31"/>
      <c r="O744" s="31"/>
      <c r="P744" s="19"/>
      <c r="Q744" s="19"/>
    </row>
    <row r="745" spans="1:17" ht="46.5" customHeight="1" x14ac:dyDescent="0.7">
      <c r="A745" s="19"/>
      <c r="B745" s="19"/>
      <c r="C745" s="19"/>
      <c r="D745" s="31"/>
      <c r="E745" s="31"/>
      <c r="F745" s="31"/>
      <c r="G745" s="31"/>
      <c r="H745" s="31"/>
      <c r="I745" s="31"/>
      <c r="J745" s="31"/>
      <c r="K745" s="19"/>
      <c r="L745" s="19"/>
      <c r="M745" s="19"/>
      <c r="N745" s="31"/>
      <c r="O745" s="31"/>
      <c r="P745" s="19"/>
      <c r="Q745" s="19"/>
    </row>
    <row r="746" spans="1:17" ht="46.5" customHeight="1" x14ac:dyDescent="0.7">
      <c r="A746" s="19"/>
      <c r="B746" s="19"/>
      <c r="C746" s="19"/>
      <c r="D746" s="31"/>
      <c r="E746" s="31"/>
      <c r="F746" s="31"/>
      <c r="G746" s="31"/>
      <c r="H746" s="31"/>
      <c r="I746" s="31"/>
      <c r="J746" s="31"/>
      <c r="K746" s="19"/>
      <c r="L746" s="19"/>
      <c r="M746" s="19"/>
      <c r="N746" s="31"/>
      <c r="O746" s="31"/>
      <c r="P746" s="19"/>
      <c r="Q746" s="19"/>
    </row>
    <row r="747" spans="1:17" ht="46.5" customHeight="1" x14ac:dyDescent="0.7">
      <c r="A747" s="19"/>
      <c r="B747" s="19"/>
      <c r="C747" s="19"/>
      <c r="D747" s="31"/>
      <c r="E747" s="31"/>
      <c r="F747" s="31"/>
      <c r="G747" s="31"/>
      <c r="H747" s="31"/>
      <c r="I747" s="31"/>
      <c r="J747" s="31"/>
      <c r="K747" s="19"/>
      <c r="L747" s="19"/>
      <c r="M747" s="19"/>
      <c r="N747" s="31"/>
      <c r="O747" s="31"/>
      <c r="P747" s="19"/>
      <c r="Q747" s="19"/>
    </row>
    <row r="748" spans="1:17" ht="46.5" customHeight="1" x14ac:dyDescent="0.7">
      <c r="A748" s="19"/>
      <c r="B748" s="19"/>
      <c r="C748" s="19"/>
      <c r="D748" s="31"/>
      <c r="E748" s="31"/>
      <c r="F748" s="31"/>
      <c r="G748" s="31"/>
      <c r="H748" s="31"/>
      <c r="I748" s="31"/>
      <c r="J748" s="31"/>
      <c r="K748" s="19"/>
      <c r="L748" s="19"/>
      <c r="M748" s="19"/>
      <c r="N748" s="31"/>
      <c r="O748" s="31"/>
      <c r="P748" s="19"/>
      <c r="Q748" s="19"/>
    </row>
    <row r="749" spans="1:17" ht="46.5" customHeight="1" x14ac:dyDescent="0.7">
      <c r="A749" s="19"/>
      <c r="B749" s="19"/>
      <c r="C749" s="19"/>
      <c r="D749" s="31"/>
      <c r="E749" s="31"/>
      <c r="F749" s="31"/>
      <c r="G749" s="31"/>
      <c r="H749" s="31"/>
      <c r="I749" s="31"/>
      <c r="J749" s="31"/>
      <c r="K749" s="19"/>
      <c r="L749" s="19"/>
      <c r="M749" s="19"/>
      <c r="N749" s="31"/>
      <c r="O749" s="31"/>
      <c r="P749" s="19"/>
      <c r="Q749" s="19"/>
    </row>
    <row r="750" spans="1:17" ht="46.5" customHeight="1" x14ac:dyDescent="0.7">
      <c r="A750" s="19"/>
      <c r="B750" s="19"/>
      <c r="C750" s="19"/>
      <c r="D750" s="31"/>
      <c r="E750" s="31"/>
      <c r="F750" s="31"/>
      <c r="G750" s="31"/>
      <c r="H750" s="31"/>
      <c r="I750" s="31"/>
      <c r="J750" s="31"/>
      <c r="K750" s="19"/>
      <c r="L750" s="19"/>
      <c r="M750" s="19"/>
      <c r="N750" s="31"/>
      <c r="O750" s="31"/>
      <c r="P750" s="19"/>
      <c r="Q750" s="19"/>
    </row>
    <row r="751" spans="1:17" ht="46.5" customHeight="1" x14ac:dyDescent="0.7">
      <c r="A751" s="19"/>
      <c r="B751" s="19"/>
      <c r="C751" s="19"/>
      <c r="D751" s="31"/>
      <c r="E751" s="31"/>
      <c r="F751" s="31"/>
      <c r="G751" s="31"/>
      <c r="H751" s="31"/>
      <c r="I751" s="31"/>
      <c r="J751" s="31"/>
      <c r="K751" s="19"/>
      <c r="L751" s="19"/>
      <c r="M751" s="19"/>
      <c r="N751" s="31"/>
      <c r="O751" s="31"/>
      <c r="P751" s="19"/>
      <c r="Q751" s="19"/>
    </row>
    <row r="752" spans="1:17" ht="46.5" customHeight="1" x14ac:dyDescent="0.7">
      <c r="A752" s="19"/>
      <c r="B752" s="19"/>
      <c r="C752" s="19"/>
      <c r="D752" s="31"/>
      <c r="E752" s="31"/>
      <c r="F752" s="31"/>
      <c r="G752" s="31"/>
      <c r="H752" s="31"/>
      <c r="I752" s="31"/>
      <c r="J752" s="31"/>
      <c r="K752" s="19"/>
      <c r="L752" s="19"/>
      <c r="M752" s="19"/>
      <c r="N752" s="31"/>
      <c r="O752" s="31"/>
      <c r="P752" s="19"/>
      <c r="Q752" s="19"/>
    </row>
    <row r="753" spans="1:17" ht="46.5" customHeight="1" x14ac:dyDescent="0.7">
      <c r="A753" s="19"/>
      <c r="B753" s="19"/>
      <c r="C753" s="19"/>
      <c r="D753" s="31"/>
      <c r="E753" s="31"/>
      <c r="F753" s="31"/>
      <c r="G753" s="31"/>
      <c r="H753" s="31"/>
      <c r="I753" s="31"/>
      <c r="J753" s="31"/>
      <c r="K753" s="19"/>
      <c r="L753" s="19"/>
      <c r="M753" s="19"/>
      <c r="N753" s="31"/>
      <c r="O753" s="31"/>
      <c r="P753" s="19"/>
      <c r="Q753" s="19"/>
    </row>
    <row r="754" spans="1:17" ht="46.5" customHeight="1" x14ac:dyDescent="0.7">
      <c r="A754" s="19"/>
      <c r="B754" s="19"/>
      <c r="C754" s="19"/>
      <c r="D754" s="31"/>
      <c r="E754" s="31"/>
      <c r="F754" s="31"/>
      <c r="G754" s="31"/>
      <c r="H754" s="31"/>
      <c r="I754" s="31"/>
      <c r="J754" s="31"/>
      <c r="K754" s="19"/>
      <c r="L754" s="19"/>
      <c r="M754" s="19"/>
      <c r="N754" s="31"/>
      <c r="O754" s="31"/>
      <c r="P754" s="19"/>
      <c r="Q754" s="19"/>
    </row>
    <row r="755" spans="1:17" ht="46.5" customHeight="1" x14ac:dyDescent="0.7">
      <c r="A755" s="19"/>
      <c r="B755" s="19"/>
      <c r="C755" s="19"/>
      <c r="D755" s="31"/>
      <c r="E755" s="31"/>
      <c r="F755" s="31"/>
      <c r="G755" s="31"/>
      <c r="H755" s="31"/>
      <c r="I755" s="31"/>
      <c r="J755" s="31"/>
      <c r="K755" s="19"/>
      <c r="L755" s="19"/>
      <c r="M755" s="19"/>
      <c r="N755" s="31"/>
      <c r="O755" s="31"/>
      <c r="P755" s="19"/>
      <c r="Q755" s="19"/>
    </row>
    <row r="756" spans="1:17" ht="46.5" customHeight="1" x14ac:dyDescent="0.7">
      <c r="A756" s="19"/>
      <c r="B756" s="19"/>
      <c r="C756" s="19"/>
      <c r="D756" s="31"/>
      <c r="E756" s="31"/>
      <c r="F756" s="31"/>
      <c r="G756" s="31"/>
      <c r="H756" s="31"/>
      <c r="I756" s="31"/>
      <c r="J756" s="31"/>
      <c r="K756" s="19"/>
      <c r="L756" s="19"/>
      <c r="M756" s="19"/>
      <c r="N756" s="31"/>
      <c r="O756" s="31"/>
      <c r="P756" s="19"/>
      <c r="Q756" s="19"/>
    </row>
    <row r="757" spans="1:17" ht="46.5" customHeight="1" x14ac:dyDescent="0.7">
      <c r="A757" s="19"/>
      <c r="B757" s="19"/>
      <c r="C757" s="19"/>
      <c r="D757" s="31"/>
      <c r="E757" s="31"/>
      <c r="F757" s="31"/>
      <c r="G757" s="31"/>
      <c r="H757" s="31"/>
      <c r="I757" s="31"/>
      <c r="J757" s="31"/>
      <c r="K757" s="19"/>
      <c r="L757" s="19"/>
      <c r="M757" s="19"/>
      <c r="N757" s="31"/>
      <c r="O757" s="31"/>
      <c r="P757" s="19"/>
      <c r="Q757" s="19"/>
    </row>
    <row r="758" spans="1:17" ht="46.5" customHeight="1" x14ac:dyDescent="0.7">
      <c r="A758" s="19"/>
      <c r="B758" s="19"/>
      <c r="C758" s="19"/>
      <c r="D758" s="31"/>
      <c r="E758" s="31"/>
      <c r="F758" s="31"/>
      <c r="G758" s="31"/>
      <c r="H758" s="31"/>
      <c r="I758" s="31"/>
      <c r="J758" s="31"/>
      <c r="K758" s="19"/>
      <c r="L758" s="19"/>
      <c r="M758" s="19"/>
      <c r="N758" s="31"/>
      <c r="O758" s="31"/>
      <c r="P758" s="19"/>
      <c r="Q758" s="19"/>
    </row>
    <row r="759" spans="1:17" ht="46.5" customHeight="1" x14ac:dyDescent="0.7">
      <c r="A759" s="19"/>
      <c r="B759" s="19"/>
      <c r="C759" s="19"/>
      <c r="D759" s="31"/>
      <c r="E759" s="31"/>
      <c r="F759" s="31"/>
      <c r="G759" s="31"/>
      <c r="H759" s="31"/>
      <c r="I759" s="31"/>
      <c r="J759" s="31"/>
      <c r="K759" s="19"/>
      <c r="L759" s="19"/>
      <c r="M759" s="19"/>
      <c r="N759" s="31"/>
      <c r="O759" s="31"/>
      <c r="P759" s="19"/>
      <c r="Q759" s="19"/>
    </row>
    <row r="760" spans="1:17" ht="46.5" customHeight="1" x14ac:dyDescent="0.7">
      <c r="A760" s="19"/>
      <c r="B760" s="19"/>
      <c r="C760" s="19"/>
      <c r="D760" s="31"/>
      <c r="E760" s="31"/>
      <c r="F760" s="31"/>
      <c r="G760" s="31"/>
      <c r="H760" s="31"/>
      <c r="I760" s="31"/>
      <c r="J760" s="31"/>
      <c r="K760" s="19"/>
      <c r="L760" s="19"/>
      <c r="M760" s="19"/>
      <c r="N760" s="31"/>
      <c r="O760" s="31"/>
      <c r="P760" s="19"/>
      <c r="Q760" s="19"/>
    </row>
    <row r="761" spans="1:17" ht="46.5" customHeight="1" x14ac:dyDescent="0.7">
      <c r="A761" s="19"/>
      <c r="B761" s="19"/>
      <c r="C761" s="19"/>
      <c r="D761" s="31"/>
      <c r="E761" s="31"/>
      <c r="F761" s="31"/>
      <c r="G761" s="31"/>
      <c r="H761" s="31"/>
      <c r="I761" s="31"/>
      <c r="J761" s="31"/>
      <c r="K761" s="19"/>
      <c r="L761" s="19"/>
      <c r="M761" s="19"/>
      <c r="N761" s="31"/>
      <c r="O761" s="31"/>
      <c r="P761" s="19"/>
      <c r="Q761" s="19"/>
    </row>
    <row r="762" spans="1:17" ht="46.5" customHeight="1" x14ac:dyDescent="0.7">
      <c r="A762" s="19"/>
      <c r="B762" s="19"/>
      <c r="C762" s="19"/>
      <c r="D762" s="31"/>
      <c r="E762" s="31"/>
      <c r="F762" s="31"/>
      <c r="G762" s="31"/>
      <c r="H762" s="31"/>
      <c r="I762" s="31"/>
      <c r="J762" s="31"/>
      <c r="K762" s="19"/>
      <c r="L762" s="19"/>
      <c r="M762" s="19"/>
      <c r="N762" s="31"/>
      <c r="O762" s="31"/>
      <c r="P762" s="19"/>
      <c r="Q762" s="19"/>
    </row>
    <row r="763" spans="1:17" ht="46.5" customHeight="1" x14ac:dyDescent="0.7">
      <c r="A763" s="19"/>
      <c r="B763" s="19"/>
      <c r="C763" s="19"/>
      <c r="D763" s="31"/>
      <c r="E763" s="31"/>
      <c r="F763" s="31"/>
      <c r="G763" s="31"/>
      <c r="H763" s="31"/>
      <c r="I763" s="31"/>
      <c r="J763" s="31"/>
      <c r="K763" s="19"/>
      <c r="L763" s="19"/>
      <c r="M763" s="19"/>
      <c r="N763" s="31"/>
      <c r="O763" s="31"/>
      <c r="P763" s="19"/>
      <c r="Q763" s="19"/>
    </row>
    <row r="764" spans="1:17" ht="46.5" customHeight="1" x14ac:dyDescent="0.7">
      <c r="A764" s="19"/>
      <c r="B764" s="19"/>
      <c r="C764" s="19"/>
      <c r="D764" s="31"/>
      <c r="E764" s="31"/>
      <c r="F764" s="31"/>
      <c r="G764" s="31"/>
      <c r="H764" s="31"/>
      <c r="I764" s="31"/>
      <c r="J764" s="31"/>
      <c r="K764" s="19"/>
      <c r="L764" s="19"/>
      <c r="M764" s="19"/>
      <c r="N764" s="31"/>
      <c r="O764" s="31"/>
      <c r="P764" s="19"/>
      <c r="Q764" s="19"/>
    </row>
    <row r="765" spans="1:17" ht="46.5" customHeight="1" x14ac:dyDescent="0.7">
      <c r="A765" s="19"/>
      <c r="B765" s="19"/>
      <c r="C765" s="19"/>
      <c r="D765" s="31"/>
      <c r="E765" s="31"/>
      <c r="F765" s="31"/>
      <c r="G765" s="31"/>
      <c r="H765" s="31"/>
      <c r="I765" s="31"/>
      <c r="J765" s="31"/>
      <c r="K765" s="19"/>
      <c r="L765" s="19"/>
      <c r="M765" s="19"/>
      <c r="N765" s="31"/>
      <c r="O765" s="31"/>
      <c r="P765" s="19"/>
      <c r="Q765" s="19"/>
    </row>
    <row r="766" spans="1:17" ht="46.5" customHeight="1" x14ac:dyDescent="0.7">
      <c r="A766" s="19"/>
      <c r="B766" s="19"/>
      <c r="C766" s="19"/>
      <c r="D766" s="31"/>
      <c r="E766" s="31"/>
      <c r="F766" s="31"/>
      <c r="G766" s="31"/>
      <c r="H766" s="31"/>
      <c r="I766" s="31"/>
      <c r="J766" s="31"/>
      <c r="K766" s="19"/>
      <c r="L766" s="19"/>
      <c r="M766" s="19"/>
      <c r="N766" s="31"/>
      <c r="O766" s="31"/>
      <c r="P766" s="19"/>
      <c r="Q766" s="19"/>
    </row>
    <row r="767" spans="1:17" ht="46.5" customHeight="1" x14ac:dyDescent="0.7">
      <c r="A767" s="19"/>
      <c r="B767" s="19"/>
      <c r="C767" s="19"/>
      <c r="D767" s="31"/>
      <c r="E767" s="31"/>
      <c r="F767" s="31"/>
      <c r="G767" s="31"/>
      <c r="H767" s="31"/>
      <c r="I767" s="31"/>
      <c r="J767" s="31"/>
      <c r="K767" s="19"/>
      <c r="L767" s="19"/>
      <c r="M767" s="19"/>
      <c r="N767" s="31"/>
      <c r="O767" s="31"/>
      <c r="P767" s="19"/>
      <c r="Q767" s="19"/>
    </row>
    <row r="768" spans="1:17" ht="46.5" customHeight="1" x14ac:dyDescent="0.7">
      <c r="A768" s="19"/>
      <c r="B768" s="19"/>
      <c r="C768" s="19"/>
      <c r="D768" s="31"/>
      <c r="E768" s="31"/>
      <c r="F768" s="31"/>
      <c r="G768" s="31"/>
      <c r="H768" s="31"/>
      <c r="I768" s="31"/>
      <c r="J768" s="31"/>
      <c r="K768" s="19"/>
      <c r="L768" s="19"/>
      <c r="M768" s="19"/>
      <c r="N768" s="31"/>
      <c r="O768" s="31"/>
      <c r="P768" s="19"/>
      <c r="Q768" s="19"/>
    </row>
    <row r="769" spans="1:17" ht="46.5" customHeight="1" x14ac:dyDescent="0.7">
      <c r="A769" s="19"/>
      <c r="B769" s="19"/>
      <c r="C769" s="19"/>
      <c r="D769" s="31"/>
      <c r="E769" s="31"/>
      <c r="F769" s="31"/>
      <c r="G769" s="31"/>
      <c r="H769" s="31"/>
      <c r="I769" s="31"/>
      <c r="J769" s="31"/>
      <c r="K769" s="19"/>
      <c r="L769" s="19"/>
      <c r="M769" s="19"/>
      <c r="N769" s="31"/>
      <c r="O769" s="31"/>
      <c r="P769" s="19"/>
      <c r="Q769" s="19"/>
    </row>
    <row r="770" spans="1:17" ht="46.5" customHeight="1" x14ac:dyDescent="0.7">
      <c r="A770" s="19"/>
      <c r="B770" s="19"/>
      <c r="C770" s="19"/>
      <c r="D770" s="31"/>
      <c r="E770" s="31"/>
      <c r="F770" s="31"/>
      <c r="G770" s="31"/>
      <c r="H770" s="31"/>
      <c r="I770" s="31"/>
      <c r="J770" s="31"/>
      <c r="K770" s="19"/>
      <c r="L770" s="19"/>
      <c r="M770" s="19"/>
      <c r="N770" s="31"/>
      <c r="O770" s="31"/>
      <c r="P770" s="19"/>
      <c r="Q770" s="19"/>
    </row>
    <row r="771" spans="1:17" ht="46.5" customHeight="1" x14ac:dyDescent="0.7">
      <c r="A771" s="19"/>
      <c r="B771" s="19"/>
      <c r="C771" s="19"/>
      <c r="D771" s="31"/>
      <c r="E771" s="31"/>
      <c r="F771" s="31"/>
      <c r="G771" s="31"/>
      <c r="H771" s="31"/>
      <c r="I771" s="31"/>
      <c r="J771" s="31"/>
      <c r="K771" s="19"/>
      <c r="L771" s="19"/>
      <c r="M771" s="19"/>
      <c r="N771" s="31"/>
      <c r="O771" s="31"/>
      <c r="P771" s="19"/>
      <c r="Q771" s="19"/>
    </row>
    <row r="772" spans="1:17" ht="46.5" customHeight="1" x14ac:dyDescent="0.7">
      <c r="A772" s="19"/>
      <c r="B772" s="19"/>
      <c r="C772" s="19"/>
      <c r="D772" s="31"/>
      <c r="E772" s="31"/>
      <c r="F772" s="31"/>
      <c r="G772" s="31"/>
      <c r="H772" s="31"/>
      <c r="I772" s="31"/>
      <c r="J772" s="31"/>
      <c r="K772" s="19"/>
      <c r="L772" s="19"/>
      <c r="M772" s="19"/>
      <c r="N772" s="31"/>
      <c r="O772" s="31"/>
      <c r="P772" s="19"/>
      <c r="Q772" s="19"/>
    </row>
    <row r="773" spans="1:17" ht="46.5" customHeight="1" x14ac:dyDescent="0.7">
      <c r="A773" s="19"/>
      <c r="B773" s="19"/>
      <c r="C773" s="19"/>
      <c r="D773" s="31"/>
      <c r="E773" s="31"/>
      <c r="F773" s="31"/>
      <c r="G773" s="31"/>
      <c r="H773" s="31"/>
      <c r="I773" s="31"/>
      <c r="J773" s="31"/>
      <c r="K773" s="19"/>
      <c r="L773" s="19"/>
      <c r="M773" s="19"/>
      <c r="N773" s="31"/>
      <c r="O773" s="31"/>
      <c r="P773" s="19"/>
      <c r="Q773" s="19"/>
    </row>
    <row r="774" spans="1:17" ht="46.5" customHeight="1" x14ac:dyDescent="0.7">
      <c r="A774" s="19"/>
      <c r="B774" s="19"/>
      <c r="C774" s="19"/>
      <c r="D774" s="31"/>
      <c r="E774" s="31"/>
      <c r="F774" s="31"/>
      <c r="G774" s="31"/>
      <c r="H774" s="31"/>
      <c r="I774" s="31"/>
      <c r="J774" s="31"/>
      <c r="K774" s="19"/>
      <c r="L774" s="19"/>
      <c r="M774" s="19"/>
      <c r="N774" s="31"/>
      <c r="O774" s="31"/>
      <c r="P774" s="19"/>
      <c r="Q774" s="19"/>
    </row>
    <row r="775" spans="1:17" ht="46.5" customHeight="1" x14ac:dyDescent="0.7">
      <c r="A775" s="19"/>
      <c r="B775" s="19"/>
      <c r="C775" s="19"/>
      <c r="D775" s="31"/>
      <c r="E775" s="31"/>
      <c r="F775" s="31"/>
      <c r="G775" s="31"/>
      <c r="H775" s="31"/>
      <c r="I775" s="31"/>
      <c r="J775" s="31"/>
      <c r="K775" s="19"/>
      <c r="L775" s="19"/>
      <c r="M775" s="19"/>
      <c r="N775" s="31"/>
      <c r="O775" s="31"/>
      <c r="P775" s="19"/>
      <c r="Q775" s="19"/>
    </row>
    <row r="776" spans="1:17" ht="46.5" customHeight="1" x14ac:dyDescent="0.7">
      <c r="A776" s="19"/>
      <c r="B776" s="19"/>
      <c r="C776" s="19"/>
      <c r="D776" s="31"/>
      <c r="E776" s="31"/>
      <c r="F776" s="31"/>
      <c r="G776" s="31"/>
      <c r="H776" s="31"/>
      <c r="I776" s="31"/>
      <c r="J776" s="31"/>
      <c r="K776" s="19"/>
      <c r="L776" s="19"/>
      <c r="M776" s="19"/>
      <c r="N776" s="31"/>
      <c r="O776" s="31"/>
      <c r="P776" s="19"/>
      <c r="Q776" s="19"/>
    </row>
    <row r="777" spans="1:17" ht="46.5" customHeight="1" x14ac:dyDescent="0.7">
      <c r="A777" s="19"/>
      <c r="B777" s="19"/>
      <c r="C777" s="19"/>
      <c r="D777" s="31"/>
      <c r="E777" s="31"/>
      <c r="F777" s="31"/>
      <c r="G777" s="31"/>
      <c r="H777" s="31"/>
      <c r="I777" s="31"/>
      <c r="J777" s="31"/>
      <c r="K777" s="19"/>
      <c r="L777" s="19"/>
      <c r="M777" s="19"/>
      <c r="N777" s="31"/>
      <c r="O777" s="31"/>
      <c r="P777" s="19"/>
      <c r="Q777" s="19"/>
    </row>
    <row r="778" spans="1:17" ht="46.5" customHeight="1" x14ac:dyDescent="0.7">
      <c r="A778" s="19"/>
      <c r="B778" s="19"/>
      <c r="C778" s="19"/>
      <c r="D778" s="31"/>
      <c r="E778" s="31"/>
      <c r="F778" s="31"/>
      <c r="G778" s="31"/>
      <c r="H778" s="31"/>
      <c r="I778" s="31"/>
      <c r="J778" s="31"/>
      <c r="K778" s="19"/>
      <c r="L778" s="19"/>
      <c r="M778" s="19"/>
      <c r="N778" s="31"/>
      <c r="O778" s="31"/>
      <c r="P778" s="19"/>
      <c r="Q778" s="19"/>
    </row>
    <row r="779" spans="1:17" ht="46.5" customHeight="1" x14ac:dyDescent="0.7">
      <c r="A779" s="19"/>
      <c r="B779" s="19"/>
      <c r="C779" s="19"/>
      <c r="D779" s="31"/>
      <c r="E779" s="31"/>
      <c r="F779" s="31"/>
      <c r="G779" s="31"/>
      <c r="H779" s="31"/>
      <c r="I779" s="31"/>
      <c r="J779" s="31"/>
      <c r="K779" s="19"/>
      <c r="L779" s="19"/>
      <c r="M779" s="19"/>
      <c r="N779" s="31"/>
      <c r="O779" s="31"/>
      <c r="P779" s="19"/>
      <c r="Q779" s="19"/>
    </row>
    <row r="780" spans="1:17" ht="46.5" customHeight="1" x14ac:dyDescent="0.7">
      <c r="A780" s="19"/>
      <c r="B780" s="19"/>
      <c r="C780" s="19"/>
      <c r="D780" s="31"/>
      <c r="E780" s="31"/>
      <c r="F780" s="31"/>
      <c r="G780" s="31"/>
      <c r="H780" s="31"/>
      <c r="I780" s="31"/>
      <c r="J780" s="31"/>
      <c r="K780" s="19"/>
      <c r="L780" s="19"/>
      <c r="M780" s="19"/>
      <c r="N780" s="31"/>
      <c r="O780" s="31"/>
      <c r="P780" s="19"/>
      <c r="Q780" s="19"/>
    </row>
    <row r="781" spans="1:17" ht="46.5" customHeight="1" x14ac:dyDescent="0.7">
      <c r="A781" s="19"/>
      <c r="B781" s="19"/>
      <c r="C781" s="19"/>
      <c r="D781" s="31"/>
      <c r="E781" s="31"/>
      <c r="F781" s="31"/>
      <c r="G781" s="31"/>
      <c r="H781" s="31"/>
      <c r="I781" s="31"/>
      <c r="J781" s="31"/>
      <c r="K781" s="19"/>
      <c r="L781" s="19"/>
      <c r="M781" s="19"/>
      <c r="N781" s="31"/>
      <c r="O781" s="31"/>
      <c r="P781" s="19"/>
      <c r="Q781" s="19"/>
    </row>
    <row r="782" spans="1:17" ht="46.5" customHeight="1" x14ac:dyDescent="0.7">
      <c r="A782" s="19"/>
      <c r="B782" s="19"/>
      <c r="C782" s="19"/>
      <c r="D782" s="31"/>
      <c r="E782" s="31"/>
      <c r="F782" s="31"/>
      <c r="G782" s="31"/>
      <c r="H782" s="31"/>
      <c r="I782" s="31"/>
      <c r="J782" s="31"/>
      <c r="K782" s="19"/>
      <c r="L782" s="19"/>
      <c r="M782" s="19"/>
      <c r="N782" s="31"/>
      <c r="O782" s="31"/>
      <c r="P782" s="19"/>
      <c r="Q782" s="19"/>
    </row>
    <row r="783" spans="1:17" ht="46.5" customHeight="1" x14ac:dyDescent="0.7">
      <c r="A783" s="19"/>
      <c r="B783" s="19"/>
      <c r="C783" s="19"/>
      <c r="D783" s="31"/>
      <c r="E783" s="31"/>
      <c r="F783" s="31"/>
      <c r="G783" s="31"/>
      <c r="H783" s="31"/>
      <c r="I783" s="31"/>
      <c r="J783" s="31"/>
      <c r="K783" s="19"/>
      <c r="L783" s="19"/>
      <c r="M783" s="19"/>
      <c r="N783" s="31"/>
      <c r="O783" s="31"/>
      <c r="P783" s="19"/>
      <c r="Q783" s="19"/>
    </row>
    <row r="784" spans="1:17" ht="46.5" customHeight="1" x14ac:dyDescent="0.7">
      <c r="A784" s="19"/>
      <c r="B784" s="19"/>
      <c r="C784" s="19"/>
      <c r="D784" s="31"/>
      <c r="E784" s="31"/>
      <c r="F784" s="31"/>
      <c r="G784" s="31"/>
      <c r="H784" s="31"/>
      <c r="I784" s="31"/>
      <c r="J784" s="31"/>
      <c r="K784" s="19"/>
      <c r="L784" s="19"/>
      <c r="M784" s="19"/>
      <c r="N784" s="31"/>
      <c r="O784" s="31"/>
      <c r="P784" s="19"/>
      <c r="Q784" s="19"/>
    </row>
    <row r="785" spans="1:17" ht="46.5" customHeight="1" x14ac:dyDescent="0.7">
      <c r="A785" s="19"/>
      <c r="B785" s="19"/>
      <c r="C785" s="19"/>
      <c r="D785" s="31"/>
      <c r="E785" s="31"/>
      <c r="F785" s="31"/>
      <c r="G785" s="31"/>
      <c r="H785" s="31"/>
      <c r="I785" s="31"/>
      <c r="J785" s="31"/>
      <c r="K785" s="19"/>
      <c r="L785" s="19"/>
      <c r="M785" s="19"/>
      <c r="N785" s="31"/>
      <c r="O785" s="31"/>
      <c r="P785" s="19"/>
      <c r="Q785" s="19"/>
    </row>
    <row r="786" spans="1:17" ht="46.5" customHeight="1" x14ac:dyDescent="0.7">
      <c r="A786" s="19"/>
      <c r="B786" s="19"/>
      <c r="C786" s="19"/>
      <c r="D786" s="31"/>
      <c r="E786" s="31"/>
      <c r="F786" s="31"/>
      <c r="G786" s="31"/>
      <c r="H786" s="31"/>
      <c r="I786" s="31"/>
      <c r="J786" s="31"/>
      <c r="K786" s="19"/>
      <c r="L786" s="19"/>
      <c r="M786" s="19"/>
      <c r="N786" s="31"/>
      <c r="O786" s="31"/>
      <c r="P786" s="19"/>
      <c r="Q786" s="19"/>
    </row>
    <row r="787" spans="1:17" ht="46.5" customHeight="1" x14ac:dyDescent="0.7">
      <c r="A787" s="19"/>
      <c r="B787" s="19"/>
      <c r="C787" s="19"/>
      <c r="D787" s="31"/>
      <c r="E787" s="31"/>
      <c r="F787" s="31"/>
      <c r="G787" s="31"/>
      <c r="H787" s="31"/>
      <c r="I787" s="31"/>
      <c r="J787" s="31"/>
      <c r="K787" s="19"/>
      <c r="L787" s="19"/>
      <c r="M787" s="19"/>
      <c r="N787" s="31"/>
      <c r="O787" s="31"/>
      <c r="P787" s="19"/>
      <c r="Q787" s="19"/>
    </row>
    <row r="788" spans="1:17" ht="46.5" customHeight="1" x14ac:dyDescent="0.7">
      <c r="A788" s="19"/>
      <c r="B788" s="19"/>
      <c r="C788" s="19"/>
      <c r="D788" s="31"/>
      <c r="E788" s="31"/>
      <c r="F788" s="31"/>
      <c r="G788" s="31"/>
      <c r="H788" s="31"/>
      <c r="I788" s="31"/>
      <c r="J788" s="31"/>
      <c r="K788" s="19"/>
      <c r="L788" s="19"/>
      <c r="M788" s="19"/>
      <c r="N788" s="31"/>
      <c r="O788" s="31"/>
      <c r="P788" s="19"/>
      <c r="Q788" s="19"/>
    </row>
    <row r="789" spans="1:17" ht="46.5" customHeight="1" x14ac:dyDescent="0.7">
      <c r="A789" s="19"/>
      <c r="B789" s="19"/>
      <c r="C789" s="19"/>
      <c r="D789" s="31"/>
      <c r="E789" s="31"/>
      <c r="F789" s="31"/>
      <c r="G789" s="31"/>
      <c r="H789" s="31"/>
      <c r="I789" s="31"/>
      <c r="J789" s="31"/>
      <c r="K789" s="19"/>
      <c r="L789" s="19"/>
      <c r="M789" s="19"/>
      <c r="N789" s="31"/>
      <c r="O789" s="31"/>
      <c r="P789" s="19"/>
      <c r="Q789" s="19"/>
    </row>
    <row r="790" spans="1:17" ht="46.5" customHeight="1" x14ac:dyDescent="0.7">
      <c r="A790" s="19"/>
      <c r="B790" s="19"/>
      <c r="C790" s="19"/>
      <c r="D790" s="31"/>
      <c r="E790" s="31"/>
      <c r="F790" s="31"/>
      <c r="G790" s="31"/>
      <c r="H790" s="31"/>
      <c r="I790" s="31"/>
      <c r="J790" s="31"/>
      <c r="K790" s="19"/>
      <c r="L790" s="19"/>
      <c r="M790" s="19"/>
      <c r="N790" s="31"/>
      <c r="O790" s="31"/>
      <c r="P790" s="19"/>
      <c r="Q790" s="19"/>
    </row>
    <row r="791" spans="1:17" ht="46.5" customHeight="1" x14ac:dyDescent="0.7">
      <c r="A791" s="19"/>
      <c r="B791" s="19"/>
      <c r="C791" s="19"/>
      <c r="D791" s="31"/>
      <c r="E791" s="31"/>
      <c r="F791" s="31"/>
      <c r="G791" s="31"/>
      <c r="H791" s="31"/>
      <c r="I791" s="31"/>
      <c r="J791" s="31"/>
      <c r="K791" s="19"/>
      <c r="L791" s="19"/>
      <c r="M791" s="19"/>
      <c r="N791" s="31"/>
      <c r="O791" s="31"/>
      <c r="P791" s="19"/>
      <c r="Q791" s="19"/>
    </row>
    <row r="792" spans="1:17" ht="46.5" customHeight="1" x14ac:dyDescent="0.7">
      <c r="A792" s="19"/>
      <c r="B792" s="19"/>
      <c r="C792" s="19"/>
      <c r="D792" s="31"/>
      <c r="E792" s="31"/>
      <c r="F792" s="31"/>
      <c r="G792" s="31"/>
      <c r="H792" s="31"/>
      <c r="I792" s="31"/>
      <c r="J792" s="31"/>
      <c r="K792" s="19"/>
      <c r="L792" s="19"/>
      <c r="M792" s="19"/>
      <c r="N792" s="31"/>
      <c r="O792" s="31"/>
      <c r="P792" s="19"/>
      <c r="Q792" s="19"/>
    </row>
    <row r="793" spans="1:17" ht="46.5" customHeight="1" x14ac:dyDescent="0.7">
      <c r="A793" s="19"/>
      <c r="B793" s="19"/>
      <c r="C793" s="19"/>
      <c r="D793" s="31"/>
      <c r="E793" s="31"/>
      <c r="F793" s="31"/>
      <c r="G793" s="31"/>
      <c r="H793" s="31"/>
      <c r="I793" s="31"/>
      <c r="J793" s="31"/>
      <c r="K793" s="19"/>
      <c r="L793" s="19"/>
      <c r="M793" s="19"/>
      <c r="N793" s="31"/>
      <c r="O793" s="31"/>
      <c r="P793" s="19"/>
      <c r="Q793" s="19"/>
    </row>
    <row r="794" spans="1:17" ht="46.5" customHeight="1" x14ac:dyDescent="0.7">
      <c r="A794" s="19"/>
      <c r="B794" s="19"/>
      <c r="C794" s="19"/>
      <c r="D794" s="31"/>
      <c r="E794" s="31"/>
      <c r="F794" s="31"/>
      <c r="G794" s="31"/>
      <c r="H794" s="31"/>
      <c r="I794" s="31"/>
      <c r="J794" s="31"/>
      <c r="K794" s="19"/>
      <c r="L794" s="19"/>
      <c r="M794" s="19"/>
      <c r="N794" s="31"/>
      <c r="O794" s="31"/>
      <c r="P794" s="19"/>
      <c r="Q794" s="19"/>
    </row>
    <row r="795" spans="1:17" ht="46.5" customHeight="1" x14ac:dyDescent="0.7">
      <c r="A795" s="19"/>
      <c r="B795" s="19"/>
      <c r="C795" s="19"/>
      <c r="D795" s="31"/>
      <c r="E795" s="31"/>
      <c r="F795" s="31"/>
      <c r="G795" s="31"/>
      <c r="H795" s="31"/>
      <c r="I795" s="31"/>
      <c r="J795" s="31"/>
      <c r="K795" s="19"/>
      <c r="L795" s="19"/>
      <c r="M795" s="19"/>
      <c r="N795" s="31"/>
      <c r="O795" s="31"/>
      <c r="P795" s="19"/>
      <c r="Q795" s="19"/>
    </row>
    <row r="796" spans="1:17" ht="46.5" customHeight="1" x14ac:dyDescent="0.7">
      <c r="A796" s="19"/>
      <c r="B796" s="19"/>
      <c r="C796" s="19"/>
      <c r="D796" s="31"/>
      <c r="E796" s="31"/>
      <c r="F796" s="31"/>
      <c r="G796" s="31"/>
      <c r="H796" s="31"/>
      <c r="I796" s="31"/>
      <c r="J796" s="31"/>
      <c r="K796" s="19"/>
      <c r="L796" s="19"/>
      <c r="M796" s="19"/>
      <c r="N796" s="31"/>
      <c r="O796" s="31"/>
      <c r="P796" s="19"/>
      <c r="Q796" s="19"/>
    </row>
    <row r="797" spans="1:17" ht="46.5" customHeight="1" x14ac:dyDescent="0.7">
      <c r="A797" s="19"/>
      <c r="B797" s="19"/>
      <c r="C797" s="19"/>
      <c r="D797" s="31"/>
      <c r="E797" s="31"/>
      <c r="F797" s="31"/>
      <c r="G797" s="31"/>
      <c r="H797" s="31"/>
      <c r="I797" s="31"/>
      <c r="J797" s="31"/>
      <c r="K797" s="19"/>
      <c r="L797" s="19"/>
      <c r="M797" s="19"/>
      <c r="N797" s="31"/>
      <c r="O797" s="31"/>
      <c r="P797" s="19"/>
      <c r="Q797" s="19"/>
    </row>
    <row r="798" spans="1:17" ht="46.5" customHeight="1" x14ac:dyDescent="0.7">
      <c r="A798" s="19"/>
      <c r="B798" s="19"/>
      <c r="C798" s="19"/>
      <c r="D798" s="31"/>
      <c r="E798" s="31"/>
      <c r="F798" s="31"/>
      <c r="G798" s="31"/>
      <c r="H798" s="31"/>
      <c r="I798" s="31"/>
      <c r="J798" s="31"/>
      <c r="K798" s="19"/>
      <c r="L798" s="19"/>
      <c r="M798" s="19"/>
      <c r="N798" s="31"/>
      <c r="O798" s="31"/>
      <c r="P798" s="19"/>
      <c r="Q798" s="19"/>
    </row>
    <row r="799" spans="1:17" ht="46.5" customHeight="1" x14ac:dyDescent="0.7">
      <c r="A799" s="19"/>
      <c r="B799" s="19"/>
      <c r="C799" s="19"/>
      <c r="D799" s="31"/>
      <c r="E799" s="31"/>
      <c r="F799" s="31"/>
      <c r="G799" s="31"/>
      <c r="H799" s="31"/>
      <c r="I799" s="31"/>
      <c r="J799" s="31"/>
      <c r="K799" s="19"/>
      <c r="L799" s="19"/>
      <c r="M799" s="19"/>
      <c r="N799" s="31"/>
      <c r="O799" s="31"/>
      <c r="P799" s="19"/>
      <c r="Q799" s="19"/>
    </row>
    <row r="800" spans="1:17" ht="46.5" customHeight="1" x14ac:dyDescent="0.7">
      <c r="A800" s="19"/>
      <c r="B800" s="19"/>
      <c r="C800" s="19"/>
      <c r="D800" s="31"/>
      <c r="E800" s="31"/>
      <c r="F800" s="31"/>
      <c r="G800" s="31"/>
      <c r="H800" s="31"/>
      <c r="I800" s="31"/>
      <c r="J800" s="31"/>
      <c r="K800" s="19"/>
      <c r="L800" s="19"/>
      <c r="M800" s="19"/>
      <c r="N800" s="31"/>
      <c r="O800" s="31"/>
      <c r="P800" s="19"/>
      <c r="Q800" s="19"/>
    </row>
    <row r="801" spans="1:17" ht="46.5" customHeight="1" x14ac:dyDescent="0.7">
      <c r="A801" s="19"/>
      <c r="B801" s="19"/>
      <c r="C801" s="19"/>
      <c r="D801" s="31"/>
      <c r="E801" s="31"/>
      <c r="F801" s="31"/>
      <c r="G801" s="31"/>
      <c r="H801" s="31"/>
      <c r="I801" s="31"/>
      <c r="J801" s="31"/>
      <c r="K801" s="19"/>
      <c r="L801" s="19"/>
      <c r="M801" s="19"/>
      <c r="N801" s="31"/>
      <c r="O801" s="31"/>
      <c r="P801" s="19"/>
      <c r="Q801" s="19"/>
    </row>
    <row r="802" spans="1:17" ht="46.5" customHeight="1" x14ac:dyDescent="0.7">
      <c r="A802" s="19"/>
      <c r="B802" s="19"/>
      <c r="C802" s="19"/>
      <c r="D802" s="31"/>
      <c r="E802" s="31"/>
      <c r="F802" s="31"/>
      <c r="G802" s="31"/>
      <c r="H802" s="31"/>
      <c r="I802" s="31"/>
      <c r="J802" s="31"/>
      <c r="K802" s="19"/>
      <c r="L802" s="19"/>
      <c r="M802" s="19"/>
      <c r="N802" s="31"/>
      <c r="O802" s="31"/>
      <c r="P802" s="19"/>
      <c r="Q802" s="19"/>
    </row>
    <row r="803" spans="1:17" ht="46.5" customHeight="1" x14ac:dyDescent="0.7">
      <c r="A803" s="19"/>
      <c r="B803" s="19"/>
      <c r="C803" s="19"/>
      <c r="D803" s="31"/>
      <c r="E803" s="31"/>
      <c r="F803" s="31"/>
      <c r="G803" s="31"/>
      <c r="H803" s="31"/>
      <c r="I803" s="31"/>
      <c r="J803" s="31"/>
      <c r="K803" s="19"/>
      <c r="L803" s="19"/>
      <c r="M803" s="19"/>
      <c r="N803" s="31"/>
      <c r="O803" s="31"/>
      <c r="P803" s="19"/>
      <c r="Q803" s="19"/>
    </row>
    <row r="804" spans="1:17" ht="46.5" customHeight="1" x14ac:dyDescent="0.7">
      <c r="A804" s="19"/>
      <c r="B804" s="19"/>
      <c r="C804" s="19"/>
      <c r="D804" s="31"/>
      <c r="E804" s="31"/>
      <c r="F804" s="31"/>
      <c r="G804" s="31"/>
      <c r="H804" s="31"/>
      <c r="I804" s="31"/>
      <c r="J804" s="31"/>
      <c r="K804" s="19"/>
      <c r="L804" s="19"/>
      <c r="M804" s="19"/>
      <c r="N804" s="31"/>
      <c r="O804" s="31"/>
      <c r="P804" s="19"/>
      <c r="Q804" s="19"/>
    </row>
    <row r="805" spans="1:17" ht="46.5" customHeight="1" x14ac:dyDescent="0.7">
      <c r="A805" s="19"/>
      <c r="B805" s="19"/>
      <c r="C805" s="19"/>
      <c r="D805" s="31"/>
      <c r="E805" s="31"/>
      <c r="F805" s="31"/>
      <c r="G805" s="31"/>
      <c r="H805" s="31"/>
      <c r="I805" s="31"/>
      <c r="J805" s="31"/>
      <c r="K805" s="19"/>
      <c r="L805" s="19"/>
      <c r="M805" s="19"/>
      <c r="N805" s="31"/>
      <c r="O805" s="31"/>
      <c r="P805" s="19"/>
      <c r="Q805" s="19"/>
    </row>
    <row r="806" spans="1:17" ht="46.5" customHeight="1" x14ac:dyDescent="0.7">
      <c r="A806" s="19"/>
      <c r="B806" s="19"/>
      <c r="C806" s="19"/>
      <c r="D806" s="31"/>
      <c r="E806" s="31"/>
      <c r="F806" s="31"/>
      <c r="G806" s="31"/>
      <c r="H806" s="31"/>
      <c r="I806" s="31"/>
      <c r="J806" s="31"/>
      <c r="K806" s="19"/>
      <c r="L806" s="19"/>
      <c r="M806" s="19"/>
      <c r="N806" s="31"/>
      <c r="O806" s="31"/>
      <c r="P806" s="19"/>
      <c r="Q806" s="19"/>
    </row>
    <row r="807" spans="1:17" ht="46.5" customHeight="1" x14ac:dyDescent="0.7">
      <c r="A807" s="19"/>
      <c r="B807" s="19"/>
      <c r="C807" s="19"/>
      <c r="D807" s="31"/>
      <c r="E807" s="31"/>
      <c r="F807" s="31"/>
      <c r="G807" s="31"/>
      <c r="H807" s="31"/>
      <c r="I807" s="31"/>
      <c r="J807" s="31"/>
      <c r="K807" s="19"/>
      <c r="L807" s="19"/>
      <c r="M807" s="19"/>
      <c r="N807" s="31"/>
      <c r="O807" s="31"/>
      <c r="P807" s="19"/>
      <c r="Q807" s="19"/>
    </row>
    <row r="808" spans="1:17" ht="46.5" customHeight="1" x14ac:dyDescent="0.7">
      <c r="A808" s="19"/>
      <c r="B808" s="19"/>
      <c r="C808" s="19"/>
      <c r="D808" s="31"/>
      <c r="E808" s="31"/>
      <c r="F808" s="31"/>
      <c r="G808" s="31"/>
      <c r="H808" s="31"/>
      <c r="I808" s="31"/>
      <c r="J808" s="31"/>
      <c r="K808" s="19"/>
      <c r="L808" s="19"/>
      <c r="M808" s="19"/>
      <c r="N808" s="31"/>
      <c r="O808" s="31"/>
      <c r="P808" s="19"/>
      <c r="Q808" s="19"/>
    </row>
    <row r="809" spans="1:17" ht="46.5" customHeight="1" x14ac:dyDescent="0.7">
      <c r="A809" s="19"/>
      <c r="B809" s="19"/>
      <c r="C809" s="19"/>
      <c r="D809" s="31"/>
      <c r="E809" s="31"/>
      <c r="F809" s="31"/>
      <c r="G809" s="31"/>
      <c r="H809" s="31"/>
      <c r="I809" s="31"/>
      <c r="J809" s="31"/>
      <c r="K809" s="19"/>
      <c r="L809" s="19"/>
      <c r="M809" s="19"/>
      <c r="N809" s="31"/>
      <c r="O809" s="31"/>
      <c r="P809" s="19"/>
      <c r="Q809" s="19"/>
    </row>
    <row r="810" spans="1:17" ht="46.5" customHeight="1" x14ac:dyDescent="0.7">
      <c r="A810" s="19"/>
      <c r="B810" s="19"/>
      <c r="C810" s="19"/>
      <c r="D810" s="31"/>
      <c r="E810" s="31"/>
      <c r="F810" s="31"/>
      <c r="G810" s="31"/>
      <c r="H810" s="31"/>
      <c r="I810" s="31"/>
      <c r="J810" s="31"/>
      <c r="K810" s="19"/>
      <c r="L810" s="19"/>
      <c r="M810" s="19"/>
      <c r="N810" s="31"/>
      <c r="O810" s="31"/>
      <c r="P810" s="19"/>
      <c r="Q810" s="19"/>
    </row>
    <row r="811" spans="1:17" ht="46.5" customHeight="1" x14ac:dyDescent="0.7">
      <c r="A811" s="19"/>
      <c r="B811" s="19"/>
      <c r="C811" s="19"/>
      <c r="D811" s="31"/>
      <c r="E811" s="31"/>
      <c r="F811" s="31"/>
      <c r="G811" s="31"/>
      <c r="H811" s="31"/>
      <c r="I811" s="31"/>
      <c r="J811" s="31"/>
      <c r="K811" s="19"/>
      <c r="L811" s="19"/>
      <c r="M811" s="19"/>
      <c r="N811" s="31"/>
      <c r="O811" s="31"/>
      <c r="P811" s="19"/>
      <c r="Q811" s="19"/>
    </row>
    <row r="812" spans="1:17" ht="46.5" customHeight="1" x14ac:dyDescent="0.7">
      <c r="A812" s="19"/>
      <c r="B812" s="19"/>
      <c r="C812" s="19"/>
      <c r="D812" s="31"/>
      <c r="E812" s="31"/>
      <c r="F812" s="31"/>
      <c r="G812" s="31"/>
      <c r="H812" s="31"/>
      <c r="I812" s="31"/>
      <c r="J812" s="31"/>
      <c r="K812" s="19"/>
      <c r="L812" s="19"/>
      <c r="M812" s="19"/>
      <c r="N812" s="31"/>
      <c r="O812" s="31"/>
      <c r="P812" s="19"/>
      <c r="Q812" s="19"/>
    </row>
    <row r="813" spans="1:17" ht="46.5" customHeight="1" x14ac:dyDescent="0.7">
      <c r="A813" s="19"/>
      <c r="B813" s="19"/>
      <c r="C813" s="19"/>
      <c r="D813" s="31"/>
      <c r="E813" s="31"/>
      <c r="F813" s="31"/>
      <c r="G813" s="31"/>
      <c r="H813" s="31"/>
      <c r="I813" s="31"/>
      <c r="J813" s="31"/>
      <c r="K813" s="19"/>
      <c r="L813" s="19"/>
      <c r="M813" s="19"/>
      <c r="N813" s="31"/>
      <c r="O813" s="31"/>
      <c r="P813" s="19"/>
      <c r="Q813" s="19"/>
    </row>
    <row r="814" spans="1:17" ht="46.5" customHeight="1" x14ac:dyDescent="0.7">
      <c r="A814" s="19"/>
      <c r="B814" s="19"/>
      <c r="C814" s="19"/>
      <c r="D814" s="31"/>
      <c r="E814" s="31"/>
      <c r="F814" s="31"/>
      <c r="G814" s="31"/>
      <c r="H814" s="31"/>
      <c r="I814" s="31"/>
      <c r="J814" s="31"/>
      <c r="K814" s="19"/>
      <c r="L814" s="19"/>
      <c r="M814" s="19"/>
      <c r="N814" s="31"/>
      <c r="O814" s="31"/>
      <c r="P814" s="19"/>
      <c r="Q814" s="19"/>
    </row>
    <row r="815" spans="1:17" ht="46.5" customHeight="1" x14ac:dyDescent="0.7">
      <c r="A815" s="19"/>
      <c r="B815" s="19"/>
      <c r="C815" s="19"/>
      <c r="D815" s="31"/>
      <c r="E815" s="31"/>
      <c r="F815" s="31"/>
      <c r="G815" s="31"/>
      <c r="H815" s="31"/>
      <c r="I815" s="31"/>
      <c r="J815" s="31"/>
      <c r="K815" s="19"/>
      <c r="L815" s="19"/>
      <c r="M815" s="19"/>
      <c r="N815" s="31"/>
      <c r="O815" s="31"/>
      <c r="P815" s="19"/>
      <c r="Q815" s="19"/>
    </row>
    <row r="816" spans="1:17" ht="46.5" customHeight="1" x14ac:dyDescent="0.7">
      <c r="A816" s="19"/>
      <c r="B816" s="19"/>
      <c r="C816" s="19"/>
      <c r="D816" s="31"/>
      <c r="E816" s="31"/>
      <c r="F816" s="31"/>
      <c r="G816" s="31"/>
      <c r="H816" s="31"/>
      <c r="I816" s="31"/>
      <c r="J816" s="31"/>
      <c r="K816" s="19"/>
      <c r="L816" s="19"/>
      <c r="M816" s="19"/>
      <c r="N816" s="31"/>
      <c r="O816" s="31"/>
      <c r="P816" s="19"/>
      <c r="Q816" s="19"/>
    </row>
    <row r="817" spans="1:17" ht="46.5" customHeight="1" x14ac:dyDescent="0.7">
      <c r="A817" s="19"/>
      <c r="B817" s="19"/>
      <c r="C817" s="19"/>
      <c r="D817" s="31"/>
      <c r="E817" s="31"/>
      <c r="F817" s="31"/>
      <c r="G817" s="31"/>
      <c r="H817" s="31"/>
      <c r="I817" s="31"/>
      <c r="J817" s="31"/>
      <c r="K817" s="19"/>
      <c r="L817" s="19"/>
      <c r="M817" s="19"/>
      <c r="N817" s="31"/>
      <c r="O817" s="31"/>
      <c r="P817" s="19"/>
      <c r="Q817" s="19"/>
    </row>
    <row r="818" spans="1:17" ht="46.5" customHeight="1" x14ac:dyDescent="0.7">
      <c r="A818" s="19"/>
      <c r="B818" s="19"/>
      <c r="C818" s="19"/>
      <c r="D818" s="31"/>
      <c r="E818" s="31"/>
      <c r="F818" s="31"/>
      <c r="G818" s="31"/>
      <c r="H818" s="31"/>
      <c r="I818" s="31"/>
      <c r="J818" s="31"/>
      <c r="K818" s="19"/>
      <c r="L818" s="19"/>
      <c r="M818" s="19"/>
      <c r="N818" s="31"/>
      <c r="O818" s="31"/>
      <c r="P818" s="19"/>
      <c r="Q818" s="19"/>
    </row>
    <row r="819" spans="1:17" ht="46.5" customHeight="1" x14ac:dyDescent="0.7">
      <c r="A819" s="19"/>
      <c r="B819" s="19"/>
      <c r="C819" s="19"/>
      <c r="D819" s="31"/>
      <c r="E819" s="31"/>
      <c r="F819" s="31"/>
      <c r="G819" s="31"/>
      <c r="H819" s="31"/>
      <c r="I819" s="31"/>
      <c r="J819" s="31"/>
      <c r="K819" s="19"/>
      <c r="L819" s="19"/>
      <c r="M819" s="19"/>
      <c r="N819" s="31"/>
      <c r="O819" s="31"/>
      <c r="P819" s="19"/>
      <c r="Q819" s="19"/>
    </row>
    <row r="820" spans="1:17" ht="46.5" customHeight="1" x14ac:dyDescent="0.7">
      <c r="A820" s="19"/>
      <c r="B820" s="19"/>
      <c r="C820" s="19"/>
      <c r="D820" s="31"/>
      <c r="E820" s="31"/>
      <c r="F820" s="31"/>
      <c r="G820" s="31"/>
      <c r="H820" s="31"/>
      <c r="I820" s="31"/>
      <c r="J820" s="31"/>
      <c r="K820" s="19"/>
      <c r="L820" s="19"/>
      <c r="M820" s="19"/>
      <c r="N820" s="31"/>
      <c r="O820" s="31"/>
      <c r="P820" s="19"/>
      <c r="Q820" s="19"/>
    </row>
    <row r="821" spans="1:17" ht="46.5" customHeight="1" x14ac:dyDescent="0.7">
      <c r="A821" s="19"/>
      <c r="B821" s="19"/>
      <c r="C821" s="19"/>
      <c r="D821" s="31"/>
      <c r="E821" s="31"/>
      <c r="F821" s="31"/>
      <c r="G821" s="31"/>
      <c r="H821" s="31"/>
      <c r="I821" s="31"/>
      <c r="J821" s="31"/>
      <c r="K821" s="19"/>
      <c r="L821" s="19"/>
      <c r="M821" s="19"/>
      <c r="N821" s="31"/>
      <c r="O821" s="31"/>
      <c r="P821" s="19"/>
      <c r="Q821" s="19"/>
    </row>
    <row r="822" spans="1:17" ht="46.5" customHeight="1" x14ac:dyDescent="0.7">
      <c r="A822" s="19"/>
      <c r="B822" s="19"/>
      <c r="C822" s="19"/>
      <c r="D822" s="31"/>
      <c r="E822" s="31"/>
      <c r="F822" s="31"/>
      <c r="G822" s="31"/>
      <c r="H822" s="31"/>
      <c r="I822" s="31"/>
      <c r="J822" s="31"/>
      <c r="K822" s="19"/>
      <c r="L822" s="19"/>
      <c r="M822" s="19"/>
      <c r="N822" s="31"/>
      <c r="O822" s="31"/>
      <c r="P822" s="19"/>
      <c r="Q822" s="19"/>
    </row>
    <row r="823" spans="1:17" ht="46.5" customHeight="1" x14ac:dyDescent="0.7">
      <c r="A823" s="19"/>
      <c r="B823" s="19"/>
      <c r="C823" s="19"/>
      <c r="D823" s="31"/>
      <c r="E823" s="31"/>
      <c r="F823" s="31"/>
      <c r="G823" s="31"/>
      <c r="H823" s="31"/>
      <c r="I823" s="31"/>
      <c r="J823" s="31"/>
      <c r="K823" s="19"/>
      <c r="L823" s="19"/>
      <c r="M823" s="19"/>
      <c r="N823" s="31"/>
      <c r="O823" s="31"/>
      <c r="P823" s="19"/>
      <c r="Q823" s="19"/>
    </row>
    <row r="824" spans="1:17" ht="46.5" customHeight="1" x14ac:dyDescent="0.7">
      <c r="A824" s="19"/>
      <c r="B824" s="19"/>
      <c r="C824" s="19"/>
      <c r="D824" s="31"/>
      <c r="E824" s="31"/>
      <c r="F824" s="31"/>
      <c r="G824" s="31"/>
      <c r="H824" s="31"/>
      <c r="I824" s="31"/>
      <c r="J824" s="31"/>
      <c r="K824" s="19"/>
      <c r="L824" s="19"/>
      <c r="M824" s="19"/>
      <c r="N824" s="31"/>
      <c r="O824" s="31"/>
      <c r="P824" s="19"/>
      <c r="Q824" s="19"/>
    </row>
    <row r="825" spans="1:17" ht="46.5" customHeight="1" x14ac:dyDescent="0.7">
      <c r="A825" s="19"/>
      <c r="B825" s="19"/>
      <c r="C825" s="19"/>
      <c r="D825" s="31"/>
      <c r="E825" s="31"/>
      <c r="F825" s="31"/>
      <c r="G825" s="31"/>
      <c r="H825" s="31"/>
      <c r="I825" s="31"/>
      <c r="J825" s="31"/>
      <c r="K825" s="19"/>
      <c r="L825" s="19"/>
      <c r="M825" s="19"/>
      <c r="N825" s="31"/>
      <c r="O825" s="31"/>
      <c r="P825" s="19"/>
      <c r="Q825" s="19"/>
    </row>
    <row r="826" spans="1:17" ht="46.5" customHeight="1" x14ac:dyDescent="0.7">
      <c r="A826" s="19"/>
      <c r="B826" s="19"/>
      <c r="C826" s="19"/>
      <c r="D826" s="31"/>
      <c r="E826" s="31"/>
      <c r="F826" s="31"/>
      <c r="G826" s="31"/>
      <c r="H826" s="31"/>
      <c r="I826" s="31"/>
      <c r="J826" s="31"/>
      <c r="K826" s="19"/>
      <c r="L826" s="19"/>
      <c r="M826" s="19"/>
      <c r="N826" s="31"/>
      <c r="O826" s="31"/>
      <c r="P826" s="19"/>
      <c r="Q826" s="19"/>
    </row>
    <row r="827" spans="1:17" ht="46.5" customHeight="1" x14ac:dyDescent="0.7">
      <c r="A827" s="19"/>
      <c r="B827" s="19"/>
      <c r="C827" s="19"/>
      <c r="D827" s="31"/>
      <c r="E827" s="31"/>
      <c r="F827" s="31"/>
      <c r="G827" s="31"/>
      <c r="H827" s="31"/>
      <c r="I827" s="31"/>
      <c r="J827" s="31"/>
      <c r="K827" s="19"/>
      <c r="L827" s="19"/>
      <c r="M827" s="19"/>
      <c r="N827" s="31"/>
      <c r="O827" s="31"/>
      <c r="P827" s="19"/>
      <c r="Q827" s="19"/>
    </row>
    <row r="828" spans="1:17" ht="46.5" customHeight="1" x14ac:dyDescent="0.7">
      <c r="A828" s="19"/>
      <c r="B828" s="19"/>
      <c r="C828" s="19"/>
      <c r="D828" s="31"/>
      <c r="E828" s="31"/>
      <c r="F828" s="31"/>
      <c r="G828" s="31"/>
      <c r="H828" s="31"/>
      <c r="I828" s="31"/>
      <c r="J828" s="31"/>
      <c r="K828" s="19"/>
      <c r="L828" s="19"/>
      <c r="M828" s="19"/>
      <c r="N828" s="31"/>
      <c r="O828" s="31"/>
      <c r="P828" s="19"/>
      <c r="Q828" s="19"/>
    </row>
    <row r="829" spans="1:17" ht="46.5" customHeight="1" x14ac:dyDescent="0.7">
      <c r="A829" s="19"/>
      <c r="B829" s="19"/>
      <c r="C829" s="19"/>
      <c r="D829" s="31"/>
      <c r="E829" s="31"/>
      <c r="F829" s="31"/>
      <c r="G829" s="31"/>
      <c r="H829" s="31"/>
      <c r="I829" s="31"/>
      <c r="J829" s="31"/>
      <c r="K829" s="19"/>
      <c r="L829" s="19"/>
      <c r="M829" s="19"/>
      <c r="N829" s="31"/>
      <c r="O829" s="31"/>
      <c r="P829" s="19"/>
      <c r="Q829" s="19"/>
    </row>
    <row r="830" spans="1:17" ht="46.5" customHeight="1" x14ac:dyDescent="0.7">
      <c r="A830" s="19"/>
      <c r="B830" s="19"/>
      <c r="C830" s="19"/>
      <c r="D830" s="31"/>
      <c r="E830" s="31"/>
      <c r="F830" s="31"/>
      <c r="G830" s="31"/>
      <c r="H830" s="31"/>
      <c r="I830" s="31"/>
      <c r="J830" s="31"/>
      <c r="K830" s="19"/>
      <c r="L830" s="19"/>
      <c r="M830" s="19"/>
      <c r="N830" s="31"/>
      <c r="O830" s="31"/>
      <c r="P830" s="19"/>
      <c r="Q830" s="19"/>
    </row>
    <row r="831" spans="1:17" ht="46.5" customHeight="1" x14ac:dyDescent="0.7">
      <c r="A831" s="19"/>
      <c r="B831" s="19"/>
      <c r="C831" s="19"/>
      <c r="D831" s="31"/>
      <c r="E831" s="31"/>
      <c r="F831" s="31"/>
      <c r="G831" s="31"/>
      <c r="H831" s="31"/>
      <c r="I831" s="31"/>
      <c r="J831" s="31"/>
      <c r="K831" s="19"/>
      <c r="L831" s="19"/>
      <c r="M831" s="19"/>
      <c r="N831" s="31"/>
      <c r="O831" s="31"/>
      <c r="P831" s="19"/>
      <c r="Q831" s="19"/>
    </row>
    <row r="832" spans="1:17" ht="46.5" customHeight="1" x14ac:dyDescent="0.7">
      <c r="A832" s="19"/>
      <c r="B832" s="19"/>
      <c r="C832" s="19"/>
      <c r="D832" s="31"/>
      <c r="E832" s="31"/>
      <c r="F832" s="31"/>
      <c r="G832" s="31"/>
      <c r="H832" s="31"/>
      <c r="I832" s="31"/>
      <c r="J832" s="31"/>
      <c r="K832" s="19"/>
      <c r="L832" s="19"/>
      <c r="M832" s="19"/>
      <c r="N832" s="31"/>
      <c r="O832" s="31"/>
      <c r="P832" s="19"/>
      <c r="Q832" s="19"/>
    </row>
    <row r="833" spans="1:17" ht="46.5" customHeight="1" x14ac:dyDescent="0.7">
      <c r="A833" s="19"/>
      <c r="B833" s="19"/>
      <c r="C833" s="19"/>
      <c r="D833" s="31"/>
      <c r="E833" s="31"/>
      <c r="F833" s="31"/>
      <c r="G833" s="31"/>
      <c r="H833" s="31"/>
      <c r="I833" s="31"/>
      <c r="J833" s="31"/>
      <c r="K833" s="19"/>
      <c r="L833" s="19"/>
      <c r="M833" s="19"/>
      <c r="N833" s="31"/>
      <c r="O833" s="31"/>
      <c r="P833" s="19"/>
      <c r="Q833" s="19"/>
    </row>
    <row r="834" spans="1:17" ht="46.5" customHeight="1" x14ac:dyDescent="0.7">
      <c r="A834" s="19"/>
      <c r="B834" s="19"/>
      <c r="C834" s="19"/>
      <c r="D834" s="31"/>
      <c r="E834" s="31"/>
      <c r="F834" s="31"/>
      <c r="G834" s="31"/>
      <c r="H834" s="31"/>
      <c r="I834" s="31"/>
      <c r="J834" s="31"/>
      <c r="K834" s="19"/>
      <c r="L834" s="19"/>
      <c r="M834" s="19"/>
      <c r="N834" s="31"/>
      <c r="O834" s="31"/>
      <c r="P834" s="19"/>
      <c r="Q834" s="19"/>
    </row>
    <row r="835" spans="1:17" ht="46.5" customHeight="1" x14ac:dyDescent="0.7">
      <c r="A835" s="19"/>
      <c r="B835" s="19"/>
      <c r="C835" s="19"/>
      <c r="D835" s="31"/>
      <c r="E835" s="31"/>
      <c r="F835" s="31"/>
      <c r="G835" s="31"/>
      <c r="H835" s="31"/>
      <c r="I835" s="31"/>
      <c r="J835" s="31"/>
      <c r="K835" s="19"/>
      <c r="L835" s="19"/>
      <c r="M835" s="19"/>
      <c r="N835" s="31"/>
      <c r="O835" s="31"/>
      <c r="P835" s="19"/>
      <c r="Q835" s="19"/>
    </row>
    <row r="836" spans="1:17" ht="46.5" customHeight="1" x14ac:dyDescent="0.7">
      <c r="A836" s="19"/>
      <c r="B836" s="19"/>
      <c r="C836" s="19"/>
      <c r="D836" s="31"/>
      <c r="E836" s="31"/>
      <c r="F836" s="31"/>
      <c r="G836" s="31"/>
      <c r="H836" s="31"/>
      <c r="I836" s="31"/>
      <c r="J836" s="31"/>
      <c r="K836" s="19"/>
      <c r="L836" s="19"/>
      <c r="M836" s="19"/>
      <c r="N836" s="31"/>
      <c r="O836" s="31"/>
      <c r="P836" s="19"/>
      <c r="Q836" s="19"/>
    </row>
    <row r="837" spans="1:17" ht="46.5" customHeight="1" x14ac:dyDescent="0.7">
      <c r="A837" s="19"/>
      <c r="B837" s="19"/>
      <c r="C837" s="19"/>
      <c r="D837" s="31"/>
      <c r="E837" s="31"/>
      <c r="F837" s="31"/>
      <c r="G837" s="31"/>
      <c r="H837" s="31"/>
      <c r="I837" s="31"/>
      <c r="J837" s="31"/>
      <c r="K837" s="19"/>
      <c r="L837" s="19"/>
      <c r="M837" s="19"/>
      <c r="N837" s="31"/>
      <c r="O837" s="31"/>
      <c r="P837" s="19"/>
      <c r="Q837" s="19"/>
    </row>
    <row r="838" spans="1:17" ht="46.5" customHeight="1" x14ac:dyDescent="0.7">
      <c r="A838" s="19"/>
      <c r="B838" s="19"/>
      <c r="C838" s="19"/>
      <c r="D838" s="31"/>
      <c r="E838" s="31"/>
      <c r="F838" s="31"/>
      <c r="G838" s="31"/>
      <c r="H838" s="31"/>
      <c r="I838" s="31"/>
      <c r="J838" s="31"/>
      <c r="K838" s="19"/>
      <c r="L838" s="19"/>
      <c r="M838" s="19"/>
      <c r="N838" s="31"/>
      <c r="O838" s="31"/>
      <c r="P838" s="19"/>
      <c r="Q838" s="19"/>
    </row>
    <row r="839" spans="1:17" ht="46.5" customHeight="1" x14ac:dyDescent="0.7">
      <c r="A839" s="19"/>
      <c r="B839" s="19"/>
      <c r="C839" s="19"/>
      <c r="D839" s="31"/>
      <c r="E839" s="31"/>
      <c r="F839" s="31"/>
      <c r="G839" s="31"/>
      <c r="H839" s="31"/>
      <c r="I839" s="31"/>
      <c r="J839" s="31"/>
      <c r="K839" s="19"/>
      <c r="L839" s="19"/>
      <c r="M839" s="19"/>
      <c r="N839" s="31"/>
      <c r="O839" s="31"/>
      <c r="P839" s="19"/>
      <c r="Q839" s="19"/>
    </row>
    <row r="840" spans="1:17" ht="46.5" customHeight="1" x14ac:dyDescent="0.7">
      <c r="A840" s="19"/>
      <c r="B840" s="19"/>
      <c r="C840" s="19"/>
      <c r="D840" s="31"/>
      <c r="E840" s="31"/>
      <c r="F840" s="31"/>
      <c r="G840" s="31"/>
      <c r="H840" s="31"/>
      <c r="I840" s="31"/>
      <c r="J840" s="31"/>
      <c r="K840" s="19"/>
      <c r="L840" s="19"/>
      <c r="M840" s="19"/>
      <c r="N840" s="31"/>
      <c r="O840" s="31"/>
      <c r="P840" s="19"/>
      <c r="Q840" s="19"/>
    </row>
    <row r="841" spans="1:17" ht="46.5" customHeight="1" x14ac:dyDescent="0.7">
      <c r="A841" s="19"/>
      <c r="B841" s="19"/>
      <c r="C841" s="19"/>
      <c r="D841" s="31"/>
      <c r="E841" s="31"/>
      <c r="F841" s="31"/>
      <c r="G841" s="31"/>
      <c r="H841" s="31"/>
      <c r="I841" s="31"/>
      <c r="J841" s="31"/>
      <c r="K841" s="19"/>
      <c r="L841" s="19"/>
      <c r="M841" s="19"/>
      <c r="N841" s="31"/>
      <c r="O841" s="31"/>
      <c r="P841" s="19"/>
      <c r="Q841" s="19"/>
    </row>
    <row r="842" spans="1:17" ht="46.5" customHeight="1" x14ac:dyDescent="0.7">
      <c r="A842" s="19"/>
      <c r="B842" s="19"/>
      <c r="C842" s="19"/>
      <c r="D842" s="31"/>
      <c r="E842" s="31"/>
      <c r="F842" s="31"/>
      <c r="G842" s="31"/>
      <c r="H842" s="31"/>
      <c r="I842" s="31"/>
      <c r="J842" s="31"/>
      <c r="K842" s="19"/>
      <c r="L842" s="19"/>
      <c r="M842" s="19"/>
      <c r="N842" s="31"/>
      <c r="O842" s="31"/>
      <c r="P842" s="19"/>
      <c r="Q842" s="19"/>
    </row>
    <row r="843" spans="1:17" ht="46.5" customHeight="1" x14ac:dyDescent="0.7">
      <c r="A843" s="19"/>
      <c r="B843" s="19"/>
      <c r="C843" s="19"/>
      <c r="D843" s="31"/>
      <c r="E843" s="31"/>
      <c r="F843" s="31"/>
      <c r="G843" s="31"/>
      <c r="H843" s="31"/>
      <c r="I843" s="31"/>
      <c r="J843" s="31"/>
      <c r="K843" s="19"/>
      <c r="L843" s="19"/>
      <c r="M843" s="19"/>
      <c r="N843" s="31"/>
      <c r="O843" s="31"/>
      <c r="P843" s="19"/>
      <c r="Q843" s="19"/>
    </row>
    <row r="844" spans="1:17" ht="46.5" customHeight="1" x14ac:dyDescent="0.7">
      <c r="A844" s="19"/>
      <c r="B844" s="19"/>
      <c r="C844" s="19"/>
      <c r="D844" s="31"/>
      <c r="E844" s="31"/>
      <c r="F844" s="31"/>
      <c r="G844" s="31"/>
      <c r="H844" s="31"/>
      <c r="I844" s="31"/>
      <c r="J844" s="31"/>
      <c r="K844" s="19"/>
      <c r="L844" s="19"/>
      <c r="M844" s="19"/>
      <c r="N844" s="31"/>
      <c r="O844" s="31"/>
      <c r="P844" s="19"/>
      <c r="Q844" s="19"/>
    </row>
    <row r="845" spans="1:17" ht="46.5" customHeight="1" x14ac:dyDescent="0.7">
      <c r="A845" s="19"/>
      <c r="B845" s="19"/>
      <c r="C845" s="19"/>
      <c r="D845" s="31"/>
      <c r="E845" s="31"/>
      <c r="F845" s="31"/>
      <c r="G845" s="31"/>
      <c r="H845" s="31"/>
      <c r="I845" s="31"/>
      <c r="J845" s="31"/>
      <c r="K845" s="19"/>
      <c r="L845" s="19"/>
      <c r="M845" s="19"/>
      <c r="N845" s="31"/>
      <c r="O845" s="31"/>
      <c r="P845" s="19"/>
      <c r="Q845" s="19"/>
    </row>
    <row r="846" spans="1:17" ht="46.5" customHeight="1" x14ac:dyDescent="0.7">
      <c r="A846" s="19"/>
      <c r="B846" s="19"/>
      <c r="C846" s="19"/>
      <c r="D846" s="31"/>
      <c r="E846" s="31"/>
      <c r="F846" s="31"/>
      <c r="G846" s="31"/>
      <c r="H846" s="31"/>
      <c r="I846" s="31"/>
      <c r="J846" s="31"/>
      <c r="K846" s="19"/>
      <c r="L846" s="19"/>
      <c r="M846" s="19"/>
      <c r="N846" s="31"/>
      <c r="O846" s="31"/>
      <c r="P846" s="19"/>
      <c r="Q846" s="19"/>
    </row>
    <row r="847" spans="1:17" ht="46.5" customHeight="1" x14ac:dyDescent="0.7">
      <c r="A847" s="19"/>
      <c r="B847" s="19"/>
      <c r="C847" s="19"/>
      <c r="D847" s="31"/>
      <c r="E847" s="31"/>
      <c r="F847" s="31"/>
      <c r="G847" s="31"/>
      <c r="H847" s="31"/>
      <c r="I847" s="31"/>
      <c r="J847" s="31"/>
      <c r="K847" s="19"/>
      <c r="L847" s="19"/>
      <c r="M847" s="19"/>
      <c r="N847" s="31"/>
      <c r="O847" s="31"/>
      <c r="P847" s="19"/>
      <c r="Q847" s="19"/>
    </row>
    <row r="848" spans="1:17" ht="46.5" customHeight="1" x14ac:dyDescent="0.7">
      <c r="A848" s="19"/>
      <c r="B848" s="19"/>
      <c r="C848" s="19"/>
      <c r="D848" s="31"/>
      <c r="E848" s="31"/>
      <c r="F848" s="31"/>
      <c r="G848" s="31"/>
      <c r="H848" s="31"/>
      <c r="I848" s="31"/>
      <c r="J848" s="31"/>
      <c r="K848" s="19"/>
      <c r="L848" s="19"/>
      <c r="M848" s="19"/>
      <c r="N848" s="31"/>
      <c r="O848" s="31"/>
      <c r="P848" s="19"/>
      <c r="Q848" s="19"/>
    </row>
    <row r="849" spans="1:17" ht="46.5" customHeight="1" x14ac:dyDescent="0.7">
      <c r="A849" s="19"/>
      <c r="B849" s="19"/>
      <c r="C849" s="19"/>
      <c r="D849" s="31"/>
      <c r="E849" s="31"/>
      <c r="F849" s="31"/>
      <c r="G849" s="31"/>
      <c r="H849" s="31"/>
      <c r="I849" s="31"/>
      <c r="J849" s="31"/>
      <c r="K849" s="19"/>
      <c r="L849" s="19"/>
      <c r="M849" s="19"/>
      <c r="N849" s="31"/>
      <c r="O849" s="31"/>
      <c r="P849" s="19"/>
      <c r="Q849" s="19"/>
    </row>
    <row r="850" spans="1:17" ht="46.5" customHeight="1" x14ac:dyDescent="0.7">
      <c r="A850" s="19"/>
      <c r="B850" s="19"/>
      <c r="C850" s="19"/>
      <c r="D850" s="31"/>
      <c r="E850" s="31"/>
      <c r="F850" s="31"/>
      <c r="G850" s="31"/>
      <c r="H850" s="31"/>
      <c r="I850" s="31"/>
      <c r="J850" s="31"/>
      <c r="K850" s="19"/>
      <c r="L850" s="19"/>
      <c r="M850" s="19"/>
      <c r="N850" s="31"/>
      <c r="O850" s="31"/>
      <c r="P850" s="19"/>
      <c r="Q850" s="19"/>
    </row>
    <row r="851" spans="1:17" ht="46.5" customHeight="1" x14ac:dyDescent="0.7">
      <c r="A851" s="19"/>
      <c r="B851" s="19"/>
      <c r="C851" s="19"/>
      <c r="D851" s="31"/>
      <c r="E851" s="31"/>
      <c r="F851" s="31"/>
      <c r="G851" s="31"/>
      <c r="H851" s="31"/>
      <c r="I851" s="31"/>
      <c r="J851" s="31"/>
      <c r="K851" s="19"/>
      <c r="L851" s="19"/>
      <c r="M851" s="19"/>
      <c r="N851" s="31"/>
      <c r="O851" s="31"/>
      <c r="P851" s="19"/>
      <c r="Q851" s="19"/>
    </row>
    <row r="852" spans="1:17" ht="46.5" customHeight="1" x14ac:dyDescent="0.7">
      <c r="A852" s="19"/>
      <c r="B852" s="19"/>
      <c r="C852" s="19"/>
      <c r="D852" s="31"/>
      <c r="E852" s="31"/>
      <c r="F852" s="31"/>
      <c r="G852" s="31"/>
      <c r="H852" s="31"/>
      <c r="I852" s="31"/>
      <c r="J852" s="31"/>
      <c r="K852" s="19"/>
      <c r="L852" s="19"/>
      <c r="M852" s="19"/>
      <c r="N852" s="31"/>
      <c r="O852" s="31"/>
      <c r="P852" s="19"/>
      <c r="Q852" s="19"/>
    </row>
    <row r="853" spans="1:17" ht="46.5" customHeight="1" x14ac:dyDescent="0.7">
      <c r="A853" s="19"/>
      <c r="B853" s="19"/>
      <c r="C853" s="19"/>
      <c r="D853" s="31"/>
      <c r="E853" s="31"/>
      <c r="F853" s="31"/>
      <c r="G853" s="31"/>
      <c r="H853" s="31"/>
      <c r="I853" s="31"/>
      <c r="J853" s="31"/>
      <c r="K853" s="19"/>
      <c r="L853" s="19"/>
      <c r="M853" s="19"/>
      <c r="N853" s="31"/>
      <c r="O853" s="31"/>
      <c r="P853" s="19"/>
      <c r="Q853" s="19"/>
    </row>
    <row r="854" spans="1:17" ht="46.5" customHeight="1" x14ac:dyDescent="0.7">
      <c r="A854" s="19"/>
      <c r="B854" s="19"/>
      <c r="C854" s="19"/>
      <c r="D854" s="31"/>
      <c r="E854" s="31"/>
      <c r="F854" s="31"/>
      <c r="G854" s="31"/>
      <c r="H854" s="31"/>
      <c r="I854" s="31"/>
      <c r="J854" s="31"/>
      <c r="K854" s="19"/>
      <c r="L854" s="19"/>
      <c r="M854" s="19"/>
      <c r="N854" s="31"/>
      <c r="O854" s="31"/>
      <c r="P854" s="19"/>
      <c r="Q854" s="19"/>
    </row>
    <row r="855" spans="1:17" ht="46.5" customHeight="1" x14ac:dyDescent="0.7">
      <c r="A855" s="19"/>
      <c r="B855" s="19"/>
      <c r="C855" s="19"/>
      <c r="D855" s="31"/>
      <c r="E855" s="31"/>
      <c r="F855" s="31"/>
      <c r="G855" s="31"/>
      <c r="H855" s="31"/>
      <c r="I855" s="31"/>
      <c r="J855" s="31"/>
      <c r="K855" s="19"/>
      <c r="L855" s="19"/>
      <c r="M855" s="19"/>
      <c r="N855" s="31"/>
      <c r="O855" s="31"/>
      <c r="P855" s="19"/>
      <c r="Q855" s="19"/>
    </row>
    <row r="856" spans="1:17" ht="46.5" customHeight="1" x14ac:dyDescent="0.7">
      <c r="A856" s="19"/>
      <c r="B856" s="19"/>
      <c r="C856" s="19"/>
      <c r="D856" s="31"/>
      <c r="E856" s="31"/>
      <c r="F856" s="31"/>
      <c r="G856" s="31"/>
      <c r="H856" s="31"/>
      <c r="I856" s="31"/>
      <c r="J856" s="31"/>
      <c r="K856" s="19"/>
      <c r="L856" s="19"/>
      <c r="M856" s="19"/>
      <c r="N856" s="31"/>
      <c r="O856" s="31"/>
      <c r="P856" s="19"/>
      <c r="Q856" s="19"/>
    </row>
    <row r="857" spans="1:17" ht="46.5" customHeight="1" x14ac:dyDescent="0.7">
      <c r="A857" s="19"/>
      <c r="B857" s="19"/>
      <c r="C857" s="19"/>
      <c r="D857" s="31"/>
      <c r="E857" s="31"/>
      <c r="F857" s="31"/>
      <c r="G857" s="31"/>
      <c r="H857" s="31"/>
      <c r="I857" s="31"/>
      <c r="J857" s="31"/>
      <c r="K857" s="19"/>
      <c r="L857" s="19"/>
      <c r="M857" s="19"/>
      <c r="N857" s="31"/>
      <c r="O857" s="31"/>
      <c r="P857" s="19"/>
      <c r="Q857" s="19"/>
    </row>
    <row r="858" spans="1:17" ht="46.5" customHeight="1" x14ac:dyDescent="0.7">
      <c r="A858" s="19"/>
      <c r="B858" s="19"/>
      <c r="C858" s="19"/>
      <c r="D858" s="31"/>
      <c r="E858" s="31"/>
      <c r="F858" s="31"/>
      <c r="G858" s="31"/>
      <c r="H858" s="31"/>
      <c r="I858" s="31"/>
      <c r="J858" s="31"/>
      <c r="K858" s="19"/>
      <c r="L858" s="19"/>
      <c r="M858" s="19"/>
      <c r="N858" s="31"/>
      <c r="O858" s="31"/>
      <c r="P858" s="19"/>
      <c r="Q858" s="19"/>
    </row>
    <row r="859" spans="1:17" ht="46.5" customHeight="1" x14ac:dyDescent="0.7">
      <c r="A859" s="19"/>
      <c r="B859" s="19"/>
      <c r="C859" s="19"/>
      <c r="D859" s="31"/>
      <c r="E859" s="31"/>
      <c r="F859" s="31"/>
      <c r="G859" s="31"/>
      <c r="H859" s="31"/>
      <c r="I859" s="31"/>
      <c r="J859" s="31"/>
      <c r="K859" s="19"/>
      <c r="L859" s="19"/>
      <c r="M859" s="19"/>
      <c r="N859" s="31"/>
      <c r="O859" s="31"/>
      <c r="P859" s="19"/>
      <c r="Q859" s="19"/>
    </row>
    <row r="860" spans="1:17" ht="46.5" customHeight="1" x14ac:dyDescent="0.7">
      <c r="A860" s="19"/>
      <c r="B860" s="19"/>
      <c r="C860" s="19"/>
      <c r="D860" s="31"/>
      <c r="E860" s="31"/>
      <c r="F860" s="31"/>
      <c r="G860" s="31"/>
      <c r="H860" s="31"/>
      <c r="I860" s="31"/>
      <c r="J860" s="31"/>
      <c r="K860" s="19"/>
      <c r="L860" s="19"/>
      <c r="M860" s="19"/>
      <c r="N860" s="31"/>
      <c r="O860" s="31"/>
      <c r="P860" s="19"/>
      <c r="Q860" s="19"/>
    </row>
    <row r="861" spans="1:17" ht="46.5" customHeight="1" x14ac:dyDescent="0.7">
      <c r="A861" s="19"/>
      <c r="B861" s="19"/>
      <c r="C861" s="19"/>
      <c r="D861" s="31"/>
      <c r="E861" s="31"/>
      <c r="F861" s="31"/>
      <c r="G861" s="31"/>
      <c r="H861" s="31"/>
      <c r="I861" s="31"/>
      <c r="J861" s="31"/>
      <c r="K861" s="19"/>
      <c r="L861" s="19"/>
      <c r="M861" s="19"/>
      <c r="N861" s="31"/>
      <c r="O861" s="31"/>
      <c r="P861" s="19"/>
      <c r="Q861" s="19"/>
    </row>
    <row r="862" spans="1:17" ht="46.5" customHeight="1" x14ac:dyDescent="0.7">
      <c r="A862" s="19"/>
      <c r="B862" s="19"/>
      <c r="C862" s="19"/>
      <c r="D862" s="31"/>
      <c r="E862" s="31"/>
      <c r="F862" s="31"/>
      <c r="G862" s="31"/>
      <c r="H862" s="31"/>
      <c r="I862" s="31"/>
      <c r="J862" s="31"/>
      <c r="K862" s="19"/>
      <c r="L862" s="19"/>
      <c r="M862" s="19"/>
      <c r="N862" s="31"/>
      <c r="O862" s="31"/>
      <c r="P862" s="19"/>
      <c r="Q862" s="19"/>
    </row>
    <row r="863" spans="1:17" ht="46.5" customHeight="1" x14ac:dyDescent="0.7">
      <c r="A863" s="19"/>
      <c r="B863" s="19"/>
      <c r="C863" s="19"/>
      <c r="D863" s="31"/>
      <c r="E863" s="31"/>
      <c r="F863" s="31"/>
      <c r="G863" s="31"/>
      <c r="H863" s="31"/>
      <c r="I863" s="31"/>
      <c r="J863" s="31"/>
      <c r="K863" s="19"/>
      <c r="L863" s="19"/>
      <c r="M863" s="19"/>
      <c r="N863" s="31"/>
      <c r="O863" s="31"/>
      <c r="P863" s="19"/>
      <c r="Q863" s="19"/>
    </row>
    <row r="864" spans="1:17" ht="46.5" customHeight="1" x14ac:dyDescent="0.7">
      <c r="A864" s="19"/>
      <c r="B864" s="19"/>
      <c r="C864" s="19"/>
      <c r="D864" s="31"/>
      <c r="E864" s="31"/>
      <c r="F864" s="31"/>
      <c r="G864" s="31"/>
      <c r="H864" s="31"/>
      <c r="I864" s="31"/>
      <c r="J864" s="31"/>
      <c r="K864" s="19"/>
      <c r="L864" s="19"/>
      <c r="M864" s="19"/>
      <c r="N864" s="31"/>
      <c r="O864" s="31"/>
      <c r="P864" s="19"/>
      <c r="Q864" s="19"/>
    </row>
    <row r="865" spans="1:17" ht="46.5" customHeight="1" x14ac:dyDescent="0.7">
      <c r="A865" s="19"/>
      <c r="B865" s="19"/>
      <c r="C865" s="19"/>
      <c r="D865" s="31"/>
      <c r="E865" s="31"/>
      <c r="F865" s="31"/>
      <c r="G865" s="31"/>
      <c r="H865" s="31"/>
      <c r="I865" s="31"/>
      <c r="J865" s="31"/>
      <c r="K865" s="19"/>
      <c r="L865" s="19"/>
      <c r="M865" s="19"/>
      <c r="N865" s="31"/>
      <c r="O865" s="31"/>
      <c r="P865" s="19"/>
      <c r="Q865" s="19"/>
    </row>
    <row r="866" spans="1:17" ht="46.5" customHeight="1" x14ac:dyDescent="0.7">
      <c r="A866" s="19"/>
      <c r="B866" s="19"/>
      <c r="C866" s="19"/>
      <c r="D866" s="31"/>
      <c r="E866" s="31"/>
      <c r="F866" s="31"/>
      <c r="G866" s="31"/>
      <c r="H866" s="31"/>
      <c r="I866" s="31"/>
      <c r="J866" s="31"/>
      <c r="K866" s="19"/>
      <c r="L866" s="19"/>
      <c r="M866" s="19"/>
      <c r="N866" s="31"/>
      <c r="O866" s="31"/>
      <c r="P866" s="19"/>
      <c r="Q866" s="19"/>
    </row>
    <row r="867" spans="1:17" ht="46.5" customHeight="1" x14ac:dyDescent="0.7">
      <c r="A867" s="19"/>
      <c r="B867" s="19"/>
      <c r="C867" s="19"/>
      <c r="D867" s="31"/>
      <c r="E867" s="31"/>
      <c r="F867" s="31"/>
      <c r="G867" s="31"/>
      <c r="H867" s="31"/>
      <c r="I867" s="31"/>
      <c r="J867" s="31"/>
      <c r="K867" s="19"/>
      <c r="L867" s="19"/>
      <c r="M867" s="19"/>
      <c r="N867" s="31"/>
      <c r="O867" s="31"/>
      <c r="P867" s="19"/>
      <c r="Q867" s="19"/>
    </row>
    <row r="868" spans="1:17" ht="46.5" customHeight="1" x14ac:dyDescent="0.7">
      <c r="A868" s="19"/>
      <c r="B868" s="19"/>
      <c r="C868" s="19"/>
      <c r="D868" s="31"/>
      <c r="E868" s="31"/>
      <c r="F868" s="31"/>
      <c r="G868" s="31"/>
      <c r="H868" s="31"/>
      <c r="I868" s="31"/>
      <c r="J868" s="31"/>
      <c r="K868" s="19"/>
      <c r="L868" s="19"/>
      <c r="M868" s="19"/>
      <c r="N868" s="31"/>
      <c r="O868" s="31"/>
      <c r="P868" s="19"/>
      <c r="Q868" s="19"/>
    </row>
    <row r="869" spans="1:17" ht="46.5" customHeight="1" x14ac:dyDescent="0.7">
      <c r="A869" s="19"/>
      <c r="B869" s="19"/>
      <c r="C869" s="19"/>
      <c r="D869" s="31"/>
      <c r="E869" s="31"/>
      <c r="F869" s="31"/>
      <c r="G869" s="31"/>
      <c r="H869" s="31"/>
      <c r="I869" s="31"/>
      <c r="J869" s="31"/>
      <c r="K869" s="19"/>
      <c r="L869" s="19"/>
      <c r="M869" s="19"/>
      <c r="N869" s="31"/>
      <c r="O869" s="31"/>
      <c r="P869" s="19"/>
      <c r="Q869" s="19"/>
    </row>
    <row r="870" spans="1:17" ht="46.5" customHeight="1" x14ac:dyDescent="0.7">
      <c r="A870" s="19"/>
      <c r="B870" s="19"/>
      <c r="C870" s="19"/>
      <c r="D870" s="31"/>
      <c r="E870" s="31"/>
      <c r="F870" s="31"/>
      <c r="G870" s="31"/>
      <c r="H870" s="31"/>
      <c r="I870" s="31"/>
      <c r="J870" s="31"/>
      <c r="K870" s="19"/>
      <c r="L870" s="19"/>
      <c r="M870" s="19"/>
      <c r="N870" s="31"/>
      <c r="O870" s="31"/>
      <c r="P870" s="19"/>
      <c r="Q870" s="19"/>
    </row>
    <row r="871" spans="1:17" ht="46.5" customHeight="1" x14ac:dyDescent="0.7">
      <c r="A871" s="19"/>
      <c r="B871" s="19"/>
      <c r="C871" s="19"/>
      <c r="D871" s="31"/>
      <c r="E871" s="31"/>
      <c r="F871" s="31"/>
      <c r="G871" s="31"/>
      <c r="H871" s="31"/>
      <c r="I871" s="31"/>
      <c r="J871" s="31"/>
      <c r="K871" s="19"/>
      <c r="L871" s="19"/>
      <c r="M871" s="19"/>
      <c r="N871" s="31"/>
      <c r="O871" s="31"/>
      <c r="P871" s="19"/>
      <c r="Q871" s="19"/>
    </row>
    <row r="872" spans="1:17" ht="46.5" customHeight="1" x14ac:dyDescent="0.7">
      <c r="A872" s="19"/>
      <c r="B872" s="19"/>
      <c r="C872" s="19"/>
      <c r="D872" s="31"/>
      <c r="E872" s="31"/>
      <c r="F872" s="31"/>
      <c r="G872" s="31"/>
      <c r="H872" s="31"/>
      <c r="I872" s="31"/>
      <c r="J872" s="31"/>
      <c r="K872" s="19"/>
      <c r="L872" s="19"/>
      <c r="M872" s="19"/>
      <c r="N872" s="31"/>
      <c r="O872" s="31"/>
      <c r="P872" s="19"/>
      <c r="Q872" s="19"/>
    </row>
    <row r="873" spans="1:17" ht="46.5" customHeight="1" x14ac:dyDescent="0.7">
      <c r="A873" s="19"/>
      <c r="B873" s="19"/>
      <c r="C873" s="19"/>
      <c r="D873" s="31"/>
      <c r="E873" s="31"/>
      <c r="F873" s="31"/>
      <c r="G873" s="31"/>
      <c r="H873" s="31"/>
      <c r="I873" s="31"/>
      <c r="J873" s="31"/>
      <c r="K873" s="19"/>
      <c r="L873" s="19"/>
      <c r="M873" s="19"/>
      <c r="N873" s="31"/>
      <c r="O873" s="31"/>
      <c r="P873" s="19"/>
      <c r="Q873" s="19"/>
    </row>
    <row r="874" spans="1:17" ht="46.5" customHeight="1" x14ac:dyDescent="0.7">
      <c r="A874" s="19"/>
      <c r="B874" s="19"/>
      <c r="C874" s="19"/>
      <c r="D874" s="31"/>
      <c r="E874" s="31"/>
      <c r="F874" s="31"/>
      <c r="G874" s="31"/>
      <c r="H874" s="31"/>
      <c r="I874" s="31"/>
      <c r="J874" s="31"/>
      <c r="K874" s="19"/>
      <c r="L874" s="19"/>
      <c r="M874" s="19"/>
      <c r="N874" s="31"/>
      <c r="O874" s="31"/>
      <c r="P874" s="19"/>
      <c r="Q874" s="19"/>
    </row>
    <row r="875" spans="1:17" ht="46.5" customHeight="1" x14ac:dyDescent="0.7">
      <c r="A875" s="19"/>
      <c r="B875" s="19"/>
      <c r="C875" s="19"/>
      <c r="D875" s="31"/>
      <c r="E875" s="31"/>
      <c r="F875" s="31"/>
      <c r="G875" s="31"/>
      <c r="H875" s="31"/>
      <c r="I875" s="31"/>
      <c r="J875" s="31"/>
      <c r="K875" s="19"/>
      <c r="L875" s="19"/>
      <c r="M875" s="19"/>
      <c r="N875" s="31"/>
      <c r="O875" s="31"/>
      <c r="P875" s="19"/>
      <c r="Q875" s="19"/>
    </row>
    <row r="876" spans="1:17" ht="46.5" customHeight="1" x14ac:dyDescent="0.7">
      <c r="A876" s="19"/>
      <c r="B876" s="19"/>
      <c r="C876" s="19"/>
      <c r="D876" s="31"/>
      <c r="E876" s="31"/>
      <c r="F876" s="31"/>
      <c r="G876" s="31"/>
      <c r="H876" s="31"/>
      <c r="I876" s="31"/>
      <c r="J876" s="31"/>
      <c r="K876" s="19"/>
      <c r="L876" s="19"/>
      <c r="M876" s="19"/>
      <c r="N876" s="31"/>
      <c r="O876" s="31"/>
      <c r="P876" s="19"/>
      <c r="Q876" s="19"/>
    </row>
    <row r="877" spans="1:17" ht="46.5" customHeight="1" x14ac:dyDescent="0.7">
      <c r="A877" s="19"/>
      <c r="B877" s="19"/>
      <c r="C877" s="19"/>
      <c r="D877" s="31"/>
      <c r="E877" s="31"/>
      <c r="F877" s="31"/>
      <c r="G877" s="31"/>
      <c r="H877" s="31"/>
      <c r="I877" s="31"/>
      <c r="J877" s="31"/>
      <c r="K877" s="19"/>
      <c r="L877" s="19"/>
      <c r="M877" s="19"/>
      <c r="N877" s="31"/>
      <c r="O877" s="31"/>
      <c r="P877" s="19"/>
      <c r="Q877" s="19"/>
    </row>
    <row r="878" spans="1:17" ht="46.5" customHeight="1" x14ac:dyDescent="0.7">
      <c r="A878" s="19"/>
      <c r="B878" s="19"/>
      <c r="C878" s="19"/>
      <c r="D878" s="31"/>
      <c r="E878" s="31"/>
      <c r="F878" s="31"/>
      <c r="G878" s="31"/>
      <c r="H878" s="31"/>
      <c r="I878" s="31"/>
      <c r="J878" s="31"/>
      <c r="K878" s="19"/>
      <c r="L878" s="19"/>
      <c r="M878" s="19"/>
      <c r="N878" s="31"/>
      <c r="O878" s="31"/>
      <c r="P878" s="19"/>
      <c r="Q878" s="19"/>
    </row>
    <row r="879" spans="1:17" ht="46.5" customHeight="1" x14ac:dyDescent="0.7">
      <c r="A879" s="19"/>
      <c r="B879" s="19"/>
      <c r="C879" s="19"/>
      <c r="D879" s="31"/>
      <c r="E879" s="31"/>
      <c r="F879" s="31"/>
      <c r="G879" s="31"/>
      <c r="H879" s="31"/>
      <c r="I879" s="31"/>
      <c r="J879" s="31"/>
      <c r="K879" s="19"/>
      <c r="L879" s="19"/>
      <c r="M879" s="19"/>
      <c r="N879" s="31"/>
      <c r="O879" s="31"/>
      <c r="P879" s="19"/>
      <c r="Q879" s="19"/>
    </row>
    <row r="880" spans="1:17" ht="46.5" customHeight="1" x14ac:dyDescent="0.7">
      <c r="A880" s="19"/>
      <c r="B880" s="19"/>
      <c r="C880" s="19"/>
      <c r="D880" s="31"/>
      <c r="E880" s="31"/>
      <c r="F880" s="31"/>
      <c r="G880" s="31"/>
      <c r="H880" s="31"/>
      <c r="I880" s="31"/>
      <c r="J880" s="31"/>
      <c r="K880" s="19"/>
      <c r="L880" s="19"/>
      <c r="M880" s="19"/>
      <c r="N880" s="31"/>
      <c r="O880" s="31"/>
      <c r="P880" s="19"/>
      <c r="Q880" s="19"/>
    </row>
    <row r="881" spans="1:17" ht="46.5" customHeight="1" x14ac:dyDescent="0.7">
      <c r="A881" s="19"/>
      <c r="B881" s="19"/>
      <c r="C881" s="19"/>
      <c r="D881" s="31"/>
      <c r="E881" s="31"/>
      <c r="F881" s="31"/>
      <c r="G881" s="31"/>
      <c r="H881" s="31"/>
      <c r="I881" s="31"/>
      <c r="J881" s="31"/>
      <c r="K881" s="19"/>
      <c r="L881" s="19"/>
      <c r="M881" s="19"/>
      <c r="N881" s="31"/>
      <c r="O881" s="31"/>
      <c r="P881" s="19"/>
      <c r="Q881" s="19"/>
    </row>
    <row r="882" spans="1:17" ht="46.5" customHeight="1" x14ac:dyDescent="0.7">
      <c r="A882" s="19"/>
      <c r="B882" s="19"/>
      <c r="C882" s="19"/>
      <c r="D882" s="31"/>
      <c r="E882" s="31"/>
      <c r="F882" s="31"/>
      <c r="G882" s="31"/>
      <c r="H882" s="31"/>
      <c r="I882" s="31"/>
      <c r="J882" s="31"/>
      <c r="K882" s="19"/>
      <c r="L882" s="19"/>
      <c r="M882" s="19"/>
      <c r="N882" s="31"/>
      <c r="O882" s="31"/>
      <c r="P882" s="19"/>
      <c r="Q882" s="19"/>
    </row>
    <row r="883" spans="1:17" ht="46.5" customHeight="1" x14ac:dyDescent="0.7">
      <c r="A883" s="19"/>
      <c r="B883" s="19"/>
      <c r="C883" s="19"/>
      <c r="D883" s="31"/>
      <c r="E883" s="31"/>
      <c r="F883" s="31"/>
      <c r="G883" s="31"/>
      <c r="H883" s="31"/>
      <c r="I883" s="31"/>
      <c r="J883" s="31"/>
      <c r="K883" s="19"/>
      <c r="L883" s="19"/>
      <c r="M883" s="19"/>
      <c r="N883" s="31"/>
      <c r="O883" s="31"/>
      <c r="P883" s="19"/>
      <c r="Q883" s="19"/>
    </row>
    <row r="884" spans="1:17" ht="46.5" customHeight="1" x14ac:dyDescent="0.7">
      <c r="A884" s="19"/>
      <c r="B884" s="19"/>
      <c r="C884" s="19"/>
      <c r="D884" s="31"/>
      <c r="E884" s="31"/>
      <c r="F884" s="31"/>
      <c r="G884" s="31"/>
      <c r="H884" s="31"/>
      <c r="I884" s="31"/>
      <c r="J884" s="31"/>
      <c r="K884" s="19"/>
      <c r="L884" s="19"/>
      <c r="M884" s="19"/>
      <c r="N884" s="31"/>
      <c r="O884" s="31"/>
      <c r="P884" s="19"/>
      <c r="Q884" s="19"/>
    </row>
    <row r="885" spans="1:17" ht="46.5" customHeight="1" x14ac:dyDescent="0.7">
      <c r="A885" s="19"/>
      <c r="B885" s="19"/>
      <c r="C885" s="19"/>
      <c r="D885" s="31"/>
      <c r="E885" s="31"/>
      <c r="F885" s="31"/>
      <c r="G885" s="31"/>
      <c r="H885" s="31"/>
      <c r="I885" s="31"/>
      <c r="J885" s="31"/>
      <c r="K885" s="19"/>
      <c r="L885" s="19"/>
      <c r="M885" s="19"/>
      <c r="N885" s="31"/>
      <c r="O885" s="31"/>
      <c r="P885" s="19"/>
      <c r="Q885" s="19"/>
    </row>
    <row r="886" spans="1:17" ht="46.5" customHeight="1" x14ac:dyDescent="0.7">
      <c r="A886" s="19"/>
      <c r="B886" s="19"/>
      <c r="C886" s="19"/>
      <c r="D886" s="31"/>
      <c r="E886" s="31"/>
      <c r="F886" s="31"/>
      <c r="G886" s="31"/>
      <c r="H886" s="31"/>
      <c r="I886" s="31"/>
      <c r="J886" s="31"/>
      <c r="K886" s="19"/>
      <c r="L886" s="19"/>
      <c r="M886" s="19"/>
      <c r="N886" s="31"/>
      <c r="O886" s="31"/>
      <c r="P886" s="19"/>
      <c r="Q886" s="19"/>
    </row>
    <row r="887" spans="1:17" ht="46.5" customHeight="1" x14ac:dyDescent="0.7">
      <c r="A887" s="19"/>
      <c r="B887" s="19"/>
      <c r="C887" s="19"/>
      <c r="D887" s="31"/>
      <c r="E887" s="31"/>
      <c r="F887" s="31"/>
      <c r="G887" s="31"/>
      <c r="H887" s="31"/>
      <c r="I887" s="31"/>
      <c r="J887" s="31"/>
      <c r="K887" s="19"/>
      <c r="L887" s="19"/>
      <c r="M887" s="19"/>
      <c r="N887" s="31"/>
      <c r="O887" s="31"/>
      <c r="P887" s="19"/>
      <c r="Q887" s="19"/>
    </row>
    <row r="888" spans="1:17" ht="46.5" customHeight="1" x14ac:dyDescent="0.7">
      <c r="A888" s="19"/>
      <c r="B888" s="19"/>
      <c r="C888" s="19"/>
      <c r="D888" s="31"/>
      <c r="E888" s="31"/>
      <c r="F888" s="31"/>
      <c r="G888" s="31"/>
      <c r="H888" s="31"/>
      <c r="I888" s="31"/>
      <c r="J888" s="31"/>
      <c r="K888" s="19"/>
      <c r="L888" s="19"/>
      <c r="M888" s="19"/>
      <c r="N888" s="31"/>
      <c r="O888" s="31"/>
      <c r="P888" s="19"/>
      <c r="Q888" s="19"/>
    </row>
    <row r="889" spans="1:17" ht="46.5" customHeight="1" x14ac:dyDescent="0.7">
      <c r="A889" s="19"/>
      <c r="B889" s="19"/>
      <c r="C889" s="19"/>
      <c r="D889" s="31"/>
      <c r="E889" s="31"/>
      <c r="F889" s="31"/>
      <c r="G889" s="31"/>
      <c r="H889" s="31"/>
      <c r="I889" s="31"/>
      <c r="J889" s="31"/>
      <c r="K889" s="19"/>
      <c r="L889" s="19"/>
      <c r="M889" s="19"/>
      <c r="N889" s="31"/>
      <c r="O889" s="31"/>
      <c r="P889" s="19"/>
      <c r="Q889" s="19"/>
    </row>
    <row r="890" spans="1:17" ht="46.5" customHeight="1" x14ac:dyDescent="0.7">
      <c r="A890" s="19"/>
      <c r="B890" s="19"/>
      <c r="C890" s="19"/>
      <c r="D890" s="31"/>
      <c r="E890" s="31"/>
      <c r="F890" s="31"/>
      <c r="G890" s="31"/>
      <c r="H890" s="31"/>
      <c r="I890" s="31"/>
      <c r="J890" s="31"/>
      <c r="K890" s="19"/>
      <c r="L890" s="19"/>
      <c r="M890" s="19"/>
      <c r="N890" s="31"/>
      <c r="O890" s="31"/>
      <c r="P890" s="19"/>
      <c r="Q890" s="19"/>
    </row>
    <row r="891" spans="1:17" ht="46.5" customHeight="1" x14ac:dyDescent="0.7">
      <c r="A891" s="19"/>
      <c r="B891" s="19"/>
      <c r="C891" s="19"/>
      <c r="D891" s="31"/>
      <c r="E891" s="31"/>
      <c r="F891" s="31"/>
      <c r="G891" s="31"/>
      <c r="H891" s="31"/>
      <c r="I891" s="31"/>
      <c r="J891" s="31"/>
      <c r="K891" s="19"/>
      <c r="L891" s="19"/>
      <c r="M891" s="19"/>
      <c r="N891" s="31"/>
      <c r="O891" s="31"/>
      <c r="P891" s="19"/>
      <c r="Q891" s="19"/>
    </row>
    <row r="892" spans="1:17" ht="46.5" customHeight="1" x14ac:dyDescent="0.7">
      <c r="A892" s="19"/>
      <c r="B892" s="19"/>
      <c r="C892" s="19"/>
      <c r="D892" s="31"/>
      <c r="E892" s="31"/>
      <c r="F892" s="31"/>
      <c r="G892" s="31"/>
      <c r="H892" s="31"/>
      <c r="I892" s="31"/>
      <c r="J892" s="31"/>
      <c r="K892" s="19"/>
      <c r="L892" s="19"/>
      <c r="M892" s="19"/>
      <c r="N892" s="31"/>
      <c r="O892" s="31"/>
      <c r="P892" s="19"/>
      <c r="Q892" s="19"/>
    </row>
    <row r="893" spans="1:17" ht="46.5" customHeight="1" x14ac:dyDescent="0.7">
      <c r="A893" s="19"/>
      <c r="B893" s="19"/>
      <c r="C893" s="19"/>
      <c r="D893" s="31"/>
      <c r="E893" s="31"/>
      <c r="F893" s="31"/>
      <c r="G893" s="31"/>
      <c r="H893" s="31"/>
      <c r="I893" s="31"/>
      <c r="J893" s="31"/>
      <c r="K893" s="19"/>
      <c r="L893" s="19"/>
      <c r="M893" s="19"/>
      <c r="N893" s="31"/>
      <c r="O893" s="31"/>
      <c r="P893" s="19"/>
      <c r="Q893" s="19"/>
    </row>
    <row r="894" spans="1:17" ht="46.5" customHeight="1" x14ac:dyDescent="0.7">
      <c r="A894" s="19"/>
      <c r="B894" s="19"/>
      <c r="C894" s="19"/>
      <c r="D894" s="31"/>
      <c r="E894" s="31"/>
      <c r="F894" s="31"/>
      <c r="G894" s="31"/>
      <c r="H894" s="31"/>
      <c r="I894" s="31"/>
      <c r="J894" s="31"/>
      <c r="K894" s="19"/>
      <c r="L894" s="19"/>
      <c r="M894" s="19"/>
      <c r="N894" s="31"/>
      <c r="O894" s="31"/>
      <c r="P894" s="19"/>
      <c r="Q894" s="19"/>
    </row>
    <row r="895" spans="1:17" ht="46.5" customHeight="1" x14ac:dyDescent="0.7">
      <c r="A895" s="19"/>
      <c r="B895" s="19"/>
      <c r="C895" s="19"/>
      <c r="D895" s="31"/>
      <c r="E895" s="31"/>
      <c r="F895" s="31"/>
      <c r="G895" s="31"/>
      <c r="H895" s="31"/>
      <c r="I895" s="31"/>
      <c r="J895" s="31"/>
      <c r="K895" s="19"/>
      <c r="L895" s="19"/>
      <c r="M895" s="19"/>
      <c r="N895" s="31"/>
      <c r="O895" s="31"/>
      <c r="P895" s="19"/>
      <c r="Q895" s="19"/>
    </row>
    <row r="896" spans="1:17" ht="46.5" customHeight="1" x14ac:dyDescent="0.7">
      <c r="A896" s="19"/>
      <c r="B896" s="19"/>
      <c r="C896" s="19"/>
      <c r="D896" s="31"/>
      <c r="E896" s="31"/>
      <c r="F896" s="31"/>
      <c r="G896" s="31"/>
      <c r="H896" s="31"/>
      <c r="I896" s="31"/>
      <c r="J896" s="31"/>
      <c r="K896" s="19"/>
      <c r="L896" s="19"/>
      <c r="M896" s="19"/>
      <c r="N896" s="31"/>
      <c r="O896" s="31"/>
      <c r="P896" s="19"/>
      <c r="Q896" s="19"/>
    </row>
    <row r="897" spans="1:17" ht="46.5" customHeight="1" x14ac:dyDescent="0.7">
      <c r="A897" s="19"/>
      <c r="B897" s="19"/>
      <c r="C897" s="19"/>
      <c r="D897" s="31"/>
      <c r="E897" s="31"/>
      <c r="F897" s="31"/>
      <c r="G897" s="31"/>
      <c r="H897" s="31"/>
      <c r="I897" s="31"/>
      <c r="J897" s="31"/>
      <c r="K897" s="19"/>
      <c r="L897" s="19"/>
      <c r="M897" s="19"/>
      <c r="N897" s="31"/>
      <c r="O897" s="31"/>
      <c r="P897" s="19"/>
      <c r="Q897" s="19"/>
    </row>
    <row r="898" spans="1:17" ht="46.5" customHeight="1" x14ac:dyDescent="0.7">
      <c r="A898" s="19"/>
      <c r="B898" s="19"/>
      <c r="C898" s="19"/>
      <c r="D898" s="31"/>
      <c r="E898" s="31"/>
      <c r="F898" s="31"/>
      <c r="G898" s="31"/>
      <c r="H898" s="31"/>
      <c r="I898" s="31"/>
      <c r="J898" s="31"/>
      <c r="K898" s="19"/>
      <c r="L898" s="19"/>
      <c r="M898" s="19"/>
      <c r="N898" s="31"/>
      <c r="O898" s="31"/>
      <c r="P898" s="19"/>
      <c r="Q898" s="19"/>
    </row>
    <row r="899" spans="1:17" ht="46.5" customHeight="1" x14ac:dyDescent="0.7">
      <c r="A899" s="19"/>
      <c r="B899" s="19"/>
      <c r="C899" s="19"/>
      <c r="D899" s="31"/>
      <c r="E899" s="31"/>
      <c r="F899" s="31"/>
      <c r="G899" s="31"/>
      <c r="H899" s="31"/>
      <c r="I899" s="31"/>
      <c r="J899" s="31"/>
      <c r="K899" s="19"/>
      <c r="L899" s="19"/>
      <c r="M899" s="19"/>
      <c r="N899" s="31"/>
      <c r="O899" s="31"/>
      <c r="P899" s="19"/>
      <c r="Q899" s="19"/>
    </row>
    <row r="900" spans="1:17" ht="46.5" customHeight="1" x14ac:dyDescent="0.7">
      <c r="A900" s="19"/>
      <c r="B900" s="19"/>
      <c r="C900" s="19"/>
      <c r="D900" s="31"/>
      <c r="E900" s="31"/>
      <c r="F900" s="31"/>
      <c r="G900" s="31"/>
      <c r="H900" s="31"/>
      <c r="I900" s="31"/>
      <c r="J900" s="31"/>
      <c r="K900" s="19"/>
      <c r="L900" s="19"/>
      <c r="M900" s="19"/>
      <c r="N900" s="31"/>
      <c r="O900" s="31"/>
      <c r="P900" s="19"/>
      <c r="Q900" s="19"/>
    </row>
    <row r="901" spans="1:17" ht="46.5" customHeight="1" x14ac:dyDescent="0.7">
      <c r="A901" s="19"/>
      <c r="B901" s="19"/>
      <c r="C901" s="19"/>
      <c r="D901" s="31"/>
      <c r="E901" s="31"/>
      <c r="F901" s="31"/>
      <c r="G901" s="31"/>
      <c r="H901" s="31"/>
      <c r="I901" s="31"/>
      <c r="J901" s="31"/>
      <c r="K901" s="19"/>
      <c r="L901" s="19"/>
      <c r="M901" s="19"/>
      <c r="N901" s="31"/>
      <c r="O901" s="31"/>
      <c r="P901" s="19"/>
      <c r="Q901" s="19"/>
    </row>
    <row r="902" spans="1:17" ht="46.5" customHeight="1" x14ac:dyDescent="0.7">
      <c r="A902" s="19"/>
      <c r="B902" s="19"/>
      <c r="C902" s="19"/>
      <c r="D902" s="31"/>
      <c r="E902" s="31"/>
      <c r="F902" s="31"/>
      <c r="G902" s="31"/>
      <c r="H902" s="31"/>
      <c r="I902" s="31"/>
      <c r="J902" s="31"/>
      <c r="K902" s="19"/>
      <c r="L902" s="19"/>
      <c r="M902" s="19"/>
      <c r="N902" s="31"/>
      <c r="O902" s="31"/>
      <c r="P902" s="19"/>
      <c r="Q902" s="19"/>
    </row>
    <row r="903" spans="1:17" ht="46.5" customHeight="1" x14ac:dyDescent="0.7">
      <c r="A903" s="19"/>
      <c r="B903" s="19"/>
      <c r="C903" s="19"/>
      <c r="D903" s="31"/>
      <c r="E903" s="31"/>
      <c r="F903" s="31"/>
      <c r="G903" s="31"/>
      <c r="H903" s="31"/>
      <c r="I903" s="31"/>
      <c r="J903" s="31"/>
      <c r="K903" s="19"/>
      <c r="L903" s="19"/>
      <c r="M903" s="19"/>
      <c r="N903" s="31"/>
      <c r="O903" s="31"/>
      <c r="P903" s="19"/>
      <c r="Q903" s="19"/>
    </row>
    <row r="904" spans="1:17" ht="46.5" customHeight="1" x14ac:dyDescent="0.7">
      <c r="A904" s="19"/>
      <c r="B904" s="19"/>
      <c r="C904" s="19"/>
      <c r="D904" s="31"/>
      <c r="E904" s="31"/>
      <c r="F904" s="31"/>
      <c r="G904" s="31"/>
      <c r="H904" s="31"/>
      <c r="I904" s="31"/>
      <c r="J904" s="31"/>
      <c r="K904" s="19"/>
      <c r="L904" s="19"/>
      <c r="M904" s="19"/>
      <c r="N904" s="31"/>
      <c r="O904" s="31"/>
      <c r="P904" s="19"/>
      <c r="Q904" s="19"/>
    </row>
    <row r="905" spans="1:17" ht="46.5" customHeight="1" x14ac:dyDescent="0.7">
      <c r="A905" s="19"/>
      <c r="B905" s="19"/>
      <c r="C905" s="19"/>
      <c r="D905" s="31"/>
      <c r="E905" s="31"/>
      <c r="F905" s="31"/>
      <c r="G905" s="31"/>
      <c r="H905" s="31"/>
      <c r="I905" s="31"/>
      <c r="J905" s="31"/>
      <c r="K905" s="19"/>
      <c r="L905" s="19"/>
      <c r="M905" s="19"/>
      <c r="N905" s="31"/>
      <c r="O905" s="31"/>
      <c r="P905" s="19"/>
      <c r="Q905" s="19"/>
    </row>
    <row r="906" spans="1:17" ht="46.5" customHeight="1" x14ac:dyDescent="0.7">
      <c r="A906" s="19"/>
      <c r="B906" s="19"/>
      <c r="C906" s="19"/>
      <c r="D906" s="31"/>
      <c r="E906" s="31"/>
      <c r="F906" s="31"/>
      <c r="G906" s="31"/>
      <c r="H906" s="31"/>
      <c r="I906" s="31"/>
      <c r="J906" s="31"/>
      <c r="K906" s="19"/>
      <c r="L906" s="19"/>
      <c r="M906" s="19"/>
      <c r="N906" s="31"/>
      <c r="O906" s="31"/>
      <c r="P906" s="19"/>
      <c r="Q906" s="19"/>
    </row>
    <row r="907" spans="1:17" ht="46.5" customHeight="1" x14ac:dyDescent="0.7">
      <c r="A907" s="19"/>
      <c r="B907" s="19"/>
      <c r="C907" s="19"/>
      <c r="D907" s="31"/>
      <c r="E907" s="31"/>
      <c r="F907" s="31"/>
      <c r="G907" s="31"/>
      <c r="H907" s="31"/>
      <c r="I907" s="31"/>
      <c r="J907" s="31"/>
      <c r="K907" s="19"/>
      <c r="L907" s="19"/>
      <c r="M907" s="19"/>
      <c r="N907" s="31"/>
      <c r="O907" s="31"/>
      <c r="P907" s="19"/>
      <c r="Q907" s="19"/>
    </row>
    <row r="908" spans="1:17" ht="46.5" customHeight="1" x14ac:dyDescent="0.7">
      <c r="A908" s="19"/>
      <c r="B908" s="19"/>
      <c r="C908" s="19"/>
      <c r="D908" s="31"/>
      <c r="E908" s="31"/>
      <c r="F908" s="31"/>
      <c r="G908" s="31"/>
      <c r="H908" s="31"/>
      <c r="I908" s="31"/>
      <c r="J908" s="31"/>
      <c r="K908" s="19"/>
      <c r="L908" s="19"/>
      <c r="M908" s="19"/>
      <c r="N908" s="31"/>
      <c r="O908" s="31"/>
      <c r="P908" s="19"/>
      <c r="Q908" s="19"/>
    </row>
    <row r="909" spans="1:17" ht="46.5" customHeight="1" x14ac:dyDescent="0.7">
      <c r="A909" s="19"/>
      <c r="B909" s="19"/>
      <c r="C909" s="19"/>
      <c r="D909" s="31"/>
      <c r="E909" s="31"/>
      <c r="F909" s="31"/>
      <c r="G909" s="31"/>
      <c r="H909" s="31"/>
      <c r="I909" s="31"/>
      <c r="J909" s="31"/>
      <c r="K909" s="19"/>
      <c r="L909" s="19"/>
      <c r="M909" s="19"/>
      <c r="N909" s="31"/>
      <c r="O909" s="31"/>
      <c r="P909" s="19"/>
      <c r="Q909" s="19"/>
    </row>
    <row r="910" spans="1:17" ht="46.5" customHeight="1" x14ac:dyDescent="0.7">
      <c r="A910" s="19"/>
      <c r="B910" s="19"/>
      <c r="C910" s="19"/>
      <c r="D910" s="31"/>
      <c r="E910" s="31"/>
      <c r="F910" s="31"/>
      <c r="G910" s="31"/>
      <c r="H910" s="31"/>
      <c r="I910" s="31"/>
      <c r="J910" s="31"/>
      <c r="K910" s="19"/>
      <c r="L910" s="19"/>
      <c r="M910" s="19"/>
      <c r="N910" s="31"/>
      <c r="O910" s="31"/>
      <c r="P910" s="19"/>
      <c r="Q910" s="19"/>
    </row>
    <row r="911" spans="1:17" ht="46.5" customHeight="1" x14ac:dyDescent="0.7">
      <c r="A911" s="19"/>
      <c r="B911" s="19"/>
      <c r="C911" s="19"/>
      <c r="D911" s="31"/>
      <c r="E911" s="31"/>
      <c r="F911" s="31"/>
      <c r="G911" s="31"/>
      <c r="H911" s="31"/>
      <c r="I911" s="31"/>
      <c r="J911" s="31"/>
      <c r="K911" s="19"/>
      <c r="L911" s="19"/>
      <c r="M911" s="19"/>
      <c r="N911" s="31"/>
      <c r="O911" s="31"/>
      <c r="P911" s="19"/>
      <c r="Q911" s="19"/>
    </row>
    <row r="912" spans="1:17" ht="46.5" customHeight="1" x14ac:dyDescent="0.7">
      <c r="A912" s="19"/>
      <c r="B912" s="19"/>
      <c r="C912" s="19"/>
      <c r="D912" s="31"/>
      <c r="E912" s="31"/>
      <c r="F912" s="31"/>
      <c r="G912" s="31"/>
      <c r="H912" s="31"/>
      <c r="I912" s="31"/>
      <c r="J912" s="31"/>
      <c r="K912" s="19"/>
      <c r="L912" s="19"/>
      <c r="M912" s="19"/>
      <c r="N912" s="31"/>
      <c r="O912" s="31"/>
      <c r="P912" s="19"/>
      <c r="Q912" s="19"/>
    </row>
    <row r="913" spans="1:17" ht="46.5" customHeight="1" x14ac:dyDescent="0.7">
      <c r="A913" s="19"/>
      <c r="B913" s="19"/>
      <c r="C913" s="19"/>
      <c r="D913" s="31"/>
      <c r="E913" s="31"/>
      <c r="F913" s="31"/>
      <c r="G913" s="31"/>
      <c r="H913" s="31"/>
      <c r="I913" s="31"/>
      <c r="J913" s="31"/>
      <c r="K913" s="19"/>
      <c r="L913" s="19"/>
      <c r="M913" s="19"/>
      <c r="N913" s="31"/>
      <c r="O913" s="31"/>
      <c r="P913" s="19"/>
      <c r="Q913" s="19"/>
    </row>
    <row r="914" spans="1:17" ht="46.5" customHeight="1" x14ac:dyDescent="0.7">
      <c r="A914" s="19"/>
      <c r="B914" s="19"/>
      <c r="C914" s="19"/>
      <c r="D914" s="31"/>
      <c r="E914" s="31"/>
      <c r="F914" s="31"/>
      <c r="G914" s="31"/>
      <c r="H914" s="31"/>
      <c r="I914" s="31"/>
      <c r="J914" s="31"/>
      <c r="K914" s="19"/>
      <c r="L914" s="19"/>
      <c r="M914" s="19"/>
      <c r="N914" s="31"/>
      <c r="O914" s="31"/>
      <c r="P914" s="19"/>
      <c r="Q914" s="19"/>
    </row>
    <row r="915" spans="1:17" ht="46.5" customHeight="1" x14ac:dyDescent="0.7">
      <c r="A915" s="19"/>
      <c r="B915" s="19"/>
      <c r="C915" s="19"/>
      <c r="D915" s="31"/>
      <c r="E915" s="31"/>
      <c r="F915" s="31"/>
      <c r="G915" s="31"/>
      <c r="H915" s="31"/>
      <c r="I915" s="31"/>
      <c r="J915" s="31"/>
      <c r="K915" s="19"/>
      <c r="L915" s="19"/>
      <c r="M915" s="19"/>
      <c r="N915" s="31"/>
      <c r="O915" s="31"/>
      <c r="P915" s="19"/>
      <c r="Q915" s="19"/>
    </row>
    <row r="916" spans="1:17" ht="46.5" customHeight="1" x14ac:dyDescent="0.7">
      <c r="A916" s="19"/>
      <c r="B916" s="19"/>
      <c r="C916" s="19"/>
      <c r="D916" s="31"/>
      <c r="E916" s="31"/>
      <c r="F916" s="31"/>
      <c r="G916" s="31"/>
      <c r="H916" s="31"/>
      <c r="I916" s="31"/>
      <c r="J916" s="31"/>
      <c r="K916" s="19"/>
      <c r="L916" s="19"/>
      <c r="M916" s="19"/>
      <c r="N916" s="31"/>
      <c r="O916" s="31"/>
      <c r="P916" s="19"/>
      <c r="Q916" s="19"/>
    </row>
    <row r="917" spans="1:17" ht="46.5" customHeight="1" x14ac:dyDescent="0.7">
      <c r="A917" s="19"/>
      <c r="B917" s="19"/>
      <c r="C917" s="19"/>
      <c r="D917" s="31"/>
      <c r="E917" s="31"/>
      <c r="F917" s="31"/>
      <c r="G917" s="31"/>
      <c r="H917" s="31"/>
      <c r="I917" s="31"/>
      <c r="J917" s="31"/>
      <c r="K917" s="19"/>
      <c r="L917" s="19"/>
      <c r="M917" s="19"/>
      <c r="N917" s="31"/>
      <c r="O917" s="31"/>
      <c r="P917" s="19"/>
      <c r="Q917" s="19"/>
    </row>
    <row r="918" spans="1:17" ht="46.5" customHeight="1" x14ac:dyDescent="0.7">
      <c r="A918" s="19"/>
      <c r="B918" s="19"/>
      <c r="C918" s="19"/>
      <c r="D918" s="31"/>
      <c r="E918" s="31"/>
      <c r="F918" s="31"/>
      <c r="G918" s="31"/>
      <c r="H918" s="31"/>
      <c r="I918" s="31"/>
      <c r="J918" s="31"/>
      <c r="K918" s="19"/>
      <c r="L918" s="19"/>
      <c r="M918" s="19"/>
      <c r="N918" s="31"/>
      <c r="O918" s="31"/>
      <c r="P918" s="19"/>
      <c r="Q918" s="19"/>
    </row>
    <row r="919" spans="1:17" ht="46.5" customHeight="1" x14ac:dyDescent="0.7">
      <c r="A919" s="19"/>
      <c r="B919" s="19"/>
      <c r="C919" s="19"/>
      <c r="D919" s="31"/>
      <c r="E919" s="31"/>
      <c r="F919" s="31"/>
      <c r="G919" s="31"/>
      <c r="H919" s="31"/>
      <c r="I919" s="31"/>
      <c r="J919" s="31"/>
      <c r="K919" s="19"/>
      <c r="L919" s="19"/>
      <c r="M919" s="19"/>
      <c r="N919" s="31"/>
      <c r="O919" s="31"/>
      <c r="P919" s="19"/>
      <c r="Q919" s="19"/>
    </row>
    <row r="920" spans="1:17" ht="46.5" customHeight="1" x14ac:dyDescent="0.7">
      <c r="A920" s="19"/>
      <c r="B920" s="19"/>
      <c r="C920" s="19"/>
      <c r="D920" s="31"/>
      <c r="E920" s="31"/>
      <c r="F920" s="31"/>
      <c r="G920" s="31"/>
      <c r="H920" s="31"/>
      <c r="I920" s="31"/>
      <c r="J920" s="31"/>
      <c r="K920" s="19"/>
      <c r="L920" s="19"/>
      <c r="M920" s="19"/>
      <c r="N920" s="31"/>
      <c r="O920" s="31"/>
      <c r="P920" s="19"/>
      <c r="Q920" s="19"/>
    </row>
    <row r="921" spans="1:17" ht="46.5" customHeight="1" x14ac:dyDescent="0.7">
      <c r="A921" s="19"/>
      <c r="B921" s="19"/>
      <c r="C921" s="19"/>
      <c r="D921" s="31"/>
      <c r="E921" s="31"/>
      <c r="F921" s="31"/>
      <c r="G921" s="31"/>
      <c r="H921" s="31"/>
      <c r="I921" s="31"/>
      <c r="J921" s="31"/>
      <c r="K921" s="19"/>
      <c r="L921" s="19"/>
      <c r="M921" s="19"/>
      <c r="N921" s="31"/>
      <c r="O921" s="31"/>
      <c r="P921" s="19"/>
      <c r="Q921" s="19"/>
    </row>
    <row r="922" spans="1:17" ht="46.5" customHeight="1" x14ac:dyDescent="0.7">
      <c r="A922" s="19"/>
      <c r="B922" s="19"/>
      <c r="C922" s="19"/>
      <c r="D922" s="31"/>
      <c r="E922" s="31"/>
      <c r="F922" s="31"/>
      <c r="G922" s="31"/>
      <c r="H922" s="31"/>
      <c r="I922" s="31"/>
      <c r="J922" s="31"/>
      <c r="K922" s="19"/>
      <c r="L922" s="19"/>
      <c r="M922" s="19"/>
      <c r="N922" s="31"/>
      <c r="O922" s="31"/>
      <c r="P922" s="19"/>
      <c r="Q922" s="19"/>
    </row>
    <row r="923" spans="1:17" ht="46.5" customHeight="1" x14ac:dyDescent="0.7">
      <c r="A923" s="19"/>
      <c r="B923" s="19"/>
      <c r="C923" s="19"/>
      <c r="D923" s="31"/>
      <c r="E923" s="31"/>
      <c r="F923" s="31"/>
      <c r="G923" s="31"/>
      <c r="H923" s="31"/>
      <c r="I923" s="31"/>
      <c r="J923" s="31"/>
      <c r="K923" s="19"/>
      <c r="L923" s="19"/>
      <c r="M923" s="19"/>
      <c r="N923" s="31"/>
      <c r="O923" s="31"/>
      <c r="P923" s="19"/>
      <c r="Q923" s="19"/>
    </row>
    <row r="924" spans="1:17" ht="46.5" customHeight="1" x14ac:dyDescent="0.7">
      <c r="A924" s="19"/>
      <c r="B924" s="19"/>
      <c r="C924" s="19"/>
      <c r="D924" s="31"/>
      <c r="E924" s="31"/>
      <c r="F924" s="31"/>
      <c r="G924" s="31"/>
      <c r="H924" s="31"/>
      <c r="I924" s="31"/>
      <c r="J924" s="31"/>
      <c r="K924" s="19"/>
      <c r="L924" s="19"/>
      <c r="M924" s="19"/>
      <c r="N924" s="31"/>
      <c r="O924" s="31"/>
      <c r="P924" s="19"/>
      <c r="Q924" s="19"/>
    </row>
    <row r="925" spans="1:17" ht="46.5" customHeight="1" x14ac:dyDescent="0.7">
      <c r="A925" s="19"/>
      <c r="B925" s="19"/>
      <c r="C925" s="19"/>
      <c r="D925" s="31"/>
      <c r="E925" s="31"/>
      <c r="F925" s="31"/>
      <c r="G925" s="31"/>
      <c r="H925" s="31"/>
      <c r="I925" s="31"/>
      <c r="J925" s="31"/>
      <c r="K925" s="19"/>
      <c r="L925" s="19"/>
      <c r="M925" s="19"/>
      <c r="N925" s="31"/>
      <c r="O925" s="31"/>
      <c r="P925" s="19"/>
      <c r="Q925" s="19"/>
    </row>
    <row r="926" spans="1:17" ht="46.5" customHeight="1" x14ac:dyDescent="0.7">
      <c r="A926" s="19"/>
      <c r="B926" s="19"/>
      <c r="C926" s="19"/>
      <c r="D926" s="31"/>
      <c r="E926" s="31"/>
      <c r="F926" s="31"/>
      <c r="G926" s="31"/>
      <c r="H926" s="31"/>
      <c r="I926" s="31"/>
      <c r="J926" s="31"/>
      <c r="K926" s="19"/>
      <c r="L926" s="19"/>
      <c r="M926" s="19"/>
      <c r="N926" s="31"/>
      <c r="O926" s="31"/>
      <c r="P926" s="19"/>
      <c r="Q926" s="19"/>
    </row>
    <row r="927" spans="1:17" ht="46.5" customHeight="1" x14ac:dyDescent="0.7">
      <c r="A927" s="19"/>
      <c r="B927" s="19"/>
      <c r="C927" s="19"/>
      <c r="D927" s="31"/>
      <c r="E927" s="31"/>
      <c r="F927" s="31"/>
      <c r="G927" s="31"/>
      <c r="H927" s="31"/>
      <c r="I927" s="31"/>
      <c r="J927" s="31"/>
      <c r="K927" s="19"/>
      <c r="L927" s="19"/>
      <c r="M927" s="19"/>
      <c r="N927" s="31"/>
      <c r="O927" s="31"/>
      <c r="P927" s="19"/>
      <c r="Q927" s="19"/>
    </row>
    <row r="928" spans="1:17" ht="46.5" customHeight="1" x14ac:dyDescent="0.7">
      <c r="A928" s="19"/>
      <c r="B928" s="19"/>
      <c r="C928" s="19"/>
      <c r="D928" s="31"/>
      <c r="E928" s="31"/>
      <c r="F928" s="31"/>
      <c r="G928" s="31"/>
      <c r="H928" s="31"/>
      <c r="I928" s="31"/>
      <c r="J928" s="31"/>
      <c r="K928" s="19"/>
      <c r="L928" s="19"/>
      <c r="M928" s="19"/>
      <c r="N928" s="31"/>
      <c r="O928" s="31"/>
      <c r="P928" s="19"/>
      <c r="Q928" s="19"/>
    </row>
    <row r="929" spans="1:17" ht="46.5" customHeight="1" x14ac:dyDescent="0.7">
      <c r="A929" s="19"/>
      <c r="B929" s="19"/>
      <c r="C929" s="19"/>
      <c r="D929" s="31"/>
      <c r="E929" s="31"/>
      <c r="F929" s="31"/>
      <c r="G929" s="31"/>
      <c r="H929" s="31"/>
      <c r="I929" s="31"/>
      <c r="J929" s="31"/>
      <c r="K929" s="19"/>
      <c r="L929" s="19"/>
      <c r="M929" s="19"/>
      <c r="N929" s="31"/>
      <c r="O929" s="31"/>
      <c r="P929" s="19"/>
      <c r="Q929" s="19"/>
    </row>
    <row r="930" spans="1:17" ht="46.5" customHeight="1" x14ac:dyDescent="0.7">
      <c r="A930" s="19"/>
      <c r="B930" s="19"/>
      <c r="C930" s="19"/>
      <c r="D930" s="31"/>
      <c r="E930" s="31"/>
      <c r="F930" s="31"/>
      <c r="G930" s="31"/>
      <c r="H930" s="31"/>
      <c r="I930" s="31"/>
      <c r="J930" s="31"/>
      <c r="K930" s="19"/>
      <c r="L930" s="19"/>
      <c r="M930" s="19"/>
      <c r="N930" s="31"/>
      <c r="O930" s="31"/>
      <c r="P930" s="19"/>
      <c r="Q930" s="19"/>
    </row>
    <row r="931" spans="1:17" ht="46.5" customHeight="1" x14ac:dyDescent="0.7">
      <c r="A931" s="19"/>
      <c r="B931" s="19"/>
      <c r="C931" s="19"/>
      <c r="D931" s="31"/>
      <c r="E931" s="31"/>
      <c r="F931" s="31"/>
      <c r="G931" s="31"/>
      <c r="H931" s="31"/>
      <c r="I931" s="31"/>
      <c r="J931" s="31"/>
      <c r="K931" s="19"/>
      <c r="L931" s="19"/>
      <c r="M931" s="19"/>
      <c r="N931" s="31"/>
      <c r="O931" s="31"/>
      <c r="P931" s="19"/>
      <c r="Q931" s="19"/>
    </row>
    <row r="932" spans="1:17" ht="46.5" customHeight="1" x14ac:dyDescent="0.7">
      <c r="A932" s="19"/>
      <c r="B932" s="19"/>
      <c r="C932" s="19"/>
      <c r="D932" s="31"/>
      <c r="E932" s="31"/>
      <c r="F932" s="31"/>
      <c r="G932" s="31"/>
      <c r="H932" s="31"/>
      <c r="I932" s="31"/>
      <c r="J932" s="31"/>
      <c r="K932" s="19"/>
      <c r="L932" s="19"/>
      <c r="M932" s="19"/>
      <c r="N932" s="31"/>
      <c r="O932" s="31"/>
      <c r="P932" s="19"/>
      <c r="Q932" s="19"/>
    </row>
    <row r="933" spans="1:17" ht="46.5" customHeight="1" x14ac:dyDescent="0.7">
      <c r="A933" s="19"/>
      <c r="B933" s="19"/>
      <c r="C933" s="19"/>
      <c r="D933" s="31"/>
      <c r="E933" s="31"/>
      <c r="F933" s="31"/>
      <c r="G933" s="31"/>
      <c r="H933" s="31"/>
      <c r="I933" s="31"/>
      <c r="J933" s="31"/>
      <c r="K933" s="19"/>
      <c r="L933" s="19"/>
      <c r="M933" s="19"/>
      <c r="N933" s="31"/>
      <c r="O933" s="31"/>
      <c r="P933" s="19"/>
      <c r="Q933" s="19"/>
    </row>
    <row r="934" spans="1:17" ht="46.5" customHeight="1" x14ac:dyDescent="0.7">
      <c r="A934" s="19"/>
      <c r="B934" s="19"/>
      <c r="C934" s="19"/>
      <c r="D934" s="31"/>
      <c r="E934" s="31"/>
      <c r="F934" s="31"/>
      <c r="G934" s="31"/>
      <c r="H934" s="31"/>
      <c r="I934" s="31"/>
      <c r="J934" s="31"/>
      <c r="K934" s="19"/>
      <c r="L934" s="19"/>
      <c r="M934" s="19"/>
      <c r="N934" s="31"/>
      <c r="O934" s="31"/>
      <c r="P934" s="19"/>
      <c r="Q934" s="19"/>
    </row>
    <row r="935" spans="1:17" ht="46.5" customHeight="1" x14ac:dyDescent="0.7">
      <c r="A935" s="19"/>
      <c r="B935" s="19"/>
      <c r="C935" s="19"/>
      <c r="D935" s="31"/>
      <c r="E935" s="31"/>
      <c r="F935" s="31"/>
      <c r="G935" s="31"/>
      <c r="H935" s="31"/>
      <c r="I935" s="31"/>
      <c r="J935" s="31"/>
      <c r="K935" s="19"/>
      <c r="L935" s="19"/>
      <c r="M935" s="19"/>
      <c r="N935" s="31"/>
      <c r="O935" s="31"/>
      <c r="P935" s="19"/>
      <c r="Q935" s="19"/>
    </row>
    <row r="936" spans="1:17" ht="46.5" customHeight="1" x14ac:dyDescent="0.7">
      <c r="A936" s="19"/>
      <c r="B936" s="19"/>
      <c r="C936" s="19"/>
      <c r="D936" s="31"/>
      <c r="E936" s="31"/>
      <c r="F936" s="31"/>
      <c r="G936" s="31"/>
      <c r="H936" s="31"/>
      <c r="I936" s="31"/>
      <c r="J936" s="31"/>
      <c r="K936" s="19"/>
      <c r="L936" s="19"/>
      <c r="M936" s="19"/>
      <c r="N936" s="31"/>
      <c r="O936" s="31"/>
      <c r="P936" s="19"/>
      <c r="Q936" s="19"/>
    </row>
    <row r="937" spans="1:17" ht="46.5" customHeight="1" x14ac:dyDescent="0.7">
      <c r="A937" s="19"/>
      <c r="B937" s="19"/>
      <c r="C937" s="19"/>
      <c r="D937" s="31"/>
      <c r="E937" s="31"/>
      <c r="F937" s="31"/>
      <c r="G937" s="31"/>
      <c r="H937" s="31"/>
      <c r="I937" s="31"/>
      <c r="J937" s="31"/>
      <c r="K937" s="19"/>
      <c r="L937" s="19"/>
      <c r="M937" s="19"/>
      <c r="N937" s="31"/>
      <c r="O937" s="31"/>
      <c r="P937" s="19"/>
      <c r="Q937" s="19"/>
    </row>
    <row r="938" spans="1:17" ht="46.5" customHeight="1" x14ac:dyDescent="0.7">
      <c r="A938" s="19"/>
      <c r="B938" s="19"/>
      <c r="C938" s="19"/>
      <c r="D938" s="31"/>
      <c r="E938" s="31"/>
      <c r="F938" s="31"/>
      <c r="G938" s="31"/>
      <c r="H938" s="31"/>
      <c r="I938" s="31"/>
      <c r="J938" s="31"/>
      <c r="K938" s="19"/>
      <c r="L938" s="19"/>
      <c r="M938" s="19"/>
      <c r="N938" s="31"/>
      <c r="O938" s="31"/>
      <c r="P938" s="19"/>
      <c r="Q938" s="19"/>
    </row>
    <row r="939" spans="1:17" ht="46.5" customHeight="1" x14ac:dyDescent="0.7">
      <c r="A939" s="19"/>
      <c r="B939" s="19"/>
      <c r="C939" s="19"/>
      <c r="D939" s="31"/>
      <c r="E939" s="31"/>
      <c r="F939" s="31"/>
      <c r="G939" s="31"/>
      <c r="H939" s="31"/>
      <c r="I939" s="31"/>
      <c r="J939" s="31"/>
      <c r="K939" s="19"/>
      <c r="L939" s="19"/>
      <c r="M939" s="19"/>
      <c r="N939" s="31"/>
      <c r="O939" s="31"/>
      <c r="P939" s="19"/>
      <c r="Q939" s="19"/>
    </row>
    <row r="940" spans="1:17" ht="46.5" customHeight="1" x14ac:dyDescent="0.7">
      <c r="A940" s="19"/>
      <c r="B940" s="19"/>
      <c r="C940" s="19"/>
      <c r="D940" s="31"/>
      <c r="E940" s="31"/>
      <c r="F940" s="31"/>
      <c r="G940" s="31"/>
      <c r="H940" s="31"/>
      <c r="I940" s="31"/>
      <c r="J940" s="31"/>
      <c r="K940" s="19"/>
      <c r="L940" s="19"/>
      <c r="M940" s="19"/>
      <c r="N940" s="31"/>
      <c r="O940" s="31"/>
      <c r="P940" s="19"/>
      <c r="Q940" s="19"/>
    </row>
    <row r="941" spans="1:17" ht="46.5" customHeight="1" x14ac:dyDescent="0.7">
      <c r="A941" s="19"/>
      <c r="B941" s="19"/>
      <c r="C941" s="19"/>
      <c r="D941" s="31"/>
      <c r="E941" s="31"/>
      <c r="F941" s="31"/>
      <c r="G941" s="31"/>
      <c r="H941" s="31"/>
      <c r="I941" s="31"/>
      <c r="J941" s="31"/>
      <c r="K941" s="19"/>
      <c r="L941" s="19"/>
      <c r="M941" s="19"/>
      <c r="N941" s="31"/>
      <c r="O941" s="31"/>
      <c r="P941" s="19"/>
      <c r="Q941" s="19"/>
    </row>
    <row r="942" spans="1:17" ht="46.5" customHeight="1" x14ac:dyDescent="0.7">
      <c r="A942" s="19"/>
      <c r="B942" s="19"/>
      <c r="C942" s="19"/>
      <c r="D942" s="31"/>
      <c r="E942" s="31"/>
      <c r="F942" s="31"/>
      <c r="G942" s="31"/>
      <c r="H942" s="31"/>
      <c r="I942" s="31"/>
      <c r="J942" s="31"/>
      <c r="K942" s="19"/>
      <c r="L942" s="19"/>
      <c r="M942" s="19"/>
      <c r="N942" s="31"/>
      <c r="O942" s="31"/>
      <c r="P942" s="19"/>
      <c r="Q942" s="19"/>
    </row>
    <row r="943" spans="1:17" ht="46.5" customHeight="1" x14ac:dyDescent="0.7">
      <c r="A943" s="19"/>
      <c r="B943" s="19"/>
      <c r="C943" s="19"/>
      <c r="D943" s="31"/>
      <c r="E943" s="31"/>
      <c r="F943" s="31"/>
      <c r="G943" s="31"/>
      <c r="H943" s="31"/>
      <c r="I943" s="31"/>
      <c r="J943" s="31"/>
      <c r="K943" s="19"/>
      <c r="L943" s="19"/>
      <c r="M943" s="19"/>
      <c r="N943" s="31"/>
      <c r="O943" s="31"/>
      <c r="P943" s="19"/>
      <c r="Q943" s="19"/>
    </row>
    <row r="944" spans="1:17" ht="46.5" customHeight="1" x14ac:dyDescent="0.7">
      <c r="A944" s="19"/>
      <c r="B944" s="19"/>
      <c r="C944" s="19"/>
      <c r="D944" s="31"/>
      <c r="E944" s="31"/>
      <c r="F944" s="31"/>
      <c r="G944" s="31"/>
      <c r="H944" s="31"/>
      <c r="I944" s="31"/>
      <c r="J944" s="31"/>
      <c r="K944" s="19"/>
      <c r="L944" s="19"/>
      <c r="M944" s="19"/>
      <c r="N944" s="31"/>
      <c r="O944" s="31"/>
      <c r="P944" s="19"/>
      <c r="Q944" s="19"/>
    </row>
    <row r="945" spans="1:17" ht="46.5" customHeight="1" x14ac:dyDescent="0.7">
      <c r="A945" s="19"/>
      <c r="B945" s="19"/>
      <c r="C945" s="19"/>
      <c r="D945" s="31"/>
      <c r="E945" s="31"/>
      <c r="F945" s="31"/>
      <c r="G945" s="31"/>
      <c r="H945" s="31"/>
      <c r="I945" s="31"/>
      <c r="J945" s="31"/>
      <c r="K945" s="19"/>
      <c r="L945" s="19"/>
      <c r="M945" s="19"/>
      <c r="N945" s="31"/>
      <c r="O945" s="31"/>
      <c r="P945" s="19"/>
      <c r="Q945" s="19"/>
    </row>
    <row r="946" spans="1:17" ht="46.5" customHeight="1" x14ac:dyDescent="0.7">
      <c r="A946" s="19"/>
      <c r="B946" s="19"/>
      <c r="C946" s="19"/>
      <c r="D946" s="31"/>
      <c r="E946" s="31"/>
      <c r="F946" s="31"/>
      <c r="G946" s="31"/>
      <c r="H946" s="31"/>
      <c r="I946" s="31"/>
      <c r="J946" s="31"/>
      <c r="K946" s="19"/>
      <c r="L946" s="19"/>
      <c r="M946" s="19"/>
      <c r="N946" s="31"/>
      <c r="O946" s="31"/>
      <c r="P946" s="19"/>
      <c r="Q946" s="19"/>
    </row>
    <row r="947" spans="1:17" ht="46.5" customHeight="1" x14ac:dyDescent="0.7">
      <c r="A947" s="19"/>
      <c r="B947" s="19"/>
      <c r="C947" s="19"/>
      <c r="D947" s="31"/>
      <c r="E947" s="31"/>
      <c r="F947" s="31"/>
      <c r="G947" s="31"/>
      <c r="H947" s="31"/>
      <c r="I947" s="31"/>
      <c r="J947" s="31"/>
      <c r="K947" s="19"/>
      <c r="L947" s="19"/>
      <c r="M947" s="19"/>
      <c r="N947" s="31"/>
      <c r="O947" s="31"/>
      <c r="P947" s="19"/>
      <c r="Q947" s="19"/>
    </row>
    <row r="948" spans="1:17" ht="46.5" customHeight="1" x14ac:dyDescent="0.7">
      <c r="A948" s="19"/>
      <c r="B948" s="19"/>
      <c r="C948" s="19"/>
      <c r="D948" s="31"/>
      <c r="E948" s="31"/>
      <c r="F948" s="31"/>
      <c r="G948" s="31"/>
      <c r="H948" s="31"/>
      <c r="I948" s="31"/>
      <c r="J948" s="31"/>
      <c r="K948" s="19"/>
      <c r="L948" s="19"/>
      <c r="M948" s="19"/>
      <c r="N948" s="31"/>
      <c r="O948" s="31"/>
      <c r="P948" s="19"/>
      <c r="Q948" s="19"/>
    </row>
    <row r="949" spans="1:17" ht="46.5" customHeight="1" x14ac:dyDescent="0.7">
      <c r="A949" s="19"/>
      <c r="B949" s="19"/>
      <c r="C949" s="19"/>
      <c r="D949" s="31"/>
      <c r="E949" s="31"/>
      <c r="F949" s="31"/>
      <c r="G949" s="31"/>
      <c r="H949" s="31"/>
      <c r="I949" s="31"/>
      <c r="J949" s="31"/>
      <c r="K949" s="19"/>
      <c r="L949" s="19"/>
      <c r="M949" s="19"/>
      <c r="N949" s="31"/>
      <c r="O949" s="31"/>
      <c r="P949" s="19"/>
      <c r="Q949" s="19"/>
    </row>
    <row r="950" spans="1:17" ht="46.5" customHeight="1" x14ac:dyDescent="0.7">
      <c r="A950" s="19"/>
      <c r="B950" s="19"/>
      <c r="C950" s="19"/>
      <c r="D950" s="31"/>
      <c r="E950" s="31"/>
      <c r="F950" s="31"/>
      <c r="G950" s="31"/>
      <c r="H950" s="31"/>
      <c r="I950" s="31"/>
      <c r="J950" s="31"/>
      <c r="K950" s="19"/>
      <c r="L950" s="19"/>
      <c r="M950" s="19"/>
      <c r="N950" s="31"/>
      <c r="O950" s="31"/>
      <c r="P950" s="19"/>
      <c r="Q950" s="19"/>
    </row>
    <row r="951" spans="1:17" ht="46.5" customHeight="1" x14ac:dyDescent="0.7">
      <c r="A951" s="19"/>
      <c r="B951" s="19"/>
      <c r="C951" s="19"/>
      <c r="D951" s="31"/>
      <c r="E951" s="31"/>
      <c r="F951" s="31"/>
      <c r="G951" s="31"/>
      <c r="H951" s="31"/>
      <c r="I951" s="31"/>
      <c r="J951" s="31"/>
      <c r="K951" s="19"/>
      <c r="L951" s="19"/>
      <c r="M951" s="19"/>
      <c r="N951" s="31"/>
      <c r="O951" s="31"/>
      <c r="P951" s="19"/>
      <c r="Q951" s="19"/>
    </row>
    <row r="952" spans="1:17" ht="46.5" customHeight="1" x14ac:dyDescent="0.7">
      <c r="A952" s="19"/>
      <c r="B952" s="19"/>
      <c r="C952" s="19"/>
      <c r="D952" s="31"/>
      <c r="E952" s="31"/>
      <c r="F952" s="31"/>
      <c r="G952" s="31"/>
      <c r="H952" s="31"/>
      <c r="I952" s="31"/>
      <c r="J952" s="31"/>
      <c r="K952" s="19"/>
      <c r="L952" s="19"/>
      <c r="M952" s="19"/>
      <c r="N952" s="31"/>
      <c r="O952" s="31"/>
      <c r="P952" s="19"/>
      <c r="Q952" s="19"/>
    </row>
    <row r="953" spans="1:17" ht="46.5" customHeight="1" x14ac:dyDescent="0.7">
      <c r="A953" s="19"/>
      <c r="B953" s="19"/>
      <c r="C953" s="19"/>
      <c r="D953" s="31"/>
      <c r="E953" s="31"/>
      <c r="F953" s="31"/>
      <c r="G953" s="31"/>
      <c r="H953" s="31"/>
      <c r="I953" s="31"/>
      <c r="J953" s="31"/>
      <c r="K953" s="19"/>
      <c r="L953" s="19"/>
      <c r="M953" s="19"/>
      <c r="N953" s="31"/>
      <c r="O953" s="31"/>
      <c r="P953" s="19"/>
      <c r="Q953" s="19"/>
    </row>
    <row r="954" spans="1:17" ht="46.5" customHeight="1" x14ac:dyDescent="0.7">
      <c r="A954" s="19"/>
      <c r="B954" s="19"/>
      <c r="C954" s="19"/>
      <c r="D954" s="31"/>
      <c r="E954" s="31"/>
      <c r="F954" s="31"/>
      <c r="G954" s="31"/>
      <c r="H954" s="31"/>
      <c r="I954" s="31"/>
      <c r="J954" s="31"/>
      <c r="K954" s="19"/>
      <c r="L954" s="19"/>
      <c r="M954" s="19"/>
      <c r="N954" s="31"/>
      <c r="O954" s="31"/>
      <c r="P954" s="19"/>
      <c r="Q954" s="19"/>
    </row>
    <row r="955" spans="1:17" ht="46.5" customHeight="1" x14ac:dyDescent="0.7">
      <c r="A955" s="19"/>
      <c r="B955" s="19"/>
      <c r="C955" s="19"/>
      <c r="D955" s="31"/>
      <c r="E955" s="31"/>
      <c r="F955" s="31"/>
      <c r="G955" s="31"/>
      <c r="H955" s="31"/>
      <c r="I955" s="31"/>
      <c r="J955" s="31"/>
      <c r="K955" s="19"/>
      <c r="L955" s="19"/>
      <c r="M955" s="19"/>
      <c r="N955" s="31"/>
      <c r="O955" s="31"/>
      <c r="P955" s="19"/>
      <c r="Q955" s="19"/>
    </row>
    <row r="956" spans="1:17" ht="46.5" customHeight="1" x14ac:dyDescent="0.7">
      <c r="A956" s="19"/>
      <c r="B956" s="19"/>
      <c r="C956" s="19"/>
      <c r="D956" s="31"/>
      <c r="E956" s="31"/>
      <c r="F956" s="31"/>
      <c r="G956" s="31"/>
      <c r="H956" s="31"/>
      <c r="I956" s="31"/>
      <c r="J956" s="31"/>
      <c r="K956" s="19"/>
      <c r="L956" s="19"/>
      <c r="M956" s="19"/>
      <c r="N956" s="31"/>
      <c r="O956" s="31"/>
      <c r="P956" s="19"/>
      <c r="Q956" s="19"/>
    </row>
    <row r="957" spans="1:17" ht="46.5" customHeight="1" x14ac:dyDescent="0.7">
      <c r="A957" s="19"/>
      <c r="B957" s="19"/>
      <c r="C957" s="19"/>
      <c r="D957" s="31"/>
      <c r="E957" s="31"/>
      <c r="F957" s="31"/>
      <c r="G957" s="31"/>
      <c r="H957" s="31"/>
      <c r="I957" s="31"/>
      <c r="J957" s="31"/>
      <c r="K957" s="19"/>
      <c r="L957" s="19"/>
      <c r="M957" s="19"/>
      <c r="N957" s="31"/>
      <c r="O957" s="31"/>
      <c r="P957" s="19"/>
      <c r="Q957" s="19"/>
    </row>
    <row r="958" spans="1:17" ht="46.5" customHeight="1" x14ac:dyDescent="0.7">
      <c r="A958" s="19"/>
      <c r="B958" s="19"/>
      <c r="C958" s="19"/>
      <c r="D958" s="31"/>
      <c r="E958" s="31"/>
      <c r="F958" s="31"/>
      <c r="G958" s="31"/>
      <c r="H958" s="31"/>
      <c r="I958" s="31"/>
      <c r="J958" s="31"/>
      <c r="K958" s="19"/>
      <c r="L958" s="19"/>
      <c r="M958" s="19"/>
      <c r="N958" s="31"/>
      <c r="O958" s="31"/>
      <c r="P958" s="19"/>
      <c r="Q958" s="19"/>
    </row>
    <row r="959" spans="1:17" ht="46.5" customHeight="1" x14ac:dyDescent="0.7">
      <c r="A959" s="19"/>
      <c r="B959" s="19"/>
      <c r="C959" s="19"/>
      <c r="D959" s="31"/>
      <c r="E959" s="31"/>
      <c r="F959" s="31"/>
      <c r="G959" s="31"/>
      <c r="H959" s="31"/>
      <c r="I959" s="31"/>
      <c r="J959" s="31"/>
      <c r="K959" s="19"/>
      <c r="L959" s="19"/>
      <c r="M959" s="19"/>
      <c r="N959" s="31"/>
      <c r="O959" s="31"/>
      <c r="P959" s="19"/>
      <c r="Q959" s="19"/>
    </row>
    <row r="960" spans="1:17" ht="46.5" customHeight="1" x14ac:dyDescent="0.7">
      <c r="A960" s="19"/>
      <c r="B960" s="19"/>
      <c r="C960" s="19"/>
      <c r="D960" s="31"/>
      <c r="E960" s="31"/>
      <c r="F960" s="31"/>
      <c r="G960" s="31"/>
      <c r="H960" s="31"/>
      <c r="I960" s="31"/>
      <c r="J960" s="31"/>
      <c r="K960" s="19"/>
      <c r="L960" s="19"/>
      <c r="M960" s="19"/>
      <c r="N960" s="31"/>
      <c r="O960" s="31"/>
      <c r="P960" s="19"/>
      <c r="Q960" s="19"/>
    </row>
    <row r="961" spans="1:17" ht="46.5" customHeight="1" x14ac:dyDescent="0.7">
      <c r="A961" s="19"/>
      <c r="B961" s="19"/>
      <c r="C961" s="19"/>
      <c r="D961" s="31"/>
      <c r="E961" s="31"/>
      <c r="F961" s="31"/>
      <c r="G961" s="31"/>
      <c r="H961" s="31"/>
      <c r="I961" s="31"/>
      <c r="J961" s="31"/>
      <c r="K961" s="19"/>
      <c r="L961" s="19"/>
      <c r="M961" s="19"/>
      <c r="N961" s="31"/>
      <c r="O961" s="31"/>
      <c r="P961" s="19"/>
      <c r="Q961" s="19"/>
    </row>
    <row r="962" spans="1:17" ht="46.5" customHeight="1" x14ac:dyDescent="0.7">
      <c r="A962" s="19"/>
      <c r="B962" s="19"/>
      <c r="C962" s="19"/>
      <c r="D962" s="31"/>
      <c r="E962" s="31"/>
      <c r="F962" s="31"/>
      <c r="G962" s="31"/>
      <c r="H962" s="31"/>
      <c r="I962" s="31"/>
      <c r="J962" s="31"/>
      <c r="K962" s="19"/>
      <c r="L962" s="19"/>
      <c r="M962" s="19"/>
      <c r="N962" s="31"/>
      <c r="O962" s="31"/>
      <c r="P962" s="19"/>
      <c r="Q962" s="19"/>
    </row>
    <row r="963" spans="1:17" ht="46.5" customHeight="1" x14ac:dyDescent="0.7">
      <c r="A963" s="19"/>
      <c r="B963" s="19"/>
      <c r="C963" s="19"/>
      <c r="D963" s="31"/>
      <c r="E963" s="31"/>
      <c r="F963" s="31"/>
      <c r="G963" s="31"/>
      <c r="H963" s="31"/>
      <c r="I963" s="31"/>
      <c r="J963" s="31"/>
      <c r="K963" s="19"/>
      <c r="L963" s="19"/>
      <c r="M963" s="19"/>
      <c r="N963" s="31"/>
      <c r="O963" s="31"/>
      <c r="P963" s="19"/>
      <c r="Q963" s="19"/>
    </row>
    <row r="964" spans="1:17" ht="46.5" customHeight="1" x14ac:dyDescent="0.7">
      <c r="A964" s="19"/>
      <c r="B964" s="19"/>
      <c r="C964" s="19"/>
      <c r="D964" s="31"/>
      <c r="E964" s="31"/>
      <c r="F964" s="31"/>
      <c r="G964" s="31"/>
      <c r="H964" s="31"/>
      <c r="I964" s="31"/>
      <c r="J964" s="31"/>
      <c r="K964" s="19"/>
      <c r="L964" s="19"/>
      <c r="M964" s="19"/>
      <c r="N964" s="31"/>
      <c r="O964" s="31"/>
      <c r="P964" s="19"/>
      <c r="Q964" s="19"/>
    </row>
    <row r="965" spans="1:17" ht="46.5" customHeight="1" x14ac:dyDescent="0.7">
      <c r="A965" s="19"/>
      <c r="B965" s="19"/>
      <c r="C965" s="19"/>
      <c r="D965" s="31"/>
      <c r="E965" s="31"/>
      <c r="F965" s="31"/>
      <c r="G965" s="31"/>
      <c r="H965" s="31"/>
      <c r="I965" s="31"/>
      <c r="J965" s="31"/>
      <c r="K965" s="19"/>
      <c r="L965" s="19"/>
      <c r="M965" s="19"/>
      <c r="N965" s="31"/>
      <c r="O965" s="31"/>
      <c r="P965" s="19"/>
      <c r="Q965" s="19"/>
    </row>
    <row r="966" spans="1:17" ht="46.5" customHeight="1" x14ac:dyDescent="0.7">
      <c r="A966" s="19"/>
      <c r="B966" s="19"/>
      <c r="C966" s="19"/>
      <c r="D966" s="31"/>
      <c r="E966" s="31"/>
      <c r="F966" s="31"/>
      <c r="G966" s="31"/>
      <c r="H966" s="31"/>
      <c r="I966" s="31"/>
      <c r="J966" s="31"/>
      <c r="K966" s="19"/>
      <c r="L966" s="19"/>
      <c r="M966" s="19"/>
      <c r="N966" s="31"/>
      <c r="O966" s="31"/>
      <c r="P966" s="19"/>
      <c r="Q966" s="19"/>
    </row>
    <row r="967" spans="1:17" ht="46.5" customHeight="1" x14ac:dyDescent="0.7">
      <c r="A967" s="19"/>
      <c r="B967" s="19"/>
      <c r="C967" s="19"/>
      <c r="D967" s="31"/>
      <c r="E967" s="31"/>
      <c r="F967" s="31"/>
      <c r="G967" s="31"/>
      <c r="H967" s="31"/>
      <c r="I967" s="31"/>
      <c r="J967" s="31"/>
      <c r="K967" s="19"/>
      <c r="L967" s="19"/>
      <c r="M967" s="19"/>
      <c r="N967" s="31"/>
      <c r="O967" s="31"/>
      <c r="P967" s="19"/>
      <c r="Q967" s="19"/>
    </row>
    <row r="968" spans="1:17" ht="46.5" customHeight="1" x14ac:dyDescent="0.7">
      <c r="A968" s="19"/>
      <c r="B968" s="19"/>
      <c r="C968" s="19"/>
      <c r="D968" s="31"/>
      <c r="E968" s="31"/>
      <c r="F968" s="31"/>
      <c r="G968" s="31"/>
      <c r="H968" s="31"/>
      <c r="I968" s="31"/>
      <c r="J968" s="31"/>
      <c r="K968" s="19"/>
      <c r="L968" s="19"/>
      <c r="M968" s="19"/>
      <c r="N968" s="31"/>
      <c r="O968" s="31"/>
      <c r="P968" s="19"/>
      <c r="Q968" s="19"/>
    </row>
    <row r="969" spans="1:17" ht="46.5" customHeight="1" x14ac:dyDescent="0.7">
      <c r="A969" s="19"/>
      <c r="B969" s="19"/>
      <c r="C969" s="19"/>
      <c r="D969" s="31"/>
      <c r="E969" s="31"/>
      <c r="F969" s="31"/>
      <c r="G969" s="31"/>
      <c r="H969" s="31"/>
      <c r="I969" s="31"/>
      <c r="J969" s="31"/>
      <c r="K969" s="19"/>
      <c r="L969" s="19"/>
      <c r="M969" s="19"/>
      <c r="N969" s="31"/>
      <c r="O969" s="31"/>
      <c r="P969" s="19"/>
      <c r="Q969" s="19"/>
    </row>
    <row r="970" spans="1:17" ht="46.5" customHeight="1" x14ac:dyDescent="0.7">
      <c r="A970" s="19"/>
      <c r="B970" s="19"/>
      <c r="C970" s="19"/>
      <c r="D970" s="31"/>
      <c r="E970" s="31"/>
      <c r="F970" s="31"/>
      <c r="G970" s="31"/>
      <c r="H970" s="31"/>
      <c r="I970" s="31"/>
      <c r="J970" s="31"/>
      <c r="K970" s="19"/>
      <c r="L970" s="19"/>
      <c r="M970" s="19"/>
      <c r="N970" s="31"/>
      <c r="O970" s="31"/>
      <c r="P970" s="19"/>
      <c r="Q970" s="19"/>
    </row>
    <row r="971" spans="1:17" ht="46.5" customHeight="1" x14ac:dyDescent="0.7">
      <c r="A971" s="19"/>
      <c r="B971" s="19"/>
      <c r="C971" s="19"/>
      <c r="D971" s="31"/>
      <c r="E971" s="31"/>
      <c r="F971" s="31"/>
      <c r="G971" s="31"/>
      <c r="H971" s="31"/>
      <c r="I971" s="31"/>
      <c r="J971" s="31"/>
      <c r="K971" s="19"/>
      <c r="L971" s="19"/>
      <c r="M971" s="19"/>
      <c r="N971" s="31"/>
      <c r="O971" s="31"/>
      <c r="P971" s="19"/>
      <c r="Q971" s="19"/>
    </row>
    <row r="972" spans="1:17" ht="46.5" customHeight="1" x14ac:dyDescent="0.7">
      <c r="A972" s="19"/>
      <c r="B972" s="19"/>
      <c r="C972" s="19"/>
      <c r="D972" s="31"/>
      <c r="E972" s="31"/>
      <c r="F972" s="31"/>
      <c r="G972" s="31"/>
      <c r="H972" s="31"/>
      <c r="I972" s="31"/>
      <c r="J972" s="31"/>
      <c r="K972" s="19"/>
      <c r="L972" s="19"/>
      <c r="M972" s="19"/>
      <c r="N972" s="31"/>
      <c r="O972" s="31"/>
      <c r="P972" s="19"/>
      <c r="Q972" s="19"/>
    </row>
    <row r="973" spans="1:17" ht="46.5" customHeight="1" x14ac:dyDescent="0.7">
      <c r="A973" s="19"/>
      <c r="B973" s="19"/>
      <c r="C973" s="19"/>
      <c r="D973" s="31"/>
      <c r="E973" s="31"/>
      <c r="F973" s="31"/>
      <c r="G973" s="31"/>
      <c r="H973" s="31"/>
      <c r="I973" s="31"/>
      <c r="J973" s="31"/>
      <c r="K973" s="19"/>
      <c r="L973" s="19"/>
      <c r="M973" s="19"/>
      <c r="N973" s="31"/>
      <c r="O973" s="31"/>
      <c r="P973" s="19"/>
      <c r="Q973" s="19"/>
    </row>
    <row r="974" spans="1:17" ht="46.5" customHeight="1" x14ac:dyDescent="0.7">
      <c r="A974" s="19"/>
      <c r="B974" s="19"/>
      <c r="C974" s="19"/>
      <c r="D974" s="31"/>
      <c r="E974" s="31"/>
      <c r="F974" s="31"/>
      <c r="G974" s="31"/>
      <c r="H974" s="31"/>
      <c r="I974" s="31"/>
      <c r="J974" s="31"/>
      <c r="K974" s="19"/>
      <c r="L974" s="19"/>
      <c r="M974" s="19"/>
      <c r="N974" s="31"/>
      <c r="O974" s="31"/>
      <c r="P974" s="19"/>
      <c r="Q974" s="19"/>
    </row>
    <row r="975" spans="1:17" ht="46.5" customHeight="1" x14ac:dyDescent="0.7">
      <c r="A975" s="19"/>
      <c r="B975" s="19"/>
      <c r="C975" s="19"/>
      <c r="D975" s="31"/>
      <c r="E975" s="31"/>
      <c r="F975" s="31"/>
      <c r="G975" s="31"/>
      <c r="H975" s="31"/>
      <c r="I975" s="31"/>
      <c r="J975" s="31"/>
      <c r="K975" s="19"/>
      <c r="L975" s="19"/>
      <c r="M975" s="19"/>
      <c r="N975" s="31"/>
      <c r="O975" s="31"/>
      <c r="P975" s="19"/>
      <c r="Q975" s="19"/>
    </row>
    <row r="976" spans="1:17" ht="46.5" customHeight="1" x14ac:dyDescent="0.7">
      <c r="A976" s="19"/>
      <c r="B976" s="19"/>
      <c r="C976" s="19"/>
      <c r="D976" s="31"/>
      <c r="E976" s="31"/>
      <c r="F976" s="31"/>
      <c r="G976" s="31"/>
      <c r="H976" s="31"/>
      <c r="I976" s="31"/>
      <c r="J976" s="31"/>
      <c r="K976" s="19"/>
      <c r="L976" s="19"/>
      <c r="M976" s="19"/>
      <c r="N976" s="31"/>
      <c r="O976" s="31"/>
      <c r="P976" s="19"/>
      <c r="Q976" s="19"/>
    </row>
    <row r="977" spans="1:17" ht="46.5" customHeight="1" x14ac:dyDescent="0.7">
      <c r="A977" s="19"/>
      <c r="B977" s="19"/>
      <c r="C977" s="19"/>
      <c r="D977" s="31"/>
      <c r="E977" s="31"/>
      <c r="F977" s="31"/>
      <c r="G977" s="31"/>
      <c r="H977" s="31"/>
      <c r="I977" s="31"/>
      <c r="J977" s="31"/>
      <c r="K977" s="19"/>
      <c r="L977" s="19"/>
      <c r="M977" s="19"/>
      <c r="N977" s="31"/>
      <c r="O977" s="31"/>
      <c r="P977" s="19"/>
      <c r="Q977" s="19"/>
    </row>
    <row r="978" spans="1:17" ht="46.5" customHeight="1" x14ac:dyDescent="0.7">
      <c r="A978" s="19"/>
      <c r="B978" s="19"/>
      <c r="C978" s="19"/>
      <c r="D978" s="31"/>
      <c r="E978" s="31"/>
      <c r="F978" s="31"/>
      <c r="G978" s="31"/>
      <c r="H978" s="31"/>
      <c r="I978" s="31"/>
      <c r="J978" s="31"/>
      <c r="K978" s="19"/>
      <c r="L978" s="19"/>
      <c r="M978" s="19"/>
      <c r="N978" s="31"/>
      <c r="O978" s="31"/>
      <c r="P978" s="19"/>
      <c r="Q978" s="19"/>
    </row>
    <row r="979" spans="1:17" ht="46.5" customHeight="1" x14ac:dyDescent="0.7">
      <c r="A979" s="19"/>
      <c r="B979" s="19"/>
      <c r="C979" s="19"/>
      <c r="D979" s="31"/>
      <c r="E979" s="31"/>
      <c r="F979" s="31"/>
      <c r="G979" s="31"/>
      <c r="H979" s="31"/>
      <c r="I979" s="31"/>
      <c r="J979" s="31"/>
      <c r="K979" s="19"/>
      <c r="L979" s="19"/>
      <c r="M979" s="19"/>
      <c r="N979" s="31"/>
      <c r="O979" s="31"/>
      <c r="P979" s="19"/>
      <c r="Q979" s="19"/>
    </row>
    <row r="980" spans="1:17" ht="46.5" customHeight="1" x14ac:dyDescent="0.7">
      <c r="A980" s="19"/>
      <c r="B980" s="19"/>
      <c r="C980" s="19"/>
      <c r="D980" s="31"/>
      <c r="E980" s="31"/>
      <c r="F980" s="31"/>
      <c r="G980" s="31"/>
      <c r="H980" s="31"/>
      <c r="I980" s="31"/>
      <c r="J980" s="31"/>
      <c r="K980" s="19"/>
      <c r="L980" s="19"/>
      <c r="M980" s="19"/>
      <c r="N980" s="31"/>
      <c r="O980" s="31"/>
      <c r="P980" s="19"/>
      <c r="Q980" s="19"/>
    </row>
    <row r="981" spans="1:17" ht="46.5" customHeight="1" x14ac:dyDescent="0.7">
      <c r="A981" s="19"/>
      <c r="B981" s="19"/>
      <c r="C981" s="19"/>
      <c r="D981" s="31"/>
      <c r="E981" s="31"/>
      <c r="F981" s="31"/>
      <c r="G981" s="31"/>
      <c r="H981" s="31"/>
      <c r="I981" s="31"/>
      <c r="J981" s="31"/>
      <c r="K981" s="19"/>
      <c r="L981" s="19"/>
      <c r="M981" s="19"/>
      <c r="N981" s="31"/>
      <c r="O981" s="31"/>
      <c r="P981" s="19"/>
      <c r="Q981" s="19"/>
    </row>
    <row r="982" spans="1:17" ht="46.5" customHeight="1" x14ac:dyDescent="0.7">
      <c r="A982" s="19"/>
      <c r="B982" s="19"/>
      <c r="C982" s="19"/>
      <c r="D982" s="31"/>
      <c r="E982" s="31"/>
      <c r="F982" s="31"/>
      <c r="G982" s="31"/>
      <c r="H982" s="31"/>
      <c r="I982" s="31"/>
      <c r="J982" s="31"/>
      <c r="K982" s="19"/>
      <c r="L982" s="19"/>
      <c r="M982" s="19"/>
      <c r="N982" s="31"/>
      <c r="O982" s="31"/>
      <c r="P982" s="19"/>
      <c r="Q982" s="19"/>
    </row>
    <row r="983" spans="1:17" ht="46.5" customHeight="1" x14ac:dyDescent="0.7">
      <c r="A983" s="19"/>
      <c r="B983" s="19"/>
      <c r="C983" s="19"/>
      <c r="D983" s="31"/>
      <c r="E983" s="31"/>
      <c r="F983" s="31"/>
      <c r="G983" s="31"/>
      <c r="H983" s="31"/>
      <c r="I983" s="31"/>
      <c r="J983" s="31"/>
      <c r="K983" s="19"/>
      <c r="L983" s="19"/>
      <c r="M983" s="19"/>
      <c r="N983" s="31"/>
      <c r="O983" s="31"/>
      <c r="P983" s="19"/>
      <c r="Q983" s="19"/>
    </row>
    <row r="984" spans="1:17" ht="46.5" customHeight="1" x14ac:dyDescent="0.7">
      <c r="A984" s="19"/>
      <c r="B984" s="19"/>
      <c r="C984" s="19"/>
      <c r="D984" s="31"/>
      <c r="E984" s="31"/>
      <c r="F984" s="31"/>
      <c r="G984" s="31"/>
      <c r="H984" s="31"/>
      <c r="I984" s="31"/>
      <c r="J984" s="31"/>
      <c r="K984" s="19"/>
      <c r="L984" s="19"/>
      <c r="M984" s="19"/>
      <c r="N984" s="31"/>
      <c r="O984" s="31"/>
      <c r="P984" s="19"/>
      <c r="Q984" s="19"/>
    </row>
    <row r="985" spans="1:17" ht="46.5" customHeight="1" x14ac:dyDescent="0.7">
      <c r="A985" s="19"/>
      <c r="B985" s="19"/>
      <c r="C985" s="19"/>
      <c r="D985" s="31"/>
      <c r="E985" s="31"/>
      <c r="F985" s="31"/>
      <c r="G985" s="31"/>
      <c r="H985" s="31"/>
      <c r="I985" s="31"/>
      <c r="J985" s="31"/>
      <c r="K985" s="19"/>
      <c r="L985" s="19"/>
      <c r="M985" s="19"/>
      <c r="N985" s="31"/>
      <c r="O985" s="31"/>
      <c r="P985" s="19"/>
      <c r="Q985" s="19"/>
    </row>
    <row r="986" spans="1:17" ht="46.5" customHeight="1" x14ac:dyDescent="0.7">
      <c r="A986" s="19"/>
      <c r="B986" s="19"/>
      <c r="C986" s="19"/>
      <c r="D986" s="31"/>
      <c r="E986" s="31"/>
      <c r="F986" s="31"/>
      <c r="G986" s="31"/>
      <c r="H986" s="31"/>
      <c r="I986" s="31"/>
      <c r="J986" s="31"/>
      <c r="K986" s="19"/>
      <c r="L986" s="19"/>
      <c r="M986" s="19"/>
      <c r="N986" s="31"/>
      <c r="O986" s="31"/>
      <c r="P986" s="19"/>
      <c r="Q986" s="19"/>
    </row>
    <row r="987" spans="1:17" ht="46.5" customHeight="1" x14ac:dyDescent="0.7">
      <c r="A987" s="19"/>
      <c r="B987" s="19"/>
      <c r="C987" s="19"/>
      <c r="D987" s="31"/>
      <c r="E987" s="31"/>
      <c r="F987" s="31"/>
      <c r="G987" s="31"/>
      <c r="H987" s="31"/>
      <c r="I987" s="31"/>
      <c r="J987" s="31"/>
      <c r="K987" s="19"/>
      <c r="L987" s="19"/>
      <c r="M987" s="19"/>
      <c r="N987" s="31"/>
      <c r="O987" s="31"/>
      <c r="P987" s="19"/>
      <c r="Q987" s="19"/>
    </row>
    <row r="988" spans="1:17" ht="46.5" customHeight="1" x14ac:dyDescent="0.7">
      <c r="A988" s="19"/>
      <c r="B988" s="19"/>
      <c r="C988" s="19"/>
      <c r="D988" s="31"/>
      <c r="E988" s="31"/>
      <c r="F988" s="31"/>
      <c r="G988" s="31"/>
      <c r="H988" s="31"/>
      <c r="I988" s="31"/>
      <c r="J988" s="31"/>
      <c r="K988" s="19"/>
      <c r="L988" s="19"/>
      <c r="M988" s="19"/>
      <c r="N988" s="31"/>
      <c r="O988" s="31"/>
      <c r="P988" s="19"/>
      <c r="Q988" s="19"/>
    </row>
    <row r="989" spans="1:17" ht="46.5" customHeight="1" x14ac:dyDescent="0.7">
      <c r="A989" s="19"/>
      <c r="B989" s="19"/>
      <c r="C989" s="19"/>
      <c r="D989" s="31"/>
      <c r="E989" s="31"/>
      <c r="F989" s="31"/>
      <c r="G989" s="31"/>
      <c r="H989" s="31"/>
      <c r="I989" s="31"/>
      <c r="J989" s="31"/>
      <c r="K989" s="19"/>
      <c r="L989" s="19"/>
      <c r="M989" s="19"/>
      <c r="N989" s="31"/>
      <c r="O989" s="31"/>
      <c r="P989" s="19"/>
      <c r="Q989" s="19"/>
    </row>
    <row r="990" spans="1:17" ht="46.5" customHeight="1" x14ac:dyDescent="0.7">
      <c r="A990" s="19"/>
      <c r="B990" s="19"/>
      <c r="C990" s="19"/>
      <c r="D990" s="31"/>
      <c r="E990" s="31"/>
      <c r="F990" s="31"/>
      <c r="G990" s="31"/>
      <c r="H990" s="31"/>
      <c r="I990" s="31"/>
      <c r="J990" s="31"/>
      <c r="K990" s="19"/>
      <c r="L990" s="19"/>
      <c r="M990" s="19"/>
      <c r="N990" s="31"/>
      <c r="O990" s="31"/>
      <c r="P990" s="19"/>
      <c r="Q990" s="19"/>
    </row>
    <row r="991" spans="1:17" ht="46.5" customHeight="1" x14ac:dyDescent="0.7">
      <c r="A991" s="19"/>
      <c r="B991" s="19"/>
      <c r="C991" s="19"/>
      <c r="D991" s="31"/>
      <c r="E991" s="31"/>
      <c r="F991" s="31"/>
      <c r="G991" s="31"/>
      <c r="H991" s="31"/>
      <c r="I991" s="31"/>
      <c r="J991" s="31"/>
      <c r="K991" s="19"/>
      <c r="L991" s="19"/>
      <c r="M991" s="19"/>
      <c r="N991" s="31"/>
      <c r="O991" s="31"/>
      <c r="P991" s="19"/>
      <c r="Q991" s="19"/>
    </row>
    <row r="992" spans="1:17" ht="46.5" customHeight="1" x14ac:dyDescent="0.7">
      <c r="A992" s="19"/>
      <c r="B992" s="19"/>
      <c r="C992" s="19"/>
      <c r="D992" s="31"/>
      <c r="E992" s="31"/>
      <c r="F992" s="31"/>
      <c r="G992" s="31"/>
      <c r="H992" s="31"/>
      <c r="I992" s="31"/>
      <c r="J992" s="31"/>
      <c r="K992" s="19"/>
      <c r="L992" s="19"/>
      <c r="M992" s="19"/>
      <c r="N992" s="31"/>
      <c r="O992" s="31"/>
      <c r="P992" s="19"/>
      <c r="Q992" s="19"/>
    </row>
    <row r="993" spans="1:17" ht="46.5" customHeight="1" x14ac:dyDescent="0.7">
      <c r="A993" s="19"/>
      <c r="B993" s="19"/>
      <c r="C993" s="19"/>
      <c r="D993" s="31"/>
      <c r="E993" s="31"/>
      <c r="F993" s="31"/>
      <c r="G993" s="31"/>
      <c r="H993" s="31"/>
      <c r="I993" s="31"/>
      <c r="J993" s="31"/>
      <c r="K993" s="19"/>
      <c r="L993" s="19"/>
      <c r="M993" s="19"/>
      <c r="N993" s="31"/>
      <c r="O993" s="31"/>
      <c r="P993" s="19"/>
      <c r="Q993" s="19"/>
    </row>
    <row r="994" spans="1:17" ht="46.5" customHeight="1" x14ac:dyDescent="0.7">
      <c r="A994" s="19"/>
      <c r="B994" s="19"/>
      <c r="C994" s="19"/>
      <c r="D994" s="31"/>
      <c r="E994" s="31"/>
      <c r="F994" s="31"/>
      <c r="G994" s="31"/>
      <c r="H994" s="31"/>
      <c r="I994" s="31"/>
      <c r="J994" s="31"/>
      <c r="K994" s="19"/>
      <c r="L994" s="19"/>
      <c r="M994" s="19"/>
      <c r="N994" s="31"/>
      <c r="O994" s="31"/>
      <c r="P994" s="19"/>
      <c r="Q994" s="19"/>
    </row>
    <row r="995" spans="1:17" ht="46.5" customHeight="1" x14ac:dyDescent="0.7">
      <c r="A995" s="19"/>
      <c r="B995" s="19"/>
      <c r="C995" s="19"/>
      <c r="D995" s="31"/>
      <c r="E995" s="31"/>
      <c r="F995" s="31"/>
      <c r="G995" s="31"/>
      <c r="H995" s="31"/>
      <c r="I995" s="31"/>
      <c r="J995" s="31"/>
      <c r="K995" s="19"/>
      <c r="L995" s="19"/>
      <c r="M995" s="19"/>
      <c r="N995" s="31"/>
      <c r="O995" s="31"/>
      <c r="P995" s="19"/>
      <c r="Q995" s="19"/>
    </row>
    <row r="996" spans="1:17" ht="46.5" customHeight="1" x14ac:dyDescent="0.7">
      <c r="A996" s="19"/>
      <c r="B996" s="19"/>
      <c r="C996" s="19"/>
      <c r="D996" s="31"/>
      <c r="E996" s="31"/>
      <c r="F996" s="31"/>
      <c r="G996" s="31"/>
      <c r="H996" s="31"/>
      <c r="I996" s="31"/>
      <c r="J996" s="31"/>
      <c r="K996" s="19"/>
      <c r="L996" s="19"/>
      <c r="M996" s="19"/>
      <c r="N996" s="31"/>
      <c r="O996" s="31"/>
      <c r="P996" s="19"/>
      <c r="Q996" s="19"/>
    </row>
    <row r="997" spans="1:17" ht="46.5" customHeight="1" x14ac:dyDescent="0.7">
      <c r="A997" s="19"/>
      <c r="B997" s="19"/>
      <c r="C997" s="19"/>
      <c r="D997" s="31"/>
      <c r="E997" s="31"/>
      <c r="F997" s="31"/>
      <c r="G997" s="31"/>
      <c r="H997" s="31"/>
      <c r="I997" s="31"/>
      <c r="J997" s="31"/>
      <c r="K997" s="19"/>
      <c r="L997" s="19"/>
      <c r="M997" s="19"/>
      <c r="N997" s="31"/>
      <c r="O997" s="31"/>
      <c r="P997" s="19"/>
      <c r="Q997" s="19"/>
    </row>
    <row r="998" spans="1:17" ht="46.5" customHeight="1" x14ac:dyDescent="0.7">
      <c r="A998" s="19"/>
      <c r="B998" s="19"/>
      <c r="C998" s="19"/>
      <c r="D998" s="31"/>
      <c r="E998" s="31"/>
      <c r="F998" s="31"/>
      <c r="G998" s="31"/>
      <c r="H998" s="31"/>
      <c r="I998" s="31"/>
      <c r="J998" s="31"/>
      <c r="K998" s="19"/>
      <c r="L998" s="19"/>
      <c r="M998" s="19"/>
      <c r="N998" s="31"/>
      <c r="O998" s="31"/>
      <c r="P998" s="19"/>
      <c r="Q998" s="19"/>
    </row>
    <row r="999" spans="1:17" ht="46.5" customHeight="1" x14ac:dyDescent="0.7">
      <c r="A999" s="19"/>
      <c r="B999" s="19"/>
      <c r="C999" s="19"/>
      <c r="D999" s="31"/>
      <c r="E999" s="31"/>
      <c r="F999" s="31"/>
      <c r="G999" s="31"/>
      <c r="H999" s="31"/>
      <c r="I999" s="31"/>
      <c r="J999" s="31"/>
      <c r="K999" s="19"/>
      <c r="L999" s="19"/>
      <c r="M999" s="19"/>
      <c r="N999" s="31"/>
      <c r="O999" s="31"/>
      <c r="P999" s="19"/>
      <c r="Q999" s="19"/>
    </row>
    <row r="1000" spans="1:17" ht="46.5" customHeight="1" x14ac:dyDescent="0.7">
      <c r="A1000" s="19"/>
      <c r="B1000" s="19"/>
      <c r="C1000" s="19"/>
      <c r="D1000" s="31"/>
      <c r="E1000" s="31"/>
      <c r="F1000" s="31"/>
      <c r="G1000" s="31"/>
      <c r="H1000" s="31"/>
      <c r="I1000" s="31"/>
      <c r="J1000" s="31"/>
      <c r="K1000" s="19"/>
      <c r="L1000" s="19"/>
      <c r="M1000" s="19"/>
      <c r="N1000" s="31"/>
      <c r="O1000" s="31"/>
      <c r="P1000" s="19"/>
      <c r="Q1000" s="19"/>
    </row>
  </sheetData>
  <mergeCells count="528">
    <mergeCell ref="P25:P26"/>
    <mergeCell ref="Q25:Q26"/>
    <mergeCell ref="H25:H26"/>
    <mergeCell ref="I25:I26"/>
    <mergeCell ref="J25:J26"/>
    <mergeCell ref="K25:K26"/>
    <mergeCell ref="L25:L26"/>
    <mergeCell ref="M25:M26"/>
    <mergeCell ref="N25:N26"/>
    <mergeCell ref="B25:B26"/>
    <mergeCell ref="C25:C26"/>
    <mergeCell ref="D25:D26"/>
    <mergeCell ref="E25:E26"/>
    <mergeCell ref="F25:F26"/>
    <mergeCell ref="G25:G26"/>
    <mergeCell ref="A27:C27"/>
    <mergeCell ref="N28:N29"/>
    <mergeCell ref="O28:O29"/>
    <mergeCell ref="A25:A26"/>
    <mergeCell ref="A28:A29"/>
    <mergeCell ref="B28:B29"/>
    <mergeCell ref="C28:C29"/>
    <mergeCell ref="D28:D29"/>
    <mergeCell ref="E28:E29"/>
    <mergeCell ref="F28:F29"/>
    <mergeCell ref="O25:O26"/>
    <mergeCell ref="P28:P29"/>
    <mergeCell ref="Q28:Q29"/>
    <mergeCell ref="Q30:Q31"/>
    <mergeCell ref="G28:G29"/>
    <mergeCell ref="H28:H29"/>
    <mergeCell ref="I28:I29"/>
    <mergeCell ref="J28:J29"/>
    <mergeCell ref="K28:K29"/>
    <mergeCell ref="L28:L29"/>
    <mergeCell ref="M28:M29"/>
    <mergeCell ref="O30:O31"/>
    <mergeCell ref="P30:P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O36:O37"/>
    <mergeCell ref="P36:P37"/>
    <mergeCell ref="H36:H37"/>
    <mergeCell ref="I36:I37"/>
    <mergeCell ref="J36:J37"/>
    <mergeCell ref="K36:K37"/>
    <mergeCell ref="L36:L37"/>
    <mergeCell ref="M36:M37"/>
    <mergeCell ref="N36:N37"/>
    <mergeCell ref="O32:O33"/>
    <mergeCell ref="P32:P33"/>
    <mergeCell ref="O34:O35"/>
    <mergeCell ref="P34:P35"/>
    <mergeCell ref="A34:A35"/>
    <mergeCell ref="B34:B35"/>
    <mergeCell ref="C34:C35"/>
    <mergeCell ref="D34:D35"/>
    <mergeCell ref="Q32:Q33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Q34:Q35"/>
    <mergeCell ref="Q36:Q37"/>
    <mergeCell ref="H34:H35"/>
    <mergeCell ref="I34:I35"/>
    <mergeCell ref="J34:J35"/>
    <mergeCell ref="K34:K35"/>
    <mergeCell ref="L34:L35"/>
    <mergeCell ref="M34:M35"/>
    <mergeCell ref="N34:N35"/>
    <mergeCell ref="E34:E35"/>
    <mergeCell ref="F34:F35"/>
    <mergeCell ref="G34:G35"/>
    <mergeCell ref="A36:A37"/>
    <mergeCell ref="B36:B37"/>
    <mergeCell ref="C36:C37"/>
    <mergeCell ref="D36:D37"/>
    <mergeCell ref="E36:E37"/>
    <mergeCell ref="F36:F37"/>
    <mergeCell ref="G36:G37"/>
    <mergeCell ref="Q38:Q39"/>
    <mergeCell ref="H38:H39"/>
    <mergeCell ref="I38:I39"/>
    <mergeCell ref="J38:J39"/>
    <mergeCell ref="K38:K39"/>
    <mergeCell ref="L38:L39"/>
    <mergeCell ref="M38:M39"/>
    <mergeCell ref="N38:N39"/>
    <mergeCell ref="N43:N44"/>
    <mergeCell ref="O43:O44"/>
    <mergeCell ref="H43:H44"/>
    <mergeCell ref="I43:I44"/>
    <mergeCell ref="J43:J44"/>
    <mergeCell ref="K43:K44"/>
    <mergeCell ref="L43:L44"/>
    <mergeCell ref="M43:M44"/>
    <mergeCell ref="Q40:Q41"/>
    <mergeCell ref="P43:P44"/>
    <mergeCell ref="Q43:Q44"/>
    <mergeCell ref="A38:A39"/>
    <mergeCell ref="B38:B39"/>
    <mergeCell ref="C38:C39"/>
    <mergeCell ref="D38:D39"/>
    <mergeCell ref="E38:E39"/>
    <mergeCell ref="F38:F39"/>
    <mergeCell ref="G38:G39"/>
    <mergeCell ref="O40:O41"/>
    <mergeCell ref="P40:P41"/>
    <mergeCell ref="B40:B41"/>
    <mergeCell ref="C40:C41"/>
    <mergeCell ref="D40:D41"/>
    <mergeCell ref="E40:E41"/>
    <mergeCell ref="F40:F41"/>
    <mergeCell ref="G40:G41"/>
    <mergeCell ref="O38:O39"/>
    <mergeCell ref="P38:P39"/>
    <mergeCell ref="H40:H41"/>
    <mergeCell ref="I40:I41"/>
    <mergeCell ref="J40:J41"/>
    <mergeCell ref="K40:K41"/>
    <mergeCell ref="L40:L41"/>
    <mergeCell ref="M40:M41"/>
    <mergeCell ref="N40:N41"/>
    <mergeCell ref="A42:C42"/>
    <mergeCell ref="A40:A41"/>
    <mergeCell ref="A43:A44"/>
    <mergeCell ref="B43:B44"/>
    <mergeCell ref="C43:C44"/>
    <mergeCell ref="D43:D44"/>
    <mergeCell ref="E43:E44"/>
    <mergeCell ref="F43:F44"/>
    <mergeCell ref="O49:O50"/>
    <mergeCell ref="A47:A48"/>
    <mergeCell ref="B47:B48"/>
    <mergeCell ref="C47:C48"/>
    <mergeCell ref="D47:D48"/>
    <mergeCell ref="E47:E48"/>
    <mergeCell ref="F47:F48"/>
    <mergeCell ref="G47:G48"/>
    <mergeCell ref="A49:A50"/>
    <mergeCell ref="B49:B50"/>
    <mergeCell ref="C49:C50"/>
    <mergeCell ref="D49:D50"/>
    <mergeCell ref="E49:E50"/>
    <mergeCell ref="F49:F50"/>
    <mergeCell ref="G49:G50"/>
    <mergeCell ref="G43:G44"/>
    <mergeCell ref="Q45:Q46"/>
    <mergeCell ref="H45:H46"/>
    <mergeCell ref="I45:I46"/>
    <mergeCell ref="J45:J46"/>
    <mergeCell ref="K45:K46"/>
    <mergeCell ref="L45:L46"/>
    <mergeCell ref="M45:M46"/>
    <mergeCell ref="N45:N46"/>
    <mergeCell ref="A45:A46"/>
    <mergeCell ref="B45:B46"/>
    <mergeCell ref="C45:C46"/>
    <mergeCell ref="D45:D46"/>
    <mergeCell ref="E45:E46"/>
    <mergeCell ref="F45:F46"/>
    <mergeCell ref="G45:G46"/>
    <mergeCell ref="O45:O46"/>
    <mergeCell ref="P45:P46"/>
    <mergeCell ref="Q47:Q48"/>
    <mergeCell ref="Q49:Q50"/>
    <mergeCell ref="H47:H48"/>
    <mergeCell ref="I47:I48"/>
    <mergeCell ref="J47:J48"/>
    <mergeCell ref="K47:K48"/>
    <mergeCell ref="L47:L48"/>
    <mergeCell ref="M47:M48"/>
    <mergeCell ref="N47:N48"/>
    <mergeCell ref="P49:P50"/>
    <mergeCell ref="H49:H50"/>
    <mergeCell ref="I49:I50"/>
    <mergeCell ref="J49:J50"/>
    <mergeCell ref="K49:K50"/>
    <mergeCell ref="L49:L50"/>
    <mergeCell ref="M49:M50"/>
    <mergeCell ref="N49:N50"/>
    <mergeCell ref="O47:O48"/>
    <mergeCell ref="P47:P48"/>
    <mergeCell ref="B53:B54"/>
    <mergeCell ref="C53:C54"/>
    <mergeCell ref="D53:D54"/>
    <mergeCell ref="E53:E54"/>
    <mergeCell ref="F53:F54"/>
    <mergeCell ref="G53:G54"/>
    <mergeCell ref="O51:O52"/>
    <mergeCell ref="P51:P52"/>
    <mergeCell ref="Q51:Q52"/>
    <mergeCell ref="H51:H52"/>
    <mergeCell ref="I51:I52"/>
    <mergeCell ref="J51:J52"/>
    <mergeCell ref="K51:K52"/>
    <mergeCell ref="L51:L52"/>
    <mergeCell ref="M51:M52"/>
    <mergeCell ref="N51:N52"/>
    <mergeCell ref="Q53:Q54"/>
    <mergeCell ref="Q55:Q56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P58:P59"/>
    <mergeCell ref="Q58:Q59"/>
    <mergeCell ref="G58:G59"/>
    <mergeCell ref="H58:H59"/>
    <mergeCell ref="I58:I59"/>
    <mergeCell ref="J58:J59"/>
    <mergeCell ref="K58:K59"/>
    <mergeCell ref="L58:L59"/>
    <mergeCell ref="M58:M59"/>
    <mergeCell ref="Q60:Q61"/>
    <mergeCell ref="H60:H61"/>
    <mergeCell ref="I60:I61"/>
    <mergeCell ref="J60:J61"/>
    <mergeCell ref="K60:K61"/>
    <mergeCell ref="L60:L61"/>
    <mergeCell ref="M60:M61"/>
    <mergeCell ref="N60:N61"/>
    <mergeCell ref="B55:B56"/>
    <mergeCell ref="C55:C56"/>
    <mergeCell ref="D55:D56"/>
    <mergeCell ref="E55:E56"/>
    <mergeCell ref="F55:F56"/>
    <mergeCell ref="G55:G56"/>
    <mergeCell ref="A57:C57"/>
    <mergeCell ref="A55:A56"/>
    <mergeCell ref="A58:A59"/>
    <mergeCell ref="B58:B59"/>
    <mergeCell ref="C58:C59"/>
    <mergeCell ref="D58:D59"/>
    <mergeCell ref="E58:E59"/>
    <mergeCell ref="F58:F59"/>
    <mergeCell ref="N58:N59"/>
    <mergeCell ref="O58:O59"/>
    <mergeCell ref="A60:A61"/>
    <mergeCell ref="B60:B61"/>
    <mergeCell ref="C60:C61"/>
    <mergeCell ref="D60:D61"/>
    <mergeCell ref="E60:E61"/>
    <mergeCell ref="F60:F61"/>
    <mergeCell ref="G60:G61"/>
    <mergeCell ref="O62:O63"/>
    <mergeCell ref="P62:P63"/>
    <mergeCell ref="O60:O61"/>
    <mergeCell ref="P60:P61"/>
    <mergeCell ref="H62:H63"/>
    <mergeCell ref="I62:I63"/>
    <mergeCell ref="J62:J63"/>
    <mergeCell ref="K62:K63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Q62:Q63"/>
    <mergeCell ref="Q64:Q65"/>
    <mergeCell ref="A64:A65"/>
    <mergeCell ref="B64:B65"/>
    <mergeCell ref="C64:C65"/>
    <mergeCell ref="D64:D65"/>
    <mergeCell ref="E64:E65"/>
    <mergeCell ref="F64:F65"/>
    <mergeCell ref="G64:G65"/>
    <mergeCell ref="O64:O65"/>
    <mergeCell ref="P64:P65"/>
    <mergeCell ref="H64:H65"/>
    <mergeCell ref="I64:I65"/>
    <mergeCell ref="J64:J65"/>
    <mergeCell ref="K64:K65"/>
    <mergeCell ref="L64:L65"/>
    <mergeCell ref="M64:M65"/>
    <mergeCell ref="N64:N65"/>
    <mergeCell ref="G62:G63"/>
    <mergeCell ref="Q66:Q67"/>
    <mergeCell ref="H66:H67"/>
    <mergeCell ref="I66:I67"/>
    <mergeCell ref="J66:J67"/>
    <mergeCell ref="K66:K67"/>
    <mergeCell ref="L66:L67"/>
    <mergeCell ref="M66:M67"/>
    <mergeCell ref="N66:N67"/>
    <mergeCell ref="O70:O71"/>
    <mergeCell ref="P70:P71"/>
    <mergeCell ref="H70:H71"/>
    <mergeCell ref="I70:I71"/>
    <mergeCell ref="J70:J71"/>
    <mergeCell ref="K70:K71"/>
    <mergeCell ref="L70:L71"/>
    <mergeCell ref="M70:M71"/>
    <mergeCell ref="N70:N71"/>
    <mergeCell ref="Q68:Q69"/>
    <mergeCell ref="Q70:Q71"/>
    <mergeCell ref="N68:N69"/>
    <mergeCell ref="A66:A67"/>
    <mergeCell ref="B66:B67"/>
    <mergeCell ref="C66:C67"/>
    <mergeCell ref="D66:D67"/>
    <mergeCell ref="E66:E67"/>
    <mergeCell ref="F66:F67"/>
    <mergeCell ref="G66:G67"/>
    <mergeCell ref="O68:O69"/>
    <mergeCell ref="P68:P69"/>
    <mergeCell ref="A68:A69"/>
    <mergeCell ref="B68:B69"/>
    <mergeCell ref="C68:C69"/>
    <mergeCell ref="D68:D69"/>
    <mergeCell ref="E68:E69"/>
    <mergeCell ref="F68:F69"/>
    <mergeCell ref="G68:G69"/>
    <mergeCell ref="O66:O67"/>
    <mergeCell ref="P66:P67"/>
    <mergeCell ref="H68:H69"/>
    <mergeCell ref="I68:I69"/>
    <mergeCell ref="J68:J69"/>
    <mergeCell ref="K68:K69"/>
    <mergeCell ref="L68:L69"/>
    <mergeCell ref="M68:M69"/>
    <mergeCell ref="A70:A71"/>
    <mergeCell ref="B70:B71"/>
    <mergeCell ref="C70:C71"/>
    <mergeCell ref="D70:D71"/>
    <mergeCell ref="E70:E71"/>
    <mergeCell ref="F70:F71"/>
    <mergeCell ref="G70:G71"/>
    <mergeCell ref="A72:C72"/>
    <mergeCell ref="O11:O12"/>
    <mergeCell ref="O17:O18"/>
    <mergeCell ref="A15:A16"/>
    <mergeCell ref="B15:B16"/>
    <mergeCell ref="C15:C16"/>
    <mergeCell ref="D15:D16"/>
    <mergeCell ref="E15:E16"/>
    <mergeCell ref="F15:F16"/>
    <mergeCell ref="G15:G16"/>
    <mergeCell ref="A17:A18"/>
    <mergeCell ref="B17:B18"/>
    <mergeCell ref="C17:C18"/>
    <mergeCell ref="D17:D18"/>
    <mergeCell ref="E17:E18"/>
    <mergeCell ref="F17:F18"/>
    <mergeCell ref="G17:G18"/>
    <mergeCell ref="I11:I12"/>
    <mergeCell ref="J11:J12"/>
    <mergeCell ref="K11:K12"/>
    <mergeCell ref="L11:L12"/>
    <mergeCell ref="M11:M12"/>
    <mergeCell ref="N11:N12"/>
    <mergeCell ref="J6:J7"/>
    <mergeCell ref="N6:N7"/>
    <mergeCell ref="K7:M7"/>
    <mergeCell ref="A1:P5"/>
    <mergeCell ref="Q1:Q5"/>
    <mergeCell ref="A6:A7"/>
    <mergeCell ref="B6:B7"/>
    <mergeCell ref="D6:H6"/>
    <mergeCell ref="I6:I7"/>
    <mergeCell ref="Q6:Q7"/>
    <mergeCell ref="M9:M10"/>
    <mergeCell ref="N9:N10"/>
    <mergeCell ref="O9:O10"/>
    <mergeCell ref="P9:P10"/>
    <mergeCell ref="Q9:Q10"/>
    <mergeCell ref="O6:O7"/>
    <mergeCell ref="P6:P7"/>
    <mergeCell ref="Q11:Q12"/>
    <mergeCell ref="F9:F10"/>
    <mergeCell ref="G9:G10"/>
    <mergeCell ref="H9:H10"/>
    <mergeCell ref="I9:I10"/>
    <mergeCell ref="J9:J10"/>
    <mergeCell ref="K9:K10"/>
    <mergeCell ref="L9:L10"/>
    <mergeCell ref="C6:C7"/>
    <mergeCell ref="A8:C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F11:F12"/>
    <mergeCell ref="G11:G12"/>
    <mergeCell ref="P11:P12"/>
    <mergeCell ref="H11:H12"/>
    <mergeCell ref="Q13:Q14"/>
    <mergeCell ref="H13:H14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D13:D14"/>
    <mergeCell ref="E13:E14"/>
    <mergeCell ref="F13:F14"/>
    <mergeCell ref="G13:G14"/>
    <mergeCell ref="O13:O14"/>
    <mergeCell ref="P13:P14"/>
    <mergeCell ref="Q15:Q16"/>
    <mergeCell ref="Q17:Q18"/>
    <mergeCell ref="H15:H16"/>
    <mergeCell ref="I15:I16"/>
    <mergeCell ref="J15:J16"/>
    <mergeCell ref="K15:K16"/>
    <mergeCell ref="L15:L16"/>
    <mergeCell ref="M15:M16"/>
    <mergeCell ref="N15:N16"/>
    <mergeCell ref="P17:P18"/>
    <mergeCell ref="H17:H18"/>
    <mergeCell ref="I17:I18"/>
    <mergeCell ref="J17:J18"/>
    <mergeCell ref="K17:K18"/>
    <mergeCell ref="L17:L18"/>
    <mergeCell ref="M17:M18"/>
    <mergeCell ref="N17:N18"/>
    <mergeCell ref="O15:O16"/>
    <mergeCell ref="P15:P16"/>
    <mergeCell ref="Q19:Q20"/>
    <mergeCell ref="H19:H20"/>
    <mergeCell ref="I19:I20"/>
    <mergeCell ref="J19:J20"/>
    <mergeCell ref="K19:K20"/>
    <mergeCell ref="L19:L20"/>
    <mergeCell ref="M19:M20"/>
    <mergeCell ref="N19:N20"/>
    <mergeCell ref="O23:O24"/>
    <mergeCell ref="P23:P24"/>
    <mergeCell ref="H23:H24"/>
    <mergeCell ref="I23:I24"/>
    <mergeCell ref="J23:J24"/>
    <mergeCell ref="K23:K24"/>
    <mergeCell ref="L23:L24"/>
    <mergeCell ref="M23:M24"/>
    <mergeCell ref="N23:N24"/>
    <mergeCell ref="Q21:Q22"/>
    <mergeCell ref="Q23:Q24"/>
    <mergeCell ref="N21:N22"/>
    <mergeCell ref="A19:A20"/>
    <mergeCell ref="B19:B20"/>
    <mergeCell ref="C19:C20"/>
    <mergeCell ref="D19:D20"/>
    <mergeCell ref="E19:E20"/>
    <mergeCell ref="F19:F20"/>
    <mergeCell ref="G19:G20"/>
    <mergeCell ref="O21:O22"/>
    <mergeCell ref="P21:P22"/>
    <mergeCell ref="A21:A22"/>
    <mergeCell ref="B21:B22"/>
    <mergeCell ref="C21:C22"/>
    <mergeCell ref="D21:D22"/>
    <mergeCell ref="E21:E22"/>
    <mergeCell ref="F21:F22"/>
    <mergeCell ref="G21:G22"/>
    <mergeCell ref="O19:O20"/>
    <mergeCell ref="P19:P20"/>
    <mergeCell ref="H21:H22"/>
    <mergeCell ref="I21:I22"/>
    <mergeCell ref="J21:J22"/>
    <mergeCell ref="K21:K22"/>
    <mergeCell ref="L21:L22"/>
    <mergeCell ref="M21:M22"/>
    <mergeCell ref="A23:A24"/>
    <mergeCell ref="B23:B24"/>
    <mergeCell ref="C23:C24"/>
    <mergeCell ref="D23:D24"/>
    <mergeCell ref="E23:E24"/>
    <mergeCell ref="F23:F24"/>
    <mergeCell ref="G23:G24"/>
    <mergeCell ref="O55:O56"/>
    <mergeCell ref="P55:P56"/>
    <mergeCell ref="H55:H56"/>
    <mergeCell ref="I55:I56"/>
    <mergeCell ref="J55:J56"/>
    <mergeCell ref="K55:K56"/>
    <mergeCell ref="L55:L56"/>
    <mergeCell ref="M55:M56"/>
    <mergeCell ref="N55:N56"/>
    <mergeCell ref="A51:A52"/>
    <mergeCell ref="B51:B52"/>
    <mergeCell ref="C51:C52"/>
    <mergeCell ref="D51:D52"/>
    <mergeCell ref="E51:E52"/>
    <mergeCell ref="F51:F52"/>
    <mergeCell ref="G51:G52"/>
    <mergeCell ref="A53:A54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8AD2-8085-40FD-9657-77C1176F3AD7}">
  <dimension ref="A1:O68"/>
  <sheetViews>
    <sheetView topLeftCell="E1" zoomScale="25" zoomScaleNormal="25" workbookViewId="0">
      <selection activeCell="I11" sqref="I11:I12"/>
    </sheetView>
  </sheetViews>
  <sheetFormatPr defaultColWidth="9.140625" defaultRowHeight="15" x14ac:dyDescent="0.25"/>
  <cols>
    <col min="1" max="1" width="41.85546875" customWidth="1"/>
    <col min="2" max="2" width="32.28515625" customWidth="1"/>
    <col min="3" max="3" width="52.7109375" customWidth="1"/>
    <col min="4" max="4" width="72.28515625" customWidth="1"/>
    <col min="5" max="5" width="57.28515625" customWidth="1"/>
    <col min="6" max="6" width="52.5703125" customWidth="1"/>
    <col min="7" max="7" width="65.28515625" customWidth="1"/>
    <col min="8" max="8" width="75.7109375" customWidth="1"/>
    <col min="9" max="9" width="73.85546875" customWidth="1"/>
    <col min="10" max="11" width="17.7109375" hidden="1" customWidth="1"/>
    <col min="12" max="12" width="22.42578125" customWidth="1"/>
    <col min="13" max="13" width="50.85546875" customWidth="1"/>
    <col min="14" max="14" width="28.7109375" customWidth="1"/>
    <col min="15" max="15" width="97.5703125" style="57" bestFit="1" customWidth="1"/>
  </cols>
  <sheetData>
    <row r="1" spans="1:15" ht="311.25" customHeight="1" x14ac:dyDescent="0.25">
      <c r="A1" s="175" t="s">
        <v>106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15" ht="60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49"/>
      <c r="K2" s="49"/>
      <c r="L2" s="181" t="s">
        <v>8</v>
      </c>
      <c r="M2" s="181" t="s">
        <v>9</v>
      </c>
      <c r="N2" s="182" t="s">
        <v>10</v>
      </c>
      <c r="O2" s="183" t="s">
        <v>11</v>
      </c>
    </row>
    <row r="3" spans="1:15" ht="110.25" customHeight="1" x14ac:dyDescent="0.25">
      <c r="A3" s="177"/>
      <c r="B3" s="177"/>
      <c r="C3" s="50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4" t="s">
        <v>7</v>
      </c>
      <c r="K3" s="184"/>
      <c r="L3" s="181"/>
      <c r="M3" s="181"/>
      <c r="N3" s="182"/>
      <c r="O3" s="183"/>
    </row>
    <row r="4" spans="1:15" ht="48" customHeight="1" x14ac:dyDescent="0.25">
      <c r="A4" s="171" t="s">
        <v>20</v>
      </c>
      <c r="B4" s="171"/>
      <c r="C4" s="52">
        <f t="shared" ref="C4:H4" si="0">SUBTOTAL(9,C5:C18)</f>
        <v>5078115</v>
      </c>
      <c r="D4" s="52">
        <f t="shared" si="0"/>
        <v>30806118</v>
      </c>
      <c r="E4" s="52">
        <f t="shared" si="0"/>
        <v>75683381</v>
      </c>
      <c r="F4" s="52">
        <f t="shared" si="0"/>
        <v>37565724</v>
      </c>
      <c r="G4" s="52">
        <f t="shared" si="0"/>
        <v>14329716</v>
      </c>
      <c r="H4" s="52">
        <f t="shared" si="0"/>
        <v>146797200.01234567</v>
      </c>
      <c r="I4" s="52">
        <f>SUM(I5:K18)</f>
        <v>166468025</v>
      </c>
      <c r="J4" s="52">
        <f>SUBTOTAL(9,J5:J18)</f>
        <v>0</v>
      </c>
      <c r="K4" s="52">
        <f>SUBTOTAL(9,K5:K18)</f>
        <v>0</v>
      </c>
      <c r="L4" s="52">
        <f>SUBTOTAL(9,L5:L18)</f>
        <v>194</v>
      </c>
      <c r="M4" s="52">
        <f>I4/L4</f>
        <v>858082.60309278348</v>
      </c>
      <c r="N4" s="52">
        <f>SUBTOTAL(9,N5:N18)</f>
        <v>71</v>
      </c>
      <c r="O4" s="55"/>
    </row>
    <row r="5" spans="1:15" ht="27" customHeight="1" x14ac:dyDescent="0.25">
      <c r="A5" s="162">
        <v>45901</v>
      </c>
      <c r="B5" s="163" t="s">
        <v>30</v>
      </c>
      <c r="C5" s="159"/>
      <c r="D5" s="159"/>
      <c r="E5" s="159">
        <v>3418954</v>
      </c>
      <c r="F5" s="159"/>
      <c r="G5" s="159"/>
      <c r="H5" s="159">
        <f>I5/1.134</f>
        <v>3014950.617283951</v>
      </c>
      <c r="I5" s="161">
        <f>SUM(C5:G6)</f>
        <v>3418954</v>
      </c>
      <c r="J5" s="159"/>
      <c r="K5" s="159"/>
      <c r="L5" s="159">
        <v>9</v>
      </c>
      <c r="M5" s="159">
        <f>I5/L5</f>
        <v>379883.77777777775</v>
      </c>
      <c r="N5" s="159">
        <v>2</v>
      </c>
      <c r="O5" s="165"/>
    </row>
    <row r="6" spans="1:15" ht="27.75" customHeight="1" x14ac:dyDescent="0.25">
      <c r="A6" s="162"/>
      <c r="B6" s="164"/>
      <c r="C6" s="160"/>
      <c r="D6" s="160"/>
      <c r="E6" s="160"/>
      <c r="F6" s="160"/>
      <c r="G6" s="160"/>
      <c r="H6" s="160"/>
      <c r="I6" s="161"/>
      <c r="J6" s="160"/>
      <c r="K6" s="160"/>
      <c r="L6" s="160"/>
      <c r="M6" s="160"/>
      <c r="N6" s="160"/>
      <c r="O6" s="166"/>
    </row>
    <row r="7" spans="1:15" ht="27" customHeight="1" x14ac:dyDescent="0.25">
      <c r="A7" s="162">
        <v>45902</v>
      </c>
      <c r="B7" s="163" t="s">
        <v>31</v>
      </c>
      <c r="C7" s="161">
        <v>2018520</v>
      </c>
      <c r="D7" s="161">
        <v>30806118</v>
      </c>
      <c r="E7" s="161">
        <v>26819948</v>
      </c>
      <c r="F7" s="161"/>
      <c r="G7" s="161"/>
      <c r="H7" s="159">
        <f>I7/1.134</f>
        <v>52596636.684303358</v>
      </c>
      <c r="I7" s="161">
        <f>SUM(C7:G8)</f>
        <v>59644586</v>
      </c>
      <c r="J7" s="161"/>
      <c r="K7" s="161"/>
      <c r="L7" s="161">
        <v>36</v>
      </c>
      <c r="M7" s="159">
        <f>I7/L7</f>
        <v>1656794.0555555555</v>
      </c>
      <c r="N7" s="161">
        <v>18</v>
      </c>
      <c r="O7" s="165"/>
    </row>
    <row r="8" spans="1:15" ht="27" customHeight="1" x14ac:dyDescent="0.25">
      <c r="A8" s="162"/>
      <c r="B8" s="164"/>
      <c r="C8" s="161"/>
      <c r="D8" s="161"/>
      <c r="E8" s="161"/>
      <c r="F8" s="161"/>
      <c r="G8" s="161"/>
      <c r="H8" s="160"/>
      <c r="I8" s="161"/>
      <c r="J8" s="161"/>
      <c r="K8" s="161"/>
      <c r="L8" s="161"/>
      <c r="M8" s="160"/>
      <c r="N8" s="161"/>
      <c r="O8" s="166"/>
    </row>
    <row r="9" spans="1:15" ht="27" customHeight="1" x14ac:dyDescent="0.25">
      <c r="A9" s="162">
        <v>45903</v>
      </c>
      <c r="B9" s="163" t="s">
        <v>32</v>
      </c>
      <c r="C9" s="161"/>
      <c r="D9" s="161"/>
      <c r="E9" s="161">
        <v>2042505</v>
      </c>
      <c r="F9" s="161">
        <f>567000+1177092</f>
        <v>1744092</v>
      </c>
      <c r="G9" s="161"/>
      <c r="H9" s="159">
        <f>I9/1.134</f>
        <v>3339150.7936507938</v>
      </c>
      <c r="I9" s="161">
        <f>SUM(C9:G10)</f>
        <v>3786597</v>
      </c>
      <c r="J9" s="161"/>
      <c r="K9" s="161"/>
      <c r="L9" s="161">
        <v>5</v>
      </c>
      <c r="M9" s="159">
        <f>I9/L9</f>
        <v>757319.4</v>
      </c>
      <c r="N9" s="161">
        <v>5</v>
      </c>
      <c r="O9" s="167" t="s">
        <v>73</v>
      </c>
    </row>
    <row r="10" spans="1:15" ht="27" customHeight="1" x14ac:dyDescent="0.25">
      <c r="A10" s="162"/>
      <c r="B10" s="164"/>
      <c r="C10" s="161"/>
      <c r="D10" s="161"/>
      <c r="E10" s="161"/>
      <c r="F10" s="161"/>
      <c r="G10" s="161"/>
      <c r="H10" s="160"/>
      <c r="I10" s="161"/>
      <c r="J10" s="161"/>
      <c r="K10" s="161"/>
      <c r="L10" s="161"/>
      <c r="M10" s="160"/>
      <c r="N10" s="161"/>
      <c r="O10" s="166"/>
    </row>
    <row r="11" spans="1:15" ht="27" customHeight="1" x14ac:dyDescent="0.25">
      <c r="A11" s="162">
        <v>45904</v>
      </c>
      <c r="B11" s="163" t="s">
        <v>21</v>
      </c>
      <c r="C11" s="161">
        <v>3059595</v>
      </c>
      <c r="D11" s="161"/>
      <c r="E11" s="161">
        <v>24774050</v>
      </c>
      <c r="F11" s="161"/>
      <c r="G11" s="161"/>
      <c r="H11" s="159">
        <f>I11/1.134</f>
        <v>24544660.493827164</v>
      </c>
      <c r="I11" s="161">
        <f>SUM(C11:G12)</f>
        <v>27833645</v>
      </c>
      <c r="J11" s="161"/>
      <c r="K11" s="161"/>
      <c r="L11" s="161">
        <v>89</v>
      </c>
      <c r="M11" s="159">
        <f>I11/L11</f>
        <v>312737.58426966291</v>
      </c>
      <c r="N11" s="161">
        <v>33</v>
      </c>
      <c r="O11" s="165"/>
    </row>
    <row r="12" spans="1:15" ht="27" customHeight="1" x14ac:dyDescent="0.25">
      <c r="A12" s="162"/>
      <c r="B12" s="164"/>
      <c r="C12" s="161"/>
      <c r="D12" s="161"/>
      <c r="E12" s="161"/>
      <c r="F12" s="161"/>
      <c r="G12" s="161"/>
      <c r="H12" s="160"/>
      <c r="I12" s="161"/>
      <c r="J12" s="161"/>
      <c r="K12" s="161"/>
      <c r="L12" s="161"/>
      <c r="M12" s="160"/>
      <c r="N12" s="161"/>
      <c r="O12" s="166"/>
    </row>
    <row r="13" spans="1:15" ht="27" customHeight="1" x14ac:dyDescent="0.25">
      <c r="A13" s="162">
        <v>45905</v>
      </c>
      <c r="B13" s="163" t="s">
        <v>23</v>
      </c>
      <c r="C13" s="161"/>
      <c r="D13" s="161"/>
      <c r="E13" s="161">
        <v>6339606</v>
      </c>
      <c r="F13" s="161">
        <v>23531214</v>
      </c>
      <c r="G13" s="161">
        <v>937716</v>
      </c>
      <c r="H13" s="159">
        <f>I13/1.134</f>
        <v>27168021.164021168</v>
      </c>
      <c r="I13" s="161">
        <f>SUM(C13:G14)</f>
        <v>30808536</v>
      </c>
      <c r="J13" s="161"/>
      <c r="K13" s="161"/>
      <c r="L13" s="161">
        <v>14</v>
      </c>
      <c r="M13" s="159">
        <f>I13/L13</f>
        <v>2200609.7142857141</v>
      </c>
      <c r="N13" s="161">
        <v>8</v>
      </c>
      <c r="O13" s="167" t="s">
        <v>88</v>
      </c>
    </row>
    <row r="14" spans="1:15" ht="27" customHeight="1" x14ac:dyDescent="0.25">
      <c r="A14" s="162"/>
      <c r="B14" s="164"/>
      <c r="C14" s="161"/>
      <c r="D14" s="161"/>
      <c r="E14" s="161"/>
      <c r="F14" s="161"/>
      <c r="G14" s="161"/>
      <c r="H14" s="160"/>
      <c r="I14" s="161"/>
      <c r="J14" s="161"/>
      <c r="K14" s="161"/>
      <c r="L14" s="161"/>
      <c r="M14" s="160"/>
      <c r="N14" s="161"/>
      <c r="O14" s="166"/>
    </row>
    <row r="15" spans="1:15" ht="27" customHeight="1" x14ac:dyDescent="0.25">
      <c r="A15" s="162">
        <v>45906</v>
      </c>
      <c r="B15" s="163" t="s">
        <v>25</v>
      </c>
      <c r="C15" s="161"/>
      <c r="D15" s="161"/>
      <c r="E15" s="161">
        <v>6596478</v>
      </c>
      <c r="F15" s="161">
        <v>7815087</v>
      </c>
      <c r="G15" s="161">
        <v>13392000</v>
      </c>
      <c r="H15" s="159">
        <v>27168021</v>
      </c>
      <c r="I15" s="161">
        <v>30808536</v>
      </c>
      <c r="J15" s="161"/>
      <c r="K15" s="161"/>
      <c r="L15" s="161">
        <v>34</v>
      </c>
      <c r="M15" s="159">
        <v>817752</v>
      </c>
      <c r="N15" s="161">
        <v>3</v>
      </c>
      <c r="O15" s="167" t="s">
        <v>59</v>
      </c>
    </row>
    <row r="16" spans="1:15" ht="27" customHeight="1" x14ac:dyDescent="0.25">
      <c r="A16" s="162"/>
      <c r="B16" s="164"/>
      <c r="C16" s="161"/>
      <c r="D16" s="161"/>
      <c r="E16" s="161"/>
      <c r="F16" s="161"/>
      <c r="G16" s="161"/>
      <c r="H16" s="160"/>
      <c r="I16" s="161"/>
      <c r="J16" s="161"/>
      <c r="K16" s="161"/>
      <c r="L16" s="161"/>
      <c r="M16" s="160"/>
      <c r="N16" s="161"/>
      <c r="O16" s="166"/>
    </row>
    <row r="17" spans="1:15" ht="27" customHeight="1" x14ac:dyDescent="0.25">
      <c r="A17" s="162">
        <v>45907</v>
      </c>
      <c r="B17" s="163" t="s">
        <v>27</v>
      </c>
      <c r="C17" s="161"/>
      <c r="D17" s="161"/>
      <c r="E17" s="161">
        <v>5691840</v>
      </c>
      <c r="F17" s="161">
        <v>4475331</v>
      </c>
      <c r="G17" s="161"/>
      <c r="H17" s="159">
        <f>I17/1.134</f>
        <v>8965759.2592592593</v>
      </c>
      <c r="I17" s="161">
        <f>SUM(C17:G18)</f>
        <v>10167171</v>
      </c>
      <c r="J17" s="161"/>
      <c r="K17" s="161"/>
      <c r="L17" s="161">
        <v>7</v>
      </c>
      <c r="M17" s="159">
        <f>I17/L17</f>
        <v>1452453</v>
      </c>
      <c r="N17" s="161">
        <v>2</v>
      </c>
      <c r="O17" s="167" t="s">
        <v>59</v>
      </c>
    </row>
    <row r="18" spans="1:15" ht="80.25" customHeight="1" x14ac:dyDescent="0.25">
      <c r="A18" s="162"/>
      <c r="B18" s="164"/>
      <c r="C18" s="161"/>
      <c r="D18" s="161"/>
      <c r="E18" s="161"/>
      <c r="F18" s="161"/>
      <c r="G18" s="161"/>
      <c r="H18" s="160"/>
      <c r="I18" s="161"/>
      <c r="J18" s="161"/>
      <c r="K18" s="161"/>
      <c r="L18" s="161"/>
      <c r="M18" s="160"/>
      <c r="N18" s="161"/>
      <c r="O18" s="166"/>
    </row>
    <row r="19" spans="1:15" ht="45" x14ac:dyDescent="0.25">
      <c r="A19" s="171" t="s">
        <v>29</v>
      </c>
      <c r="B19" s="171"/>
      <c r="C19" s="52">
        <f t="shared" ref="C19:H19" si="1">SUBTOTAL(9,C20:C33)</f>
        <v>24716393</v>
      </c>
      <c r="D19" s="52">
        <f t="shared" si="1"/>
        <v>32943960</v>
      </c>
      <c r="E19" s="52">
        <f t="shared" si="1"/>
        <v>86088713</v>
      </c>
      <c r="F19" s="52">
        <f t="shared" si="1"/>
        <v>22430671</v>
      </c>
      <c r="G19" s="52">
        <f t="shared" si="1"/>
        <v>31398500</v>
      </c>
      <c r="H19" s="52">
        <f t="shared" si="1"/>
        <v>171402587.01298699</v>
      </c>
      <c r="I19" s="52">
        <f>SUM(I20:K33)</f>
        <v>197578237</v>
      </c>
      <c r="J19" s="52">
        <f>SUBTOTAL(9,J20:J33)</f>
        <v>0</v>
      </c>
      <c r="K19" s="52">
        <f>SUBTOTAL(9,K20:K33)</f>
        <v>0</v>
      </c>
      <c r="L19" s="52">
        <f>SUBTOTAL(9,L20:L33)</f>
        <v>103</v>
      </c>
      <c r="M19" s="52">
        <f>I19/L19</f>
        <v>1918235.3106796117</v>
      </c>
      <c r="N19" s="52">
        <f>SUBTOTAL(9,N20:N33)</f>
        <v>47</v>
      </c>
      <c r="O19" s="55"/>
    </row>
    <row r="20" spans="1:15" ht="27" customHeight="1" x14ac:dyDescent="0.25">
      <c r="A20" s="162">
        <v>45908</v>
      </c>
      <c r="B20" s="163" t="s">
        <v>30</v>
      </c>
      <c r="C20" s="161"/>
      <c r="D20" s="161"/>
      <c r="E20" s="161">
        <v>6171963</v>
      </c>
      <c r="F20" s="161"/>
      <c r="G20" s="161"/>
      <c r="H20" s="161">
        <f>I20/1.155</f>
        <v>5343690.9090909092</v>
      </c>
      <c r="I20" s="173">
        <f>SUM(C20:G21)</f>
        <v>6171963</v>
      </c>
      <c r="J20" s="161"/>
      <c r="K20" s="161"/>
      <c r="L20" s="161">
        <v>4</v>
      </c>
      <c r="M20" s="161">
        <f>I20/L20</f>
        <v>1542990.75</v>
      </c>
      <c r="N20" s="161">
        <v>2</v>
      </c>
      <c r="O20" s="166"/>
    </row>
    <row r="21" spans="1:15" ht="27" customHeight="1" x14ac:dyDescent="0.25">
      <c r="A21" s="162"/>
      <c r="B21" s="164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6"/>
    </row>
    <row r="22" spans="1:15" ht="27" customHeight="1" x14ac:dyDescent="0.25">
      <c r="A22" s="162">
        <v>45909</v>
      </c>
      <c r="B22" s="163" t="s">
        <v>31</v>
      </c>
      <c r="C22" s="161">
        <v>2700988</v>
      </c>
      <c r="D22" s="161"/>
      <c r="E22" s="161">
        <v>28825405</v>
      </c>
      <c r="F22" s="161"/>
      <c r="G22" s="161">
        <v>9863997</v>
      </c>
      <c r="H22" s="161">
        <f>I22/1.155</f>
        <v>35835835.497835495</v>
      </c>
      <c r="I22" s="173">
        <f>SUM(C22:G23)</f>
        <v>41390390</v>
      </c>
      <c r="J22" s="161"/>
      <c r="K22" s="161"/>
      <c r="L22" s="161">
        <v>29</v>
      </c>
      <c r="M22" s="161">
        <f>I22/L22</f>
        <v>1427254.8275862068</v>
      </c>
      <c r="N22" s="161">
        <v>15</v>
      </c>
      <c r="O22" s="166"/>
    </row>
    <row r="23" spans="1:15" ht="27" customHeight="1" x14ac:dyDescent="0.25">
      <c r="A23" s="162"/>
      <c r="B23" s="16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6"/>
    </row>
    <row r="24" spans="1:15" ht="30.75" customHeight="1" x14ac:dyDescent="0.25">
      <c r="A24" s="162">
        <v>45910</v>
      </c>
      <c r="B24" s="163" t="s">
        <v>32</v>
      </c>
      <c r="C24" s="161">
        <v>110347</v>
      </c>
      <c r="D24" s="161">
        <v>18187848</v>
      </c>
      <c r="E24" s="161">
        <v>950292</v>
      </c>
      <c r="F24" s="161"/>
      <c r="G24" s="161">
        <v>21534503</v>
      </c>
      <c r="H24" s="161">
        <f>I24/1.155</f>
        <v>35309948.051948048</v>
      </c>
      <c r="I24" s="173">
        <f>SUM(C24:G25)</f>
        <v>40782990</v>
      </c>
      <c r="J24" s="161"/>
      <c r="K24" s="161"/>
      <c r="L24" s="161">
        <v>15</v>
      </c>
      <c r="M24" s="161">
        <f>I24/L24</f>
        <v>2718866</v>
      </c>
      <c r="N24" s="161">
        <v>7</v>
      </c>
      <c r="O24" s="165"/>
    </row>
    <row r="25" spans="1:15" ht="27" customHeight="1" x14ac:dyDescent="0.25">
      <c r="A25" s="162"/>
      <c r="B25" s="164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6"/>
    </row>
    <row r="26" spans="1:15" ht="27" customHeight="1" x14ac:dyDescent="0.25">
      <c r="A26" s="162">
        <v>45911</v>
      </c>
      <c r="B26" s="163" t="s">
        <v>21</v>
      </c>
      <c r="C26" s="161">
        <v>2911860</v>
      </c>
      <c r="D26" s="161">
        <v>5224590</v>
      </c>
      <c r="E26" s="161">
        <v>2632358</v>
      </c>
      <c r="F26" s="161">
        <f>(18082235+226800)</f>
        <v>18309035</v>
      </c>
      <c r="G26" s="161"/>
      <c r="H26" s="159">
        <f>(200000+17658000+640000+516000+500000+1000000+1040000+640000+557000+4585000)-(55400+1765800)</f>
        <v>25514800</v>
      </c>
      <c r="I26" s="173">
        <f>SUM(C26:G27)</f>
        <v>29077843</v>
      </c>
      <c r="J26" s="161"/>
      <c r="K26" s="161"/>
      <c r="L26" s="161">
        <v>16</v>
      </c>
      <c r="M26" s="161">
        <f>I26/L26</f>
        <v>1817365.1875</v>
      </c>
      <c r="N26" s="161">
        <v>9</v>
      </c>
      <c r="O26" s="168" t="s">
        <v>72</v>
      </c>
    </row>
    <row r="27" spans="1:15" ht="27" customHeight="1" x14ac:dyDescent="0.25">
      <c r="A27" s="162"/>
      <c r="B27" s="164"/>
      <c r="C27" s="161"/>
      <c r="D27" s="161"/>
      <c r="E27" s="161"/>
      <c r="F27" s="161"/>
      <c r="G27" s="161"/>
      <c r="H27" s="160"/>
      <c r="I27" s="161"/>
      <c r="J27" s="161"/>
      <c r="K27" s="161"/>
      <c r="L27" s="161"/>
      <c r="M27" s="161"/>
      <c r="N27" s="161"/>
      <c r="O27" s="166"/>
    </row>
    <row r="28" spans="1:15" ht="27" customHeight="1" x14ac:dyDescent="0.25">
      <c r="A28" s="162">
        <v>45912</v>
      </c>
      <c r="B28" s="163" t="s">
        <v>23</v>
      </c>
      <c r="C28" s="161">
        <v>2710260</v>
      </c>
      <c r="D28" s="161">
        <v>9531522</v>
      </c>
      <c r="E28" s="161"/>
      <c r="F28" s="161">
        <v>1068001</v>
      </c>
      <c r="G28" s="161"/>
      <c r="H28" s="159">
        <f>I28/1.155</f>
        <v>11523621.645021645</v>
      </c>
      <c r="I28" s="173">
        <f>SUM(C28:G29)</f>
        <v>13309783</v>
      </c>
      <c r="J28" s="161"/>
      <c r="K28" s="161"/>
      <c r="L28" s="161">
        <v>9</v>
      </c>
      <c r="M28" s="161">
        <f>I28/L28</f>
        <v>1478864.7777777778</v>
      </c>
      <c r="N28" s="161">
        <v>6</v>
      </c>
      <c r="O28" s="168" t="s">
        <v>63</v>
      </c>
    </row>
    <row r="29" spans="1:15" ht="42" customHeight="1" x14ac:dyDescent="0.25">
      <c r="A29" s="162"/>
      <c r="B29" s="164"/>
      <c r="C29" s="161"/>
      <c r="D29" s="161"/>
      <c r="E29" s="161"/>
      <c r="F29" s="161"/>
      <c r="G29" s="161"/>
      <c r="H29" s="160"/>
      <c r="I29" s="161"/>
      <c r="J29" s="161"/>
      <c r="K29" s="161"/>
      <c r="L29" s="161"/>
      <c r="M29" s="161"/>
      <c r="N29" s="161"/>
      <c r="O29" s="166"/>
    </row>
    <row r="30" spans="1:15" ht="27" customHeight="1" x14ac:dyDescent="0.25">
      <c r="A30" s="162">
        <v>45913</v>
      </c>
      <c r="B30" s="163" t="s">
        <v>25</v>
      </c>
      <c r="C30" s="161"/>
      <c r="D30" s="161"/>
      <c r="E30" s="161">
        <f>15468810+26074793</f>
        <v>41543603</v>
      </c>
      <c r="F30" s="161"/>
      <c r="G30" s="161"/>
      <c r="H30" s="159">
        <f>I30/1.155</f>
        <v>35968487.445887446</v>
      </c>
      <c r="I30" s="173">
        <f>SUM(C30:G31)</f>
        <v>41543603</v>
      </c>
      <c r="J30" s="161"/>
      <c r="K30" s="161"/>
      <c r="L30" s="161">
        <v>16</v>
      </c>
      <c r="M30" s="161">
        <f>I30/L30</f>
        <v>2596475.1875</v>
      </c>
      <c r="N30" s="161">
        <v>2</v>
      </c>
      <c r="O30" s="165"/>
    </row>
    <row r="31" spans="1:15" ht="51" customHeight="1" x14ac:dyDescent="0.25">
      <c r="A31" s="162"/>
      <c r="B31" s="164"/>
      <c r="C31" s="161"/>
      <c r="D31" s="161"/>
      <c r="E31" s="161"/>
      <c r="F31" s="161"/>
      <c r="G31" s="161"/>
      <c r="H31" s="160"/>
      <c r="I31" s="161"/>
      <c r="J31" s="161"/>
      <c r="K31" s="161"/>
      <c r="L31" s="161"/>
      <c r="M31" s="161"/>
      <c r="N31" s="161"/>
      <c r="O31" s="166"/>
    </row>
    <row r="32" spans="1:15" ht="60.75" customHeight="1" x14ac:dyDescent="0.25">
      <c r="A32" s="162">
        <v>45914</v>
      </c>
      <c r="B32" s="163" t="s">
        <v>27</v>
      </c>
      <c r="C32" s="161">
        <f>3353658+12929280</f>
        <v>16282938</v>
      </c>
      <c r="D32" s="161"/>
      <c r="E32" s="161">
        <v>5965092</v>
      </c>
      <c r="F32" s="161">
        <v>3053635</v>
      </c>
      <c r="G32" s="161"/>
      <c r="H32" s="159">
        <f>I32/1.155</f>
        <v>21906203.463203464</v>
      </c>
      <c r="I32" s="173">
        <f>SUM(C32:G33)</f>
        <v>25301665</v>
      </c>
      <c r="J32" s="161"/>
      <c r="K32" s="161"/>
      <c r="L32" s="161">
        <v>14</v>
      </c>
      <c r="M32" s="161">
        <f>I32/L32</f>
        <v>1807261.7857142857</v>
      </c>
      <c r="N32" s="161">
        <v>6</v>
      </c>
      <c r="O32" s="174" t="s">
        <v>72</v>
      </c>
    </row>
    <row r="33" spans="1:15" ht="27" customHeight="1" x14ac:dyDescent="0.25">
      <c r="A33" s="162"/>
      <c r="B33" s="164"/>
      <c r="C33" s="161"/>
      <c r="D33" s="161"/>
      <c r="E33" s="161"/>
      <c r="F33" s="161"/>
      <c r="G33" s="161"/>
      <c r="H33" s="160"/>
      <c r="I33" s="161"/>
      <c r="J33" s="161"/>
      <c r="K33" s="161"/>
      <c r="L33" s="161"/>
      <c r="M33" s="161"/>
      <c r="N33" s="161"/>
      <c r="O33" s="170"/>
    </row>
    <row r="34" spans="1:15" ht="45" x14ac:dyDescent="0.25">
      <c r="A34" s="171" t="s">
        <v>34</v>
      </c>
      <c r="B34" s="171"/>
      <c r="C34" s="52">
        <f t="shared" ref="C34:L34" si="2">SUM(C35:C48)</f>
        <v>14659218</v>
      </c>
      <c r="D34" s="52">
        <f t="shared" si="2"/>
        <v>27109270</v>
      </c>
      <c r="E34" s="52">
        <f t="shared" si="2"/>
        <v>39773017</v>
      </c>
      <c r="F34" s="52">
        <f t="shared" si="2"/>
        <v>22890470</v>
      </c>
      <c r="G34" s="52">
        <f t="shared" si="2"/>
        <v>15032815</v>
      </c>
      <c r="H34" s="52">
        <f t="shared" si="2"/>
        <v>103556860.60606059</v>
      </c>
      <c r="I34" s="52">
        <f t="shared" si="2"/>
        <v>119464790</v>
      </c>
      <c r="J34" s="52">
        <f t="shared" si="2"/>
        <v>0</v>
      </c>
      <c r="K34" s="52">
        <f t="shared" si="2"/>
        <v>0</v>
      </c>
      <c r="L34" s="52">
        <f t="shared" si="2"/>
        <v>83</v>
      </c>
      <c r="M34" s="52">
        <f>I34/L34</f>
        <v>1439334.8192771084</v>
      </c>
      <c r="N34" s="52">
        <f>SUM(N35:N48)</f>
        <v>49</v>
      </c>
      <c r="O34" s="55"/>
    </row>
    <row r="35" spans="1:15" ht="27" customHeight="1" x14ac:dyDescent="0.25">
      <c r="A35" s="172">
        <v>45915</v>
      </c>
      <c r="B35" s="163" t="s">
        <v>30</v>
      </c>
      <c r="C35" s="161">
        <v>317520</v>
      </c>
      <c r="D35" s="161">
        <v>2719332</v>
      </c>
      <c r="E35" s="161"/>
      <c r="F35" s="161"/>
      <c r="G35" s="161"/>
      <c r="H35" s="161">
        <f>I35/1.155</f>
        <v>2629309.0909090908</v>
      </c>
      <c r="I35" s="161">
        <f>SUM(C35:G36)</f>
        <v>3036852</v>
      </c>
      <c r="J35" s="161"/>
      <c r="K35" s="161"/>
      <c r="L35" s="161">
        <v>4</v>
      </c>
      <c r="M35" s="161">
        <f>I35/L35</f>
        <v>759213</v>
      </c>
      <c r="N35" s="161">
        <v>2</v>
      </c>
      <c r="O35" s="166"/>
    </row>
    <row r="36" spans="1:15" ht="27" customHeight="1" x14ac:dyDescent="0.25">
      <c r="A36" s="162"/>
      <c r="B36" s="16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6"/>
    </row>
    <row r="37" spans="1:15" ht="27" customHeight="1" x14ac:dyDescent="0.25">
      <c r="A37" s="172">
        <v>45916</v>
      </c>
      <c r="B37" s="163" t="s">
        <v>31</v>
      </c>
      <c r="C37" s="161"/>
      <c r="D37" s="161"/>
      <c r="E37" s="161">
        <v>16555098</v>
      </c>
      <c r="F37" s="161">
        <v>1275750</v>
      </c>
      <c r="G37" s="161">
        <v>15032815</v>
      </c>
      <c r="H37" s="161">
        <f>I37/1.155</f>
        <v>28453387.878787879</v>
      </c>
      <c r="I37" s="161">
        <f>SUM(C37:G38)</f>
        <v>32863663</v>
      </c>
      <c r="J37" s="161"/>
      <c r="K37" s="161"/>
      <c r="L37" s="161">
        <v>22</v>
      </c>
      <c r="M37" s="161">
        <f>I37/L37</f>
        <v>1493802.8636363635</v>
      </c>
      <c r="N37" s="161">
        <v>11</v>
      </c>
      <c r="O37" s="168" t="s">
        <v>59</v>
      </c>
    </row>
    <row r="38" spans="1:15" ht="27" customHeight="1" x14ac:dyDescent="0.25">
      <c r="A38" s="162"/>
      <c r="B38" s="16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6"/>
    </row>
    <row r="39" spans="1:15" ht="27" customHeight="1" x14ac:dyDescent="0.25">
      <c r="A39" s="172">
        <v>45917</v>
      </c>
      <c r="B39" s="163" t="s">
        <v>32</v>
      </c>
      <c r="C39" s="161">
        <v>2451960</v>
      </c>
      <c r="D39" s="161"/>
      <c r="E39" s="161"/>
      <c r="F39" s="159"/>
      <c r="G39" s="161"/>
      <c r="H39" s="161">
        <f>I39/1.155</f>
        <v>2122909.0909090908</v>
      </c>
      <c r="I39" s="161">
        <f>SUM(C39:G40)</f>
        <v>2451960</v>
      </c>
      <c r="J39" s="161"/>
      <c r="K39" s="161"/>
      <c r="L39" s="161">
        <v>3</v>
      </c>
      <c r="M39" s="161">
        <f>I39/L39</f>
        <v>817320</v>
      </c>
      <c r="N39" s="161">
        <v>2</v>
      </c>
      <c r="O39" s="165"/>
    </row>
    <row r="40" spans="1:15" ht="27" customHeight="1" x14ac:dyDescent="0.25">
      <c r="A40" s="162"/>
      <c r="B40" s="164"/>
      <c r="C40" s="161"/>
      <c r="D40" s="161"/>
      <c r="E40" s="161"/>
      <c r="F40" s="160"/>
      <c r="G40" s="161"/>
      <c r="H40" s="161"/>
      <c r="I40" s="161"/>
      <c r="J40" s="161"/>
      <c r="K40" s="161"/>
      <c r="L40" s="161"/>
      <c r="M40" s="161"/>
      <c r="N40" s="161"/>
      <c r="O40" s="166"/>
    </row>
    <row r="41" spans="1:15" ht="27" customHeight="1" x14ac:dyDescent="0.25">
      <c r="A41" s="172">
        <v>45918</v>
      </c>
      <c r="B41" s="163" t="s">
        <v>21</v>
      </c>
      <c r="C41" s="161"/>
      <c r="D41" s="161">
        <v>9626484</v>
      </c>
      <c r="E41" s="161">
        <v>2931516</v>
      </c>
      <c r="F41" s="161">
        <v>21614720</v>
      </c>
      <c r="G41" s="161"/>
      <c r="H41" s="161">
        <f>I41/1.155</f>
        <v>29586770.56277056</v>
      </c>
      <c r="I41" s="161">
        <f>SUM(C41:G42)</f>
        <v>34172720</v>
      </c>
      <c r="J41" s="161"/>
      <c r="K41" s="161"/>
      <c r="L41" s="161">
        <v>17</v>
      </c>
      <c r="M41" s="161">
        <f>I41/L41</f>
        <v>2010160</v>
      </c>
      <c r="N41" s="161">
        <v>7</v>
      </c>
      <c r="O41" s="168" t="s">
        <v>92</v>
      </c>
    </row>
    <row r="42" spans="1:15" ht="27" customHeight="1" x14ac:dyDescent="0.25">
      <c r="A42" s="162"/>
      <c r="B42" s="16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6"/>
    </row>
    <row r="43" spans="1:15" ht="27" customHeight="1" x14ac:dyDescent="0.25">
      <c r="A43" s="172">
        <v>45919</v>
      </c>
      <c r="B43" s="163" t="s">
        <v>23</v>
      </c>
      <c r="C43" s="161"/>
      <c r="D43" s="161"/>
      <c r="E43" s="161">
        <v>17086675</v>
      </c>
      <c r="F43" s="161"/>
      <c r="G43" s="161"/>
      <c r="H43" s="161">
        <v>14917800</v>
      </c>
      <c r="I43" s="161">
        <f t="shared" ref="I43" si="3">SUM(C43:G44)</f>
        <v>17086675</v>
      </c>
      <c r="J43" s="161"/>
      <c r="K43" s="161"/>
      <c r="L43" s="161">
        <v>14</v>
      </c>
      <c r="M43" s="161">
        <f>I43/L43</f>
        <v>1220476.7857142857</v>
      </c>
      <c r="N43" s="161">
        <v>12</v>
      </c>
      <c r="O43" s="165"/>
    </row>
    <row r="44" spans="1:15" ht="27" customHeight="1" x14ac:dyDescent="0.25">
      <c r="A44" s="162"/>
      <c r="B44" s="16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6"/>
    </row>
    <row r="45" spans="1:15" ht="27" customHeight="1" x14ac:dyDescent="0.25">
      <c r="A45" s="172">
        <v>45920</v>
      </c>
      <c r="B45" s="163" t="s">
        <v>25</v>
      </c>
      <c r="C45" s="161">
        <v>10790052</v>
      </c>
      <c r="D45" s="161">
        <v>11607960</v>
      </c>
      <c r="E45" s="161"/>
      <c r="F45" s="161"/>
      <c r="G45" s="161"/>
      <c r="H45" s="161">
        <f>I45/1.155</f>
        <v>19392218.18181818</v>
      </c>
      <c r="I45" s="161">
        <f t="shared" ref="I45" si="4">SUM(C45:G46)</f>
        <v>22398012</v>
      </c>
      <c r="J45" s="161"/>
      <c r="K45" s="161"/>
      <c r="L45" s="161">
        <v>17</v>
      </c>
      <c r="M45" s="161">
        <f>I45/L45</f>
        <v>1317530.1176470588</v>
      </c>
      <c r="N45" s="161">
        <v>9</v>
      </c>
      <c r="O45" s="165"/>
    </row>
    <row r="46" spans="1:15" ht="27" customHeight="1" x14ac:dyDescent="0.25">
      <c r="A46" s="162"/>
      <c r="B46" s="164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6"/>
    </row>
    <row r="47" spans="1:15" ht="34.5" customHeight="1" x14ac:dyDescent="0.25">
      <c r="A47" s="172">
        <v>45921</v>
      </c>
      <c r="B47" s="163" t="s">
        <v>27</v>
      </c>
      <c r="C47" s="161">
        <v>1099686</v>
      </c>
      <c r="D47" s="161">
        <v>3155494</v>
      </c>
      <c r="E47" s="161">
        <v>3199728</v>
      </c>
      <c r="F47" s="161"/>
      <c r="G47" s="161"/>
      <c r="H47" s="161">
        <f>I47/1.155</f>
        <v>6454465.8008658011</v>
      </c>
      <c r="I47" s="161">
        <f t="shared" ref="I47" si="5">SUM(C47:G48)</f>
        <v>7454908</v>
      </c>
      <c r="J47" s="161"/>
      <c r="K47" s="161"/>
      <c r="L47" s="161">
        <v>6</v>
      </c>
      <c r="M47" s="161">
        <f>I47/L47</f>
        <v>1242484.6666666667</v>
      </c>
      <c r="N47" s="161">
        <v>6</v>
      </c>
      <c r="O47" s="169"/>
    </row>
    <row r="48" spans="1:15" ht="27" customHeight="1" x14ac:dyDescent="0.25">
      <c r="A48" s="162"/>
      <c r="B48" s="16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70"/>
    </row>
    <row r="49" spans="1:15" ht="45" x14ac:dyDescent="0.25">
      <c r="A49" s="171" t="s">
        <v>36</v>
      </c>
      <c r="B49" s="171"/>
      <c r="C49" s="52">
        <f>SUM(C50:C67)</f>
        <v>334950</v>
      </c>
      <c r="D49" s="52">
        <f t="shared" ref="D49:L49" si="6">SUM(D50:D67)</f>
        <v>8527151</v>
      </c>
      <c r="E49" s="52">
        <f t="shared" si="6"/>
        <v>111302132</v>
      </c>
      <c r="F49" s="52">
        <f t="shared" si="6"/>
        <v>31583147</v>
      </c>
      <c r="G49" s="52">
        <f t="shared" si="6"/>
        <v>145359485</v>
      </c>
      <c r="H49" s="52">
        <f t="shared" si="6"/>
        <v>259586896.84848484</v>
      </c>
      <c r="I49" s="52">
        <f t="shared" si="6"/>
        <v>319307615</v>
      </c>
      <c r="J49" s="52">
        <f t="shared" si="6"/>
        <v>0</v>
      </c>
      <c r="K49" s="52">
        <f t="shared" si="6"/>
        <v>0</v>
      </c>
      <c r="L49" s="52">
        <f t="shared" si="6"/>
        <v>105</v>
      </c>
      <c r="M49" s="52">
        <f>I49/L49</f>
        <v>3041024.9047619049</v>
      </c>
      <c r="N49" s="52">
        <f>SUM(N50:N65)</f>
        <v>39</v>
      </c>
      <c r="O49" s="52">
        <f ca="1">SUM(O49:O61)</f>
        <v>0</v>
      </c>
    </row>
    <row r="50" spans="1:15" ht="64.5" customHeight="1" x14ac:dyDescent="0.25">
      <c r="A50" s="162">
        <v>45922</v>
      </c>
      <c r="B50" s="163" t="s">
        <v>30</v>
      </c>
      <c r="C50" s="161"/>
      <c r="D50" s="161"/>
      <c r="E50" s="161"/>
      <c r="F50" s="161">
        <v>508939</v>
      </c>
      <c r="G50" s="161"/>
      <c r="H50" s="161">
        <f>528000-79200</f>
        <v>448800</v>
      </c>
      <c r="I50" s="161">
        <f>SUM(C50:G51)</f>
        <v>508939</v>
      </c>
      <c r="J50" s="161"/>
      <c r="K50" s="161"/>
      <c r="L50" s="161">
        <v>2</v>
      </c>
      <c r="M50" s="161">
        <f>I50/L50</f>
        <v>254469.5</v>
      </c>
      <c r="N50" s="161">
        <v>1</v>
      </c>
      <c r="O50" s="167" t="s">
        <v>107</v>
      </c>
    </row>
    <row r="51" spans="1:15" ht="51.75" customHeight="1" x14ac:dyDescent="0.25">
      <c r="A51" s="162"/>
      <c r="B51" s="16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6"/>
    </row>
    <row r="52" spans="1:15" ht="27" customHeight="1" x14ac:dyDescent="0.25">
      <c r="A52" s="162">
        <v>45923</v>
      </c>
      <c r="B52" s="163" t="s">
        <v>31</v>
      </c>
      <c r="C52" s="161"/>
      <c r="D52" s="161"/>
      <c r="E52" s="161">
        <v>1855224</v>
      </c>
      <c r="F52" s="161"/>
      <c r="G52" s="161"/>
      <c r="H52" s="161">
        <f>I52/1.134</f>
        <v>1636000.0000000002</v>
      </c>
      <c r="I52" s="161">
        <f>SUM(C52:G53)</f>
        <v>1855224</v>
      </c>
      <c r="J52" s="161"/>
      <c r="K52" s="161"/>
      <c r="L52" s="161">
        <v>2</v>
      </c>
      <c r="M52" s="161">
        <f>I52/L52</f>
        <v>927612</v>
      </c>
      <c r="N52" s="161">
        <v>1</v>
      </c>
      <c r="O52" s="167"/>
    </row>
    <row r="53" spans="1:15" ht="27" customHeight="1" x14ac:dyDescent="0.25">
      <c r="A53" s="162"/>
      <c r="B53" s="16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6"/>
    </row>
    <row r="54" spans="1:15" ht="27" customHeight="1" x14ac:dyDescent="0.25">
      <c r="A54" s="162">
        <v>45924</v>
      </c>
      <c r="B54" s="163" t="s">
        <v>32</v>
      </c>
      <c r="C54" s="161"/>
      <c r="D54" s="159"/>
      <c r="E54" s="159">
        <v>25660740</v>
      </c>
      <c r="F54" s="159"/>
      <c r="G54" s="159"/>
      <c r="H54" s="161">
        <f>I54/1.155</f>
        <v>22217090.90909091</v>
      </c>
      <c r="I54" s="161">
        <f>SUM(C54:G55)</f>
        <v>25660740</v>
      </c>
      <c r="J54" s="159"/>
      <c r="K54" s="159"/>
      <c r="L54" s="159">
        <v>12</v>
      </c>
      <c r="M54" s="161">
        <f>I54/L54</f>
        <v>2138395</v>
      </c>
      <c r="N54" s="159">
        <v>7</v>
      </c>
      <c r="O54" s="168"/>
    </row>
    <row r="55" spans="1:15" ht="27" customHeight="1" x14ac:dyDescent="0.25">
      <c r="A55" s="162"/>
      <c r="B55" s="164"/>
      <c r="C55" s="161"/>
      <c r="D55" s="160"/>
      <c r="E55" s="160"/>
      <c r="F55" s="160"/>
      <c r="G55" s="160"/>
      <c r="H55" s="161"/>
      <c r="I55" s="161"/>
      <c r="J55" s="160"/>
      <c r="K55" s="160"/>
      <c r="L55" s="160"/>
      <c r="M55" s="161"/>
      <c r="N55" s="160"/>
      <c r="O55" s="166"/>
    </row>
    <row r="56" spans="1:15" ht="27" customHeight="1" x14ac:dyDescent="0.25">
      <c r="A56" s="162">
        <v>45925</v>
      </c>
      <c r="B56" s="163" t="s">
        <v>21</v>
      </c>
      <c r="C56" s="161"/>
      <c r="D56" s="159">
        <v>1790586</v>
      </c>
      <c r="E56" s="159">
        <v>20816250</v>
      </c>
      <c r="F56" s="159"/>
      <c r="G56" s="159">
        <v>2778731</v>
      </c>
      <c r="H56" s="161">
        <v>22200750</v>
      </c>
      <c r="I56" s="161">
        <f>SUM(C56:H57)</f>
        <v>47586317</v>
      </c>
      <c r="J56" s="159"/>
      <c r="K56" s="159"/>
      <c r="L56" s="159">
        <v>23</v>
      </c>
      <c r="M56" s="161">
        <f>I56/L56</f>
        <v>2068970.3043478262</v>
      </c>
      <c r="N56" s="159">
        <v>7</v>
      </c>
      <c r="O56" s="167"/>
    </row>
    <row r="57" spans="1:15" ht="64.5" customHeight="1" x14ac:dyDescent="0.25">
      <c r="A57" s="162"/>
      <c r="B57" s="164"/>
      <c r="C57" s="161"/>
      <c r="D57" s="160"/>
      <c r="E57" s="160"/>
      <c r="F57" s="160"/>
      <c r="G57" s="160"/>
      <c r="H57" s="161"/>
      <c r="I57" s="161"/>
      <c r="J57" s="160"/>
      <c r="K57" s="160"/>
      <c r="L57" s="160"/>
      <c r="M57" s="161"/>
      <c r="N57" s="160"/>
      <c r="O57" s="166"/>
    </row>
    <row r="58" spans="1:15" ht="27" customHeight="1" x14ac:dyDescent="0.25">
      <c r="A58" s="162">
        <v>45926</v>
      </c>
      <c r="B58" s="163" t="s">
        <v>23</v>
      </c>
      <c r="C58" s="161"/>
      <c r="D58" s="159">
        <v>573300</v>
      </c>
      <c r="E58" s="159">
        <v>9245064</v>
      </c>
      <c r="F58" s="159"/>
      <c r="G58" s="159">
        <v>27151800</v>
      </c>
      <c r="H58" s="161">
        <v>32151000</v>
      </c>
      <c r="I58" s="161">
        <f>SUM(C58:G59)</f>
        <v>36970164</v>
      </c>
      <c r="J58" s="159"/>
      <c r="K58" s="159"/>
      <c r="L58" s="159">
        <v>8</v>
      </c>
      <c r="M58" s="161">
        <f>I58/L58</f>
        <v>4621270.5</v>
      </c>
      <c r="N58" s="159">
        <v>5</v>
      </c>
      <c r="O58" s="167"/>
    </row>
    <row r="59" spans="1:15" ht="27" customHeight="1" x14ac:dyDescent="0.25">
      <c r="A59" s="162"/>
      <c r="B59" s="164"/>
      <c r="C59" s="161"/>
      <c r="D59" s="160"/>
      <c r="E59" s="160"/>
      <c r="F59" s="160"/>
      <c r="G59" s="160"/>
      <c r="H59" s="161"/>
      <c r="I59" s="161"/>
      <c r="J59" s="160"/>
      <c r="K59" s="160"/>
      <c r="L59" s="160"/>
      <c r="M59" s="161"/>
      <c r="N59" s="160"/>
      <c r="O59" s="166"/>
    </row>
    <row r="60" spans="1:15" ht="51.75" customHeight="1" x14ac:dyDescent="0.25">
      <c r="A60" s="162">
        <v>45927</v>
      </c>
      <c r="B60" s="163" t="s">
        <v>25</v>
      </c>
      <c r="C60" s="161">
        <v>334950</v>
      </c>
      <c r="D60" s="159">
        <v>6163265</v>
      </c>
      <c r="E60" s="159">
        <v>9988028</v>
      </c>
      <c r="F60" s="159"/>
      <c r="G60" s="159"/>
      <c r="H60" s="161">
        <v>14464800</v>
      </c>
      <c r="I60" s="161">
        <f>SUM(C60:G61)</f>
        <v>16486243</v>
      </c>
      <c r="J60" s="159"/>
      <c r="K60" s="159"/>
      <c r="L60" s="159">
        <v>21</v>
      </c>
      <c r="M60" s="159">
        <f>I60/L60</f>
        <v>785059.19047619053</v>
      </c>
      <c r="N60" s="159">
        <v>11</v>
      </c>
      <c r="O60" s="165"/>
    </row>
    <row r="61" spans="1:15" ht="13.5" customHeight="1" x14ac:dyDescent="0.25">
      <c r="A61" s="162"/>
      <c r="B61" s="164"/>
      <c r="C61" s="161"/>
      <c r="D61" s="160"/>
      <c r="E61" s="160"/>
      <c r="F61" s="160"/>
      <c r="G61" s="160"/>
      <c r="H61" s="161"/>
      <c r="I61" s="161"/>
      <c r="J61" s="160"/>
      <c r="K61" s="160"/>
      <c r="L61" s="160"/>
      <c r="M61" s="160"/>
      <c r="N61" s="160"/>
      <c r="O61" s="166"/>
    </row>
    <row r="62" spans="1:15" ht="17.25" customHeight="1" x14ac:dyDescent="0.25">
      <c r="A62" s="162">
        <v>45928</v>
      </c>
      <c r="B62" s="163" t="s">
        <v>27</v>
      </c>
      <c r="C62" s="161"/>
      <c r="D62" s="159"/>
      <c r="E62" s="159">
        <v>6235362</v>
      </c>
      <c r="F62" s="159"/>
      <c r="G62" s="159"/>
      <c r="H62" s="159">
        <v>6235362</v>
      </c>
      <c r="I62" s="161">
        <f>SUM(C62:G63)</f>
        <v>6235362</v>
      </c>
      <c r="J62" s="159"/>
      <c r="K62" s="159"/>
      <c r="L62" s="159">
        <v>2</v>
      </c>
      <c r="M62" s="159">
        <f>I62/L62</f>
        <v>3117681</v>
      </c>
      <c r="N62" s="159">
        <v>2</v>
      </c>
      <c r="O62" s="165"/>
    </row>
    <row r="63" spans="1:15" ht="38.25" customHeight="1" x14ac:dyDescent="0.25">
      <c r="A63" s="162"/>
      <c r="B63" s="164"/>
      <c r="C63" s="161"/>
      <c r="D63" s="160"/>
      <c r="E63" s="160"/>
      <c r="F63" s="160"/>
      <c r="G63" s="160"/>
      <c r="H63" s="160"/>
      <c r="I63" s="161"/>
      <c r="J63" s="160"/>
      <c r="K63" s="160"/>
      <c r="L63" s="160"/>
      <c r="M63" s="160"/>
      <c r="N63" s="160"/>
      <c r="O63" s="166"/>
    </row>
    <row r="64" spans="1:15" ht="17.25" customHeight="1" x14ac:dyDescent="0.25">
      <c r="A64" s="162">
        <v>45929</v>
      </c>
      <c r="B64" s="163" t="s">
        <v>30</v>
      </c>
      <c r="C64" s="161"/>
      <c r="D64" s="159"/>
      <c r="E64" s="159">
        <v>21781746</v>
      </c>
      <c r="F64" s="159">
        <v>30285738</v>
      </c>
      <c r="G64" s="159"/>
      <c r="H64" s="159">
        <v>45726000</v>
      </c>
      <c r="I64" s="161">
        <f>SUM(C64:G65)</f>
        <v>52067484</v>
      </c>
      <c r="J64" s="159"/>
      <c r="K64" s="159"/>
      <c r="L64" s="159">
        <v>19</v>
      </c>
      <c r="M64" s="159">
        <f>I64/L64</f>
        <v>2740393.8947368423</v>
      </c>
      <c r="N64" s="159">
        <v>5</v>
      </c>
      <c r="O64" s="167" t="s">
        <v>69</v>
      </c>
    </row>
    <row r="65" spans="1:15" ht="38.25" customHeight="1" x14ac:dyDescent="0.25">
      <c r="A65" s="162"/>
      <c r="B65" s="164"/>
      <c r="C65" s="161"/>
      <c r="D65" s="160"/>
      <c r="E65" s="160"/>
      <c r="F65" s="160"/>
      <c r="G65" s="160"/>
      <c r="H65" s="160"/>
      <c r="I65" s="161"/>
      <c r="J65" s="160"/>
      <c r="K65" s="160"/>
      <c r="L65" s="160"/>
      <c r="M65" s="160"/>
      <c r="N65" s="160"/>
      <c r="O65" s="166"/>
    </row>
    <row r="66" spans="1:15" ht="17.25" customHeight="1" x14ac:dyDescent="0.25">
      <c r="A66" s="162">
        <v>45930</v>
      </c>
      <c r="B66" s="163" t="s">
        <v>31</v>
      </c>
      <c r="C66" s="161"/>
      <c r="D66" s="159"/>
      <c r="E66" s="159">
        <v>15719718</v>
      </c>
      <c r="F66" s="159">
        <v>788470</v>
      </c>
      <c r="G66" s="159">
        <v>115428954</v>
      </c>
      <c r="H66" s="159">
        <f>19499100+(G66-5694721)/1.155</f>
        <v>114507093.93939394</v>
      </c>
      <c r="I66" s="161">
        <f>SUM(C66:G67)</f>
        <v>131937142</v>
      </c>
      <c r="J66" s="159"/>
      <c r="K66" s="159"/>
      <c r="L66" s="159">
        <v>16</v>
      </c>
      <c r="M66" s="159">
        <f>I66/L66</f>
        <v>8246071.375</v>
      </c>
      <c r="N66" s="159">
        <v>8</v>
      </c>
      <c r="O66" s="167" t="s">
        <v>88</v>
      </c>
    </row>
    <row r="67" spans="1:15" ht="38.25" customHeight="1" x14ac:dyDescent="0.25">
      <c r="A67" s="162"/>
      <c r="B67" s="164"/>
      <c r="C67" s="161"/>
      <c r="D67" s="160"/>
      <c r="E67" s="160"/>
      <c r="F67" s="160"/>
      <c r="G67" s="160"/>
      <c r="H67" s="160"/>
      <c r="I67" s="161"/>
      <c r="J67" s="160"/>
      <c r="K67" s="160"/>
      <c r="L67" s="160"/>
      <c r="M67" s="160"/>
      <c r="N67" s="160"/>
      <c r="O67" s="166"/>
    </row>
    <row r="68" spans="1:15" ht="45" x14ac:dyDescent="0.25">
      <c r="A68" s="158" t="s">
        <v>40</v>
      </c>
      <c r="B68" s="158"/>
      <c r="C68" s="54">
        <f>C34+C19+C4</f>
        <v>44453726</v>
      </c>
      <c r="D68" s="54">
        <f t="shared" ref="D68:N68" si="7">D34+D19+D4</f>
        <v>90859348</v>
      </c>
      <c r="E68" s="54">
        <f t="shared" si="7"/>
        <v>201545111</v>
      </c>
      <c r="F68" s="54">
        <f t="shared" si="7"/>
        <v>82886865</v>
      </c>
      <c r="G68" s="54">
        <f>G34+G19+G4+G49</f>
        <v>206120516</v>
      </c>
      <c r="H68" s="54">
        <f>H34+H19+H4+H49</f>
        <v>681343544.47987807</v>
      </c>
      <c r="I68" s="54">
        <f>I34+I19+I4+I49</f>
        <v>802818667</v>
      </c>
      <c r="J68" s="54">
        <f t="shared" si="7"/>
        <v>0</v>
      </c>
      <c r="K68" s="54">
        <f t="shared" si="7"/>
        <v>0</v>
      </c>
      <c r="L68" s="54">
        <f t="shared" si="7"/>
        <v>380</v>
      </c>
      <c r="M68" s="54">
        <f>I68/L68</f>
        <v>2112680.7026315788</v>
      </c>
      <c r="N68" s="54">
        <f t="shared" si="7"/>
        <v>167</v>
      </c>
      <c r="O68" s="54"/>
    </row>
  </sheetData>
  <mergeCells count="466">
    <mergeCell ref="O64:O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A1:O1"/>
    <mergeCell ref="A2:A3"/>
    <mergeCell ref="B2:B3"/>
    <mergeCell ref="C2:G2"/>
    <mergeCell ref="H2:H3"/>
    <mergeCell ref="I2:I3"/>
    <mergeCell ref="L2:L3"/>
    <mergeCell ref="M2:M3"/>
    <mergeCell ref="N2:N3"/>
    <mergeCell ref="O2:O3"/>
    <mergeCell ref="J3:K3"/>
    <mergeCell ref="A4:B4"/>
    <mergeCell ref="A5:A6"/>
    <mergeCell ref="B5:B6"/>
    <mergeCell ref="C5:C6"/>
    <mergeCell ref="D5:D6"/>
    <mergeCell ref="E5:E6"/>
    <mergeCell ref="F5:F6"/>
    <mergeCell ref="G5:G6"/>
    <mergeCell ref="H5:H6"/>
    <mergeCell ref="J7:J8"/>
    <mergeCell ref="K7:K8"/>
    <mergeCell ref="L7:L8"/>
    <mergeCell ref="M7:M8"/>
    <mergeCell ref="N7:N8"/>
    <mergeCell ref="O7:O8"/>
    <mergeCell ref="O5:O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11:A12"/>
    <mergeCell ref="B11:B12"/>
    <mergeCell ref="C11:C12"/>
    <mergeCell ref="D11:D12"/>
    <mergeCell ref="E11:E12"/>
    <mergeCell ref="F11:F12"/>
    <mergeCell ref="G11:G12"/>
    <mergeCell ref="G9:G10"/>
    <mergeCell ref="H9:H10"/>
    <mergeCell ref="A9:A10"/>
    <mergeCell ref="B9:B10"/>
    <mergeCell ref="C9:C10"/>
    <mergeCell ref="D9:D10"/>
    <mergeCell ref="E9:E10"/>
    <mergeCell ref="F9:F10"/>
    <mergeCell ref="H11:H12"/>
    <mergeCell ref="M9:M10"/>
    <mergeCell ref="N9:N10"/>
    <mergeCell ref="I11:I12"/>
    <mergeCell ref="J11:J12"/>
    <mergeCell ref="K11:K12"/>
    <mergeCell ref="L11:L12"/>
    <mergeCell ref="M11:M12"/>
    <mergeCell ref="O9:O10"/>
    <mergeCell ref="I9:I10"/>
    <mergeCell ref="J9:J10"/>
    <mergeCell ref="K9:K10"/>
    <mergeCell ref="L9:L10"/>
    <mergeCell ref="N11:N12"/>
    <mergeCell ref="O11:O12"/>
    <mergeCell ref="F17:F18"/>
    <mergeCell ref="M20:M21"/>
    <mergeCell ref="N20:N21"/>
    <mergeCell ref="N15:N16"/>
    <mergeCell ref="C13:C14"/>
    <mergeCell ref="D13:D14"/>
    <mergeCell ref="E13:E14"/>
    <mergeCell ref="F13:F14"/>
    <mergeCell ref="G13:G14"/>
    <mergeCell ref="H13:H14"/>
    <mergeCell ref="E17:E18"/>
    <mergeCell ref="O15:O16"/>
    <mergeCell ref="O13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A13:A14"/>
    <mergeCell ref="B13:B14"/>
    <mergeCell ref="J15:J16"/>
    <mergeCell ref="K15:K16"/>
    <mergeCell ref="L15:L16"/>
    <mergeCell ref="M15:M16"/>
    <mergeCell ref="J22:J23"/>
    <mergeCell ref="K22:K23"/>
    <mergeCell ref="L22:L23"/>
    <mergeCell ref="M22:M23"/>
    <mergeCell ref="M17:M18"/>
    <mergeCell ref="N17:N18"/>
    <mergeCell ref="O17:O18"/>
    <mergeCell ref="A19:B19"/>
    <mergeCell ref="A20:A21"/>
    <mergeCell ref="B20:B21"/>
    <mergeCell ref="C20:C21"/>
    <mergeCell ref="D20:D21"/>
    <mergeCell ref="E20:E21"/>
    <mergeCell ref="F20:F21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C24:C25"/>
    <mergeCell ref="D24:D25"/>
    <mergeCell ref="E24:E25"/>
    <mergeCell ref="F24:F25"/>
    <mergeCell ref="G24:G25"/>
    <mergeCell ref="H24:H25"/>
    <mergeCell ref="H22:H23"/>
    <mergeCell ref="O20:O21"/>
    <mergeCell ref="A22:A23"/>
    <mergeCell ref="B22:B23"/>
    <mergeCell ref="C22:C23"/>
    <mergeCell ref="D22:D23"/>
    <mergeCell ref="E22:E23"/>
    <mergeCell ref="F22:F23"/>
    <mergeCell ref="G22:G23"/>
    <mergeCell ref="G20:G21"/>
    <mergeCell ref="H20:H21"/>
    <mergeCell ref="I20:I21"/>
    <mergeCell ref="J20:J21"/>
    <mergeCell ref="K20:K21"/>
    <mergeCell ref="L20:L21"/>
    <mergeCell ref="N22:N23"/>
    <mergeCell ref="O22:O23"/>
    <mergeCell ref="I22:I23"/>
    <mergeCell ref="J26:J27"/>
    <mergeCell ref="K26:K27"/>
    <mergeCell ref="L26:L27"/>
    <mergeCell ref="M26:M27"/>
    <mergeCell ref="N26:N27"/>
    <mergeCell ref="O26:O27"/>
    <mergeCell ref="O24:O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I24:I25"/>
    <mergeCell ref="J24:J25"/>
    <mergeCell ref="K24:K25"/>
    <mergeCell ref="L24:L25"/>
    <mergeCell ref="M24:M25"/>
    <mergeCell ref="N24:N25"/>
    <mergeCell ref="A24:A25"/>
    <mergeCell ref="B24:B25"/>
    <mergeCell ref="O32:O33"/>
    <mergeCell ref="I32:I33"/>
    <mergeCell ref="J32:J33"/>
    <mergeCell ref="K32:K33"/>
    <mergeCell ref="A30:A31"/>
    <mergeCell ref="B30:B31"/>
    <mergeCell ref="C30:C31"/>
    <mergeCell ref="D30:D31"/>
    <mergeCell ref="E30:E31"/>
    <mergeCell ref="F30:F31"/>
    <mergeCell ref="G30:G31"/>
    <mergeCell ref="H30:H31"/>
    <mergeCell ref="L32:L33"/>
    <mergeCell ref="M32:M33"/>
    <mergeCell ref="N32:N33"/>
    <mergeCell ref="A32:A33"/>
    <mergeCell ref="D32:D33"/>
    <mergeCell ref="E32:E33"/>
    <mergeCell ref="F32:F33"/>
    <mergeCell ref="G32:G33"/>
    <mergeCell ref="H32:H33"/>
    <mergeCell ref="B32:B33"/>
    <mergeCell ref="C32:C33"/>
    <mergeCell ref="N28:N29"/>
    <mergeCell ref="O28:O29"/>
    <mergeCell ref="I28:I29"/>
    <mergeCell ref="J28:J29"/>
    <mergeCell ref="K28:K29"/>
    <mergeCell ref="L28:L29"/>
    <mergeCell ref="N30:N31"/>
    <mergeCell ref="O30:O31"/>
    <mergeCell ref="I30:I31"/>
    <mergeCell ref="J30:J31"/>
    <mergeCell ref="K30:K31"/>
    <mergeCell ref="L30:L31"/>
    <mergeCell ref="M30:M31"/>
    <mergeCell ref="A34:B34"/>
    <mergeCell ref="M28:M29"/>
    <mergeCell ref="G28:G29"/>
    <mergeCell ref="H28:H29"/>
    <mergeCell ref="A28:A29"/>
    <mergeCell ref="B28:B29"/>
    <mergeCell ref="C28:C29"/>
    <mergeCell ref="D28:D29"/>
    <mergeCell ref="E28:E29"/>
    <mergeCell ref="F28:F29"/>
    <mergeCell ref="O35:O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A36"/>
    <mergeCell ref="B35:B36"/>
    <mergeCell ref="C35:C36"/>
    <mergeCell ref="D35:D36"/>
    <mergeCell ref="E35:E36"/>
    <mergeCell ref="F35:F36"/>
    <mergeCell ref="G35:G36"/>
    <mergeCell ref="H35:H36"/>
    <mergeCell ref="F39:F40"/>
    <mergeCell ref="N41:N42"/>
    <mergeCell ref="O41:O42"/>
    <mergeCell ref="J37:J38"/>
    <mergeCell ref="K37:K38"/>
    <mergeCell ref="L37:L38"/>
    <mergeCell ref="M37:M38"/>
    <mergeCell ref="N37:N38"/>
    <mergeCell ref="O37:O38"/>
    <mergeCell ref="I41:I42"/>
    <mergeCell ref="J41:J42"/>
    <mergeCell ref="K41:K42"/>
    <mergeCell ref="L41:L42"/>
    <mergeCell ref="M41:M42"/>
    <mergeCell ref="G43:G44"/>
    <mergeCell ref="H43:H44"/>
    <mergeCell ref="H41:H42"/>
    <mergeCell ref="M39:M40"/>
    <mergeCell ref="N39:N40"/>
    <mergeCell ref="O39:O40"/>
    <mergeCell ref="A41:A42"/>
    <mergeCell ref="B41:B42"/>
    <mergeCell ref="C41:C42"/>
    <mergeCell ref="D41:D42"/>
    <mergeCell ref="E41:E42"/>
    <mergeCell ref="F41:F42"/>
    <mergeCell ref="G41:G42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J45:J46"/>
    <mergeCell ref="K45:K46"/>
    <mergeCell ref="L45:L46"/>
    <mergeCell ref="M45:M46"/>
    <mergeCell ref="N45:N46"/>
    <mergeCell ref="O45:O46"/>
    <mergeCell ref="O43:O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A49:B49"/>
    <mergeCell ref="A50:A51"/>
    <mergeCell ref="B50:B51"/>
    <mergeCell ref="C50:C51"/>
    <mergeCell ref="D50:D51"/>
    <mergeCell ref="E50:E51"/>
    <mergeCell ref="A47:A48"/>
    <mergeCell ref="B47:B48"/>
    <mergeCell ref="C47:C48"/>
    <mergeCell ref="D47:D48"/>
    <mergeCell ref="E47:E48"/>
    <mergeCell ref="F47:F48"/>
    <mergeCell ref="M47:M48"/>
    <mergeCell ref="N47:N48"/>
    <mergeCell ref="O47:O48"/>
    <mergeCell ref="G47:G48"/>
    <mergeCell ref="H47:H48"/>
    <mergeCell ref="I47:I48"/>
    <mergeCell ref="J47:J48"/>
    <mergeCell ref="K47:K48"/>
    <mergeCell ref="L47:L48"/>
    <mergeCell ref="L50:L51"/>
    <mergeCell ref="M50:M51"/>
    <mergeCell ref="N50:N51"/>
    <mergeCell ref="G52:G53"/>
    <mergeCell ref="H52:H53"/>
    <mergeCell ref="O50:O51"/>
    <mergeCell ref="A52:A53"/>
    <mergeCell ref="B52:B53"/>
    <mergeCell ref="C52:C53"/>
    <mergeCell ref="D52:D53"/>
    <mergeCell ref="E52:E53"/>
    <mergeCell ref="F52:F53"/>
    <mergeCell ref="F50:F51"/>
    <mergeCell ref="G50:G51"/>
    <mergeCell ref="H50:H51"/>
    <mergeCell ref="I50:I51"/>
    <mergeCell ref="J50:J51"/>
    <mergeCell ref="K50:K51"/>
    <mergeCell ref="M52:M53"/>
    <mergeCell ref="N52:N53"/>
    <mergeCell ref="O52:O53"/>
    <mergeCell ref="I52:I53"/>
    <mergeCell ref="J52:J53"/>
    <mergeCell ref="K52:K53"/>
    <mergeCell ref="L52:L53"/>
    <mergeCell ref="N54:N55"/>
    <mergeCell ref="O54:O55"/>
    <mergeCell ref="A56:A57"/>
    <mergeCell ref="B56:B57"/>
    <mergeCell ref="C56:C57"/>
    <mergeCell ref="D56:D57"/>
    <mergeCell ref="E56:E57"/>
    <mergeCell ref="F56:F57"/>
    <mergeCell ref="G56:G57"/>
    <mergeCell ref="H56:H57"/>
    <mergeCell ref="H54:H55"/>
    <mergeCell ref="I54:I55"/>
    <mergeCell ref="J54:J55"/>
    <mergeCell ref="K54:K55"/>
    <mergeCell ref="L54:L55"/>
    <mergeCell ref="M54:M55"/>
    <mergeCell ref="A54:A55"/>
    <mergeCell ref="B54:B55"/>
    <mergeCell ref="C54:C55"/>
    <mergeCell ref="D54:D55"/>
    <mergeCell ref="E54:E55"/>
    <mergeCell ref="F54:F55"/>
    <mergeCell ref="G54:G55"/>
    <mergeCell ref="J58:J59"/>
    <mergeCell ref="K58:K59"/>
    <mergeCell ref="L58:L59"/>
    <mergeCell ref="M58:M59"/>
    <mergeCell ref="N58:N59"/>
    <mergeCell ref="O58:O59"/>
    <mergeCell ref="O56:O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I56:I57"/>
    <mergeCell ref="J56:J57"/>
    <mergeCell ref="K56:K57"/>
    <mergeCell ref="L56:L57"/>
    <mergeCell ref="M56:M57"/>
    <mergeCell ref="N56:N57"/>
    <mergeCell ref="O60:O61"/>
    <mergeCell ref="A62:A63"/>
    <mergeCell ref="B62:B63"/>
    <mergeCell ref="C62:C63"/>
    <mergeCell ref="D62:D63"/>
    <mergeCell ref="E62:E63"/>
    <mergeCell ref="F62:F63"/>
    <mergeCell ref="G62:G63"/>
    <mergeCell ref="G60:G61"/>
    <mergeCell ref="H60:H61"/>
    <mergeCell ref="I60:I61"/>
    <mergeCell ref="J60:J61"/>
    <mergeCell ref="K60:K61"/>
    <mergeCell ref="L60:L61"/>
    <mergeCell ref="A60:A61"/>
    <mergeCell ref="B60:B61"/>
    <mergeCell ref="C60:C61"/>
    <mergeCell ref="D60:D61"/>
    <mergeCell ref="E60:E61"/>
    <mergeCell ref="F60:F61"/>
    <mergeCell ref="N62:N63"/>
    <mergeCell ref="O62:O63"/>
    <mergeCell ref="A68:B68"/>
    <mergeCell ref="H62:H63"/>
    <mergeCell ref="I62:I63"/>
    <mergeCell ref="J62:J63"/>
    <mergeCell ref="K62:K63"/>
    <mergeCell ref="L62:L63"/>
    <mergeCell ref="M62:M63"/>
    <mergeCell ref="M60:M61"/>
    <mergeCell ref="N60:N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</mergeCells>
  <pageMargins left="0.7" right="0.7" top="0.75" bottom="0.75" header="0.3" footer="0.3"/>
  <pageSetup paperSize="122" orientation="portrait" horizontalDpi="18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AAB1-1610-4824-B0CB-843661D32477}">
  <dimension ref="A1:M70"/>
  <sheetViews>
    <sheetView topLeftCell="A7" zoomScale="25" zoomScaleNormal="25" workbookViewId="0">
      <selection activeCell="F41" sqref="F41:F42"/>
    </sheetView>
  </sheetViews>
  <sheetFormatPr defaultRowHeight="15" x14ac:dyDescent="0.25"/>
  <cols>
    <col min="1" max="1" width="42.7109375" customWidth="1"/>
    <col min="2" max="2" width="31.140625" customWidth="1"/>
    <col min="3" max="3" width="43.42578125" customWidth="1"/>
    <col min="4" max="4" width="50.85546875" customWidth="1"/>
    <col min="5" max="5" width="50.28515625" customWidth="1"/>
    <col min="6" max="6" width="46.28515625" customWidth="1"/>
    <col min="7" max="7" width="57.7109375" customWidth="1"/>
    <col min="8" max="8" width="54.28515625" customWidth="1"/>
    <col min="9" max="9" width="50.28515625" customWidth="1"/>
    <col min="10" max="10" width="36.5703125" customWidth="1"/>
    <col min="11" max="11" width="45.7109375" customWidth="1"/>
    <col min="12" max="12" width="28.7109375" bestFit="1" customWidth="1"/>
    <col min="13" max="13" width="97.28515625" bestFit="1" customWidth="1"/>
  </cols>
  <sheetData>
    <row r="1" spans="1:13" ht="276" customHeight="1" x14ac:dyDescent="0.25">
      <c r="A1" s="175" t="s">
        <v>108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3" ht="42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181" t="s">
        <v>8</v>
      </c>
      <c r="K2" s="181" t="s">
        <v>9</v>
      </c>
      <c r="L2" s="182" t="s">
        <v>10</v>
      </c>
      <c r="M2" s="183" t="s">
        <v>11</v>
      </c>
    </row>
    <row r="3" spans="1:13" ht="42" customHeight="1" x14ac:dyDescent="0.25">
      <c r="A3" s="177"/>
      <c r="B3" s="177"/>
      <c r="C3" s="50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1"/>
      <c r="K3" s="181"/>
      <c r="L3" s="182"/>
      <c r="M3" s="183"/>
    </row>
    <row r="4" spans="1:13" ht="42" customHeight="1" x14ac:dyDescent="0.25">
      <c r="A4" s="171" t="s">
        <v>20</v>
      </c>
      <c r="B4" s="171"/>
      <c r="C4" s="52">
        <f t="shared" ref="C4:H4" si="0">SUBTOTAL(9,C5:C18)</f>
        <v>20326756</v>
      </c>
      <c r="D4" s="52">
        <f t="shared" si="0"/>
        <v>13701476</v>
      </c>
      <c r="E4" s="52">
        <f t="shared" si="0"/>
        <v>88138844</v>
      </c>
      <c r="F4" s="52">
        <f t="shared" si="0"/>
        <v>27139526</v>
      </c>
      <c r="G4" s="52">
        <f t="shared" si="0"/>
        <v>0</v>
      </c>
      <c r="H4" s="52">
        <f t="shared" si="0"/>
        <v>130910150</v>
      </c>
      <c r="I4" s="52">
        <f>SUM(I5:I18)</f>
        <v>149306602</v>
      </c>
      <c r="J4" s="52">
        <f>SUM(J5:J18)</f>
        <v>100</v>
      </c>
      <c r="K4" s="52">
        <f>I4/J4</f>
        <v>1493066.02</v>
      </c>
      <c r="L4" s="52">
        <f>SUM(L5:L18)</f>
        <v>57</v>
      </c>
      <c r="M4" s="55"/>
    </row>
    <row r="5" spans="1:13" ht="34.5" customHeight="1" x14ac:dyDescent="0.25">
      <c r="A5" s="162">
        <v>45931</v>
      </c>
      <c r="B5" s="185" t="s">
        <v>32</v>
      </c>
      <c r="C5" s="159"/>
      <c r="D5" s="159"/>
      <c r="E5" s="159">
        <v>28945745</v>
      </c>
      <c r="F5" s="159"/>
      <c r="G5" s="159"/>
      <c r="H5" s="159">
        <v>25332200</v>
      </c>
      <c r="I5" s="159">
        <f t="shared" ref="I5:I17" si="1">SUM(C5:G6)</f>
        <v>28945745</v>
      </c>
      <c r="J5" s="159">
        <v>18</v>
      </c>
      <c r="K5" s="159">
        <f>I5/J5</f>
        <v>1608096.9444444445</v>
      </c>
      <c r="L5" s="159">
        <v>12</v>
      </c>
      <c r="M5" s="165"/>
    </row>
    <row r="6" spans="1:13" ht="34.5" customHeight="1" x14ac:dyDescent="0.25">
      <c r="A6" s="162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</row>
    <row r="7" spans="1:13" ht="34.5" customHeight="1" x14ac:dyDescent="0.25">
      <c r="A7" s="162">
        <v>45932</v>
      </c>
      <c r="B7" s="185" t="s">
        <v>21</v>
      </c>
      <c r="C7" s="159"/>
      <c r="D7" s="159">
        <v>6850788</v>
      </c>
      <c r="E7" s="159">
        <v>14797020</v>
      </c>
      <c r="F7" s="159">
        <v>2528310</v>
      </c>
      <c r="G7" s="159"/>
      <c r="H7" s="159">
        <v>21226550</v>
      </c>
      <c r="I7" s="159">
        <f t="shared" si="1"/>
        <v>24176118</v>
      </c>
      <c r="J7" s="159">
        <v>19</v>
      </c>
      <c r="K7" s="159">
        <f>I7/J7</f>
        <v>1272427.2631578948</v>
      </c>
      <c r="L7" s="159">
        <v>11</v>
      </c>
      <c r="M7" s="167" t="s">
        <v>46</v>
      </c>
    </row>
    <row r="8" spans="1:13" ht="34.5" customHeight="1" x14ac:dyDescent="0.25">
      <c r="A8" s="162"/>
      <c r="B8" s="164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6"/>
    </row>
    <row r="9" spans="1:13" ht="64.5" customHeight="1" x14ac:dyDescent="0.25">
      <c r="A9" s="162">
        <v>45933</v>
      </c>
      <c r="B9" s="185" t="s">
        <v>23</v>
      </c>
      <c r="C9" s="159"/>
      <c r="D9" s="159"/>
      <c r="E9" s="159">
        <v>16971772</v>
      </c>
      <c r="F9" s="159">
        <v>1939878</v>
      </c>
      <c r="G9" s="159"/>
      <c r="H9" s="159">
        <v>16658050</v>
      </c>
      <c r="I9" s="159">
        <f t="shared" si="1"/>
        <v>18911650</v>
      </c>
      <c r="J9" s="159">
        <v>16</v>
      </c>
      <c r="K9" s="159">
        <f>I9/J9</f>
        <v>1181978.125</v>
      </c>
      <c r="L9" s="159">
        <v>7</v>
      </c>
      <c r="M9" s="167" t="s">
        <v>109</v>
      </c>
    </row>
    <row r="10" spans="1:13" ht="64.5" customHeight="1" x14ac:dyDescent="0.25">
      <c r="A10" s="162"/>
      <c r="B10" s="186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6"/>
    </row>
    <row r="11" spans="1:13" ht="34.5" customHeight="1" x14ac:dyDescent="0.25">
      <c r="A11" s="162">
        <v>45934</v>
      </c>
      <c r="B11" s="185" t="s">
        <v>25</v>
      </c>
      <c r="C11" s="159"/>
      <c r="D11" s="159"/>
      <c r="E11" s="159">
        <v>9063600</v>
      </c>
      <c r="F11" s="159">
        <v>460744</v>
      </c>
      <c r="G11" s="159"/>
      <c r="H11" s="159">
        <v>8331300</v>
      </c>
      <c r="I11" s="159">
        <f t="shared" si="1"/>
        <v>9524344</v>
      </c>
      <c r="J11" s="159">
        <v>9</v>
      </c>
      <c r="K11" s="159">
        <f>I11/J11</f>
        <v>1058260.4444444445</v>
      </c>
      <c r="L11" s="159">
        <v>6</v>
      </c>
      <c r="M11" s="167" t="s">
        <v>110</v>
      </c>
    </row>
    <row r="12" spans="1:13" ht="34.5" customHeight="1" x14ac:dyDescent="0.25">
      <c r="A12" s="162"/>
      <c r="B12" s="186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6"/>
    </row>
    <row r="13" spans="1:13" ht="46.5" customHeight="1" x14ac:dyDescent="0.25">
      <c r="A13" s="162">
        <v>45935</v>
      </c>
      <c r="B13" s="185" t="s">
        <v>27</v>
      </c>
      <c r="C13" s="159">
        <v>17385160</v>
      </c>
      <c r="D13" s="159">
        <v>5000000</v>
      </c>
      <c r="E13" s="159">
        <v>5155235</v>
      </c>
      <c r="F13" s="159">
        <v>22210594</v>
      </c>
      <c r="G13" s="159"/>
      <c r="H13" s="159">
        <v>43558050</v>
      </c>
      <c r="I13" s="159">
        <f t="shared" si="1"/>
        <v>49750989</v>
      </c>
      <c r="J13" s="159">
        <v>16</v>
      </c>
      <c r="K13" s="159">
        <f>I13/J13</f>
        <v>3109436.8125</v>
      </c>
      <c r="L13" s="159">
        <v>6</v>
      </c>
      <c r="M13" s="167" t="s">
        <v>111</v>
      </c>
    </row>
    <row r="14" spans="1:13" ht="46.5" customHeight="1" x14ac:dyDescent="0.25">
      <c r="A14" s="162"/>
      <c r="B14" s="164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6"/>
    </row>
    <row r="15" spans="1:13" ht="34.5" customHeight="1" x14ac:dyDescent="0.25">
      <c r="A15" s="162">
        <v>45936</v>
      </c>
      <c r="B15" s="185" t="s">
        <v>30</v>
      </c>
      <c r="C15" s="159">
        <v>2941596</v>
      </c>
      <c r="D15" s="159"/>
      <c r="E15" s="159">
        <v>5861520</v>
      </c>
      <c r="F15" s="159"/>
      <c r="G15" s="159"/>
      <c r="H15" s="159">
        <f>7739000-0</f>
        <v>7739000</v>
      </c>
      <c r="I15" s="159">
        <f t="shared" si="1"/>
        <v>8803116</v>
      </c>
      <c r="J15" s="159">
        <v>13</v>
      </c>
      <c r="K15" s="159">
        <f>I15/J15</f>
        <v>677162.76923076925</v>
      </c>
      <c r="L15" s="159">
        <v>6</v>
      </c>
      <c r="M15" s="165"/>
    </row>
    <row r="16" spans="1:13" ht="34.5" customHeight="1" x14ac:dyDescent="0.25">
      <c r="A16" s="162"/>
      <c r="B16" s="164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6"/>
    </row>
    <row r="17" spans="1:13" ht="34.5" customHeight="1" x14ac:dyDescent="0.25">
      <c r="A17" s="162">
        <v>45937</v>
      </c>
      <c r="B17" s="185" t="s">
        <v>31</v>
      </c>
      <c r="C17" s="159"/>
      <c r="D17" s="161">
        <v>1850688</v>
      </c>
      <c r="E17" s="159">
        <v>7343952</v>
      </c>
      <c r="F17" s="159"/>
      <c r="G17" s="159"/>
      <c r="H17" s="159">
        <f>8193000-128000</f>
        <v>8065000</v>
      </c>
      <c r="I17" s="159">
        <f t="shared" si="1"/>
        <v>9194640</v>
      </c>
      <c r="J17" s="159">
        <v>9</v>
      </c>
      <c r="K17" s="159">
        <f>I17/J17</f>
        <v>1021626.6666666666</v>
      </c>
      <c r="L17" s="159">
        <v>9</v>
      </c>
      <c r="M17" s="165"/>
    </row>
    <row r="18" spans="1:13" ht="34.5" customHeight="1" x14ac:dyDescent="0.25">
      <c r="A18" s="162"/>
      <c r="B18" s="164"/>
      <c r="C18" s="160"/>
      <c r="D18" s="161"/>
      <c r="E18" s="160"/>
      <c r="F18" s="160"/>
      <c r="G18" s="160"/>
      <c r="H18" s="160"/>
      <c r="I18" s="160"/>
      <c r="J18" s="160"/>
      <c r="K18" s="160"/>
      <c r="L18" s="160"/>
      <c r="M18" s="166"/>
    </row>
    <row r="19" spans="1:13" ht="34.5" customHeight="1" x14ac:dyDescent="0.25">
      <c r="A19" s="171" t="s">
        <v>29</v>
      </c>
      <c r="B19" s="171"/>
      <c r="C19" s="52">
        <f t="shared" ref="C19:H19" si="2">SUBTOTAL(9,C20:C33)</f>
        <v>2351654</v>
      </c>
      <c r="D19" s="52">
        <f t="shared" si="2"/>
        <v>3730860</v>
      </c>
      <c r="E19" s="52">
        <f t="shared" si="2"/>
        <v>40532758</v>
      </c>
      <c r="F19" s="52">
        <f t="shared" si="2"/>
        <v>42525122</v>
      </c>
      <c r="G19" s="52">
        <f t="shared" si="2"/>
        <v>0</v>
      </c>
      <c r="H19" s="52">
        <f t="shared" si="2"/>
        <v>78310150</v>
      </c>
      <c r="I19" s="52">
        <f>SUM(I20:I33)</f>
        <v>89140394</v>
      </c>
      <c r="J19" s="52">
        <f>SUM(J20:J33)</f>
        <v>61</v>
      </c>
      <c r="K19" s="52">
        <f>I19/J19</f>
        <v>1461317.9344262294</v>
      </c>
      <c r="L19" s="52">
        <f>SUM(L20:L33)</f>
        <v>32</v>
      </c>
      <c r="M19" s="55"/>
    </row>
    <row r="20" spans="1:13" ht="34.5" customHeight="1" x14ac:dyDescent="0.25">
      <c r="A20" s="162">
        <v>45938</v>
      </c>
      <c r="B20" s="185" t="s">
        <v>32</v>
      </c>
      <c r="C20" s="161"/>
      <c r="D20" s="161">
        <v>3730860</v>
      </c>
      <c r="E20" s="159">
        <v>2353092</v>
      </c>
      <c r="F20" s="161">
        <v>23388637</v>
      </c>
      <c r="G20" s="161"/>
      <c r="H20" s="161">
        <v>25982900</v>
      </c>
      <c r="I20" s="159">
        <f t="shared" ref="I20:I22" si="3">SUM(C20:G21)</f>
        <v>29472589</v>
      </c>
      <c r="J20" s="161">
        <v>12</v>
      </c>
      <c r="K20" s="161">
        <f>I20/J20</f>
        <v>2456049.0833333335</v>
      </c>
      <c r="L20" s="161">
        <v>4</v>
      </c>
      <c r="M20" s="168" t="s">
        <v>69</v>
      </c>
    </row>
    <row r="21" spans="1:13" ht="34.5" customHeight="1" x14ac:dyDescent="0.25">
      <c r="A21" s="162"/>
      <c r="B21" s="164"/>
      <c r="C21" s="161"/>
      <c r="D21" s="161"/>
      <c r="E21" s="160"/>
      <c r="F21" s="161"/>
      <c r="G21" s="161"/>
      <c r="H21" s="161"/>
      <c r="I21" s="160"/>
      <c r="J21" s="161"/>
      <c r="K21" s="161"/>
      <c r="L21" s="161"/>
      <c r="M21" s="166"/>
    </row>
    <row r="22" spans="1:13" ht="34.5" customHeight="1" x14ac:dyDescent="0.25">
      <c r="A22" s="162">
        <v>45939</v>
      </c>
      <c r="B22" s="185" t="s">
        <v>21</v>
      </c>
      <c r="C22" s="161"/>
      <c r="D22" s="161"/>
      <c r="E22" s="159">
        <v>15968631</v>
      </c>
      <c r="F22" s="161"/>
      <c r="G22" s="161"/>
      <c r="H22" s="161">
        <v>14026500</v>
      </c>
      <c r="I22" s="159">
        <f t="shared" si="3"/>
        <v>15968631</v>
      </c>
      <c r="J22" s="161">
        <v>9</v>
      </c>
      <c r="K22" s="161">
        <f>I22/J22</f>
        <v>1774292.3333333333</v>
      </c>
      <c r="L22" s="161">
        <v>5</v>
      </c>
      <c r="M22" s="166"/>
    </row>
    <row r="23" spans="1:13" ht="34.5" customHeight="1" x14ac:dyDescent="0.25">
      <c r="A23" s="162"/>
      <c r="B23" s="164"/>
      <c r="C23" s="161"/>
      <c r="D23" s="161"/>
      <c r="E23" s="160"/>
      <c r="F23" s="161"/>
      <c r="G23" s="161"/>
      <c r="H23" s="161"/>
      <c r="I23" s="160"/>
      <c r="J23" s="161"/>
      <c r="K23" s="161"/>
      <c r="L23" s="161"/>
      <c r="M23" s="166"/>
    </row>
    <row r="24" spans="1:13" ht="34.5" customHeight="1" x14ac:dyDescent="0.25">
      <c r="A24" s="162">
        <v>45940</v>
      </c>
      <c r="B24" s="185" t="s">
        <v>23</v>
      </c>
      <c r="C24" s="161"/>
      <c r="D24" s="161"/>
      <c r="E24" s="159"/>
      <c r="F24" s="161"/>
      <c r="G24" s="161"/>
      <c r="H24" s="161">
        <v>0</v>
      </c>
      <c r="I24" s="173">
        <v>0</v>
      </c>
      <c r="J24" s="161">
        <v>0</v>
      </c>
      <c r="K24" s="159"/>
      <c r="L24" s="161">
        <v>0</v>
      </c>
      <c r="M24" s="166"/>
    </row>
    <row r="25" spans="1:13" ht="34.5" customHeight="1" x14ac:dyDescent="0.25">
      <c r="A25" s="162"/>
      <c r="B25" s="186"/>
      <c r="C25" s="161"/>
      <c r="D25" s="161"/>
      <c r="E25" s="160"/>
      <c r="F25" s="161"/>
      <c r="G25" s="161"/>
      <c r="H25" s="161"/>
      <c r="I25" s="161"/>
      <c r="J25" s="161"/>
      <c r="K25" s="160"/>
      <c r="L25" s="161"/>
      <c r="M25" s="166"/>
    </row>
    <row r="26" spans="1:13" ht="34.5" customHeight="1" x14ac:dyDescent="0.25">
      <c r="A26" s="162">
        <v>45941</v>
      </c>
      <c r="B26" s="185" t="s">
        <v>25</v>
      </c>
      <c r="C26" s="161">
        <v>759066</v>
      </c>
      <c r="D26" s="161"/>
      <c r="E26" s="159">
        <v>3015617</v>
      </c>
      <c r="F26" s="161">
        <v>9701643</v>
      </c>
      <c r="G26" s="161"/>
      <c r="H26" s="161">
        <v>11866200</v>
      </c>
      <c r="I26" s="159">
        <f t="shared" ref="I26:I32" si="4">SUM(C26:G27)</f>
        <v>13476326</v>
      </c>
      <c r="J26" s="161">
        <v>14</v>
      </c>
      <c r="K26" s="161">
        <f>I26/J26</f>
        <v>962594.71428571432</v>
      </c>
      <c r="L26" s="161">
        <v>6</v>
      </c>
      <c r="M26" s="168" t="s">
        <v>112</v>
      </c>
    </row>
    <row r="27" spans="1:13" ht="34.5" customHeight="1" x14ac:dyDescent="0.25">
      <c r="A27" s="162"/>
      <c r="B27" s="186"/>
      <c r="C27" s="161"/>
      <c r="D27" s="161"/>
      <c r="E27" s="160"/>
      <c r="F27" s="161"/>
      <c r="G27" s="161"/>
      <c r="H27" s="161"/>
      <c r="I27" s="160"/>
      <c r="J27" s="161"/>
      <c r="K27" s="161"/>
      <c r="L27" s="161"/>
      <c r="M27" s="166"/>
    </row>
    <row r="28" spans="1:13" ht="34.5" customHeight="1" x14ac:dyDescent="0.25">
      <c r="A28" s="162">
        <v>45942</v>
      </c>
      <c r="B28" s="185" t="s">
        <v>27</v>
      </c>
      <c r="C28" s="161">
        <v>245438</v>
      </c>
      <c r="D28" s="161"/>
      <c r="E28" s="159">
        <v>4845838</v>
      </c>
      <c r="F28" s="161"/>
      <c r="G28" s="161"/>
      <c r="H28" s="159">
        <v>4459800</v>
      </c>
      <c r="I28" s="159">
        <f t="shared" si="4"/>
        <v>5091276</v>
      </c>
      <c r="J28" s="161">
        <v>3</v>
      </c>
      <c r="K28" s="161">
        <f>I28/J28</f>
        <v>1697092</v>
      </c>
      <c r="L28" s="161">
        <v>4</v>
      </c>
      <c r="M28" s="166"/>
    </row>
    <row r="29" spans="1:13" ht="34.5" customHeight="1" x14ac:dyDescent="0.25">
      <c r="A29" s="162"/>
      <c r="B29" s="164"/>
      <c r="C29" s="161"/>
      <c r="D29" s="161"/>
      <c r="E29" s="160"/>
      <c r="F29" s="161"/>
      <c r="G29" s="161"/>
      <c r="H29" s="160"/>
      <c r="I29" s="160"/>
      <c r="J29" s="161"/>
      <c r="K29" s="161"/>
      <c r="L29" s="161"/>
      <c r="M29" s="166"/>
    </row>
    <row r="30" spans="1:13" ht="67.5" customHeight="1" x14ac:dyDescent="0.25">
      <c r="A30" s="162">
        <v>45943</v>
      </c>
      <c r="B30" s="185" t="s">
        <v>30</v>
      </c>
      <c r="C30" s="161"/>
      <c r="D30" s="161"/>
      <c r="E30" s="159">
        <v>2232048</v>
      </c>
      <c r="F30" s="161">
        <v>9434842</v>
      </c>
      <c r="G30" s="161"/>
      <c r="H30" s="159">
        <v>10220300</v>
      </c>
      <c r="I30" s="159">
        <f t="shared" si="4"/>
        <v>11666890</v>
      </c>
      <c r="J30" s="161">
        <v>8</v>
      </c>
      <c r="K30" s="161">
        <f>I30/J30</f>
        <v>1458361.25</v>
      </c>
      <c r="L30" s="161">
        <v>5</v>
      </c>
      <c r="M30" s="167" t="s">
        <v>113</v>
      </c>
    </row>
    <row r="31" spans="1:13" ht="67.5" customHeight="1" x14ac:dyDescent="0.25">
      <c r="A31" s="162"/>
      <c r="B31" s="164"/>
      <c r="C31" s="161"/>
      <c r="D31" s="161"/>
      <c r="E31" s="160"/>
      <c r="F31" s="161"/>
      <c r="G31" s="161"/>
      <c r="H31" s="160"/>
      <c r="I31" s="160"/>
      <c r="J31" s="161"/>
      <c r="K31" s="161"/>
      <c r="L31" s="161"/>
      <c r="M31" s="166"/>
    </row>
    <row r="32" spans="1:13" ht="34.5" customHeight="1" x14ac:dyDescent="0.25">
      <c r="A32" s="162">
        <v>45944</v>
      </c>
      <c r="B32" s="185" t="s">
        <v>31</v>
      </c>
      <c r="C32" s="161">
        <v>1347150</v>
      </c>
      <c r="D32" s="161"/>
      <c r="E32" s="159">
        <v>12117532</v>
      </c>
      <c r="F32" s="161"/>
      <c r="G32" s="161"/>
      <c r="H32" s="159">
        <v>11754450</v>
      </c>
      <c r="I32" s="159">
        <f t="shared" si="4"/>
        <v>13464682</v>
      </c>
      <c r="J32" s="161">
        <v>15</v>
      </c>
      <c r="K32" s="161">
        <f>I32/J32</f>
        <v>897645.46666666667</v>
      </c>
      <c r="L32" s="161">
        <v>8</v>
      </c>
      <c r="M32" s="166"/>
    </row>
    <row r="33" spans="1:13" ht="34.5" customHeight="1" x14ac:dyDescent="0.25">
      <c r="A33" s="162"/>
      <c r="B33" s="164"/>
      <c r="C33" s="161"/>
      <c r="D33" s="161"/>
      <c r="E33" s="160"/>
      <c r="F33" s="161"/>
      <c r="G33" s="161"/>
      <c r="H33" s="160"/>
      <c r="I33" s="160"/>
      <c r="J33" s="161"/>
      <c r="K33" s="161"/>
      <c r="L33" s="161"/>
      <c r="M33" s="166"/>
    </row>
    <row r="34" spans="1:13" ht="34.5" customHeight="1" x14ac:dyDescent="0.25">
      <c r="A34" s="171" t="s">
        <v>34</v>
      </c>
      <c r="B34" s="171"/>
      <c r="C34" s="52">
        <f t="shared" ref="C34:I34" si="5">SUM(C35:C48)</f>
        <v>25569564</v>
      </c>
      <c r="D34" s="52">
        <f t="shared" si="5"/>
        <v>304276722</v>
      </c>
      <c r="E34" s="52">
        <f t="shared" si="5"/>
        <v>66378312</v>
      </c>
      <c r="F34" s="52">
        <f t="shared" si="5"/>
        <v>58814446</v>
      </c>
      <c r="G34" s="52">
        <f t="shared" si="5"/>
        <v>0</v>
      </c>
      <c r="H34" s="52">
        <f t="shared" si="5"/>
        <v>400519275</v>
      </c>
      <c r="I34" s="52">
        <f t="shared" si="5"/>
        <v>455039044</v>
      </c>
      <c r="J34" s="52">
        <f>SUM(J35:J48)</f>
        <v>244</v>
      </c>
      <c r="K34" s="52">
        <f>I34/J34</f>
        <v>1864914.1147540985</v>
      </c>
      <c r="L34" s="52">
        <f>SUM(L35:L48)</f>
        <v>45</v>
      </c>
      <c r="M34" s="55"/>
    </row>
    <row r="35" spans="1:13" ht="34.5" customHeight="1" x14ac:dyDescent="0.25">
      <c r="A35" s="172">
        <v>45945</v>
      </c>
      <c r="B35" s="185" t="s">
        <v>32</v>
      </c>
      <c r="C35" s="161"/>
      <c r="D35" s="161">
        <v>1264410</v>
      </c>
      <c r="E35" s="161">
        <v>3399018</v>
      </c>
      <c r="F35" s="161"/>
      <c r="G35" s="161"/>
      <c r="H35" s="161">
        <v>4097000</v>
      </c>
      <c r="I35" s="161">
        <f>SUM(C35:G36)</f>
        <v>4663428</v>
      </c>
      <c r="J35" s="161">
        <v>4</v>
      </c>
      <c r="K35" s="161">
        <f>I35/J35</f>
        <v>1165857</v>
      </c>
      <c r="L35" s="161">
        <v>3</v>
      </c>
      <c r="M35" s="166"/>
    </row>
    <row r="36" spans="1:13" ht="34.5" customHeight="1" x14ac:dyDescent="0.25">
      <c r="A36" s="162"/>
      <c r="B36" s="16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6"/>
    </row>
    <row r="37" spans="1:13" ht="70.5" customHeight="1" x14ac:dyDescent="0.25">
      <c r="A37" s="172">
        <v>45946</v>
      </c>
      <c r="B37" s="185" t="s">
        <v>21</v>
      </c>
      <c r="C37" s="161">
        <v>3351222</v>
      </c>
      <c r="D37" s="161"/>
      <c r="E37" s="161">
        <v>20245806</v>
      </c>
      <c r="F37" s="161">
        <v>15546108</v>
      </c>
      <c r="G37" s="161"/>
      <c r="H37" s="161">
        <v>34363775</v>
      </c>
      <c r="I37" s="161">
        <f>SUM(C37:G38)</f>
        <v>39143136</v>
      </c>
      <c r="J37" s="161">
        <v>31</v>
      </c>
      <c r="K37" s="161">
        <f>I37/J37</f>
        <v>1262681.8064516129</v>
      </c>
      <c r="L37" s="161">
        <v>11</v>
      </c>
      <c r="M37" s="167" t="s">
        <v>109</v>
      </c>
    </row>
    <row r="38" spans="1:13" ht="70.5" customHeight="1" x14ac:dyDescent="0.25">
      <c r="A38" s="162"/>
      <c r="B38" s="16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6"/>
    </row>
    <row r="39" spans="1:13" ht="34.5" customHeight="1" x14ac:dyDescent="0.25">
      <c r="A39" s="172">
        <v>45947</v>
      </c>
      <c r="B39" s="185" t="s">
        <v>23</v>
      </c>
      <c r="C39" s="161">
        <v>9923634</v>
      </c>
      <c r="D39" s="161"/>
      <c r="E39" s="161">
        <v>14632758</v>
      </c>
      <c r="F39" s="161">
        <v>3509901</v>
      </c>
      <c r="G39" s="161"/>
      <c r="H39" s="161">
        <v>24733150</v>
      </c>
      <c r="I39" s="161">
        <f>SUM(C39:G40)</f>
        <v>28066293</v>
      </c>
      <c r="J39" s="161">
        <v>26</v>
      </c>
      <c r="K39" s="161">
        <f>I39/J39</f>
        <v>1079472.8076923077</v>
      </c>
      <c r="L39" s="161">
        <v>5</v>
      </c>
      <c r="M39" s="168" t="s">
        <v>46</v>
      </c>
    </row>
    <row r="40" spans="1:13" ht="34.5" customHeight="1" x14ac:dyDescent="0.25">
      <c r="A40" s="162"/>
      <c r="B40" s="186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6"/>
    </row>
    <row r="41" spans="1:13" ht="34.5" customHeight="1" x14ac:dyDescent="0.25">
      <c r="A41" s="172">
        <v>45948</v>
      </c>
      <c r="B41" s="185" t="s">
        <v>25</v>
      </c>
      <c r="C41" s="161">
        <v>7403382</v>
      </c>
      <c r="D41" s="161">
        <v>50088402</v>
      </c>
      <c r="E41" s="161">
        <v>19891704</v>
      </c>
      <c r="F41" s="161">
        <v>847098</v>
      </c>
      <c r="G41" s="161"/>
      <c r="H41" s="161">
        <v>68574000</v>
      </c>
      <c r="I41" s="161">
        <f>SUM(C41:G42)</f>
        <v>78230586</v>
      </c>
      <c r="J41" s="161">
        <v>42</v>
      </c>
      <c r="K41" s="161">
        <f>I41/J41</f>
        <v>1862633</v>
      </c>
      <c r="L41" s="161">
        <v>14</v>
      </c>
      <c r="M41" s="174" t="s">
        <v>114</v>
      </c>
    </row>
    <row r="42" spans="1:13" ht="34.5" customHeight="1" x14ac:dyDescent="0.25">
      <c r="A42" s="162"/>
      <c r="B42" s="186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70"/>
    </row>
    <row r="43" spans="1:13" ht="34.5" customHeight="1" x14ac:dyDescent="0.25">
      <c r="A43" s="172">
        <v>45949</v>
      </c>
      <c r="B43" s="185" t="s">
        <v>27</v>
      </c>
      <c r="C43" s="161"/>
      <c r="D43" s="161"/>
      <c r="E43" s="161">
        <v>8209026</v>
      </c>
      <c r="F43" s="161">
        <v>38911339</v>
      </c>
      <c r="G43" s="161"/>
      <c r="H43" s="161">
        <v>41502350</v>
      </c>
      <c r="I43" s="161">
        <f>SUM(C43:G44)</f>
        <v>47120365</v>
      </c>
      <c r="J43" s="161">
        <v>12</v>
      </c>
      <c r="K43" s="161">
        <f>I43/J43</f>
        <v>3926697.0833333335</v>
      </c>
      <c r="L43" s="161">
        <v>5</v>
      </c>
      <c r="M43" s="168" t="s">
        <v>69</v>
      </c>
    </row>
    <row r="44" spans="1:13" ht="34.5" customHeight="1" x14ac:dyDescent="0.25">
      <c r="A44" s="162"/>
      <c r="B44" s="16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6"/>
    </row>
    <row r="45" spans="1:13" ht="34.5" customHeight="1" x14ac:dyDescent="0.25">
      <c r="A45" s="172">
        <v>45950</v>
      </c>
      <c r="B45" s="185" t="s">
        <v>30</v>
      </c>
      <c r="C45" s="161">
        <v>4246326</v>
      </c>
      <c r="D45" s="161">
        <v>6923910</v>
      </c>
      <c r="E45" s="161"/>
      <c r="F45" s="161"/>
      <c r="G45" s="161"/>
      <c r="H45" s="161">
        <v>9749000</v>
      </c>
      <c r="I45" s="161">
        <f>SUM(C45:G46)</f>
        <v>11170236</v>
      </c>
      <c r="J45" s="161">
        <v>6</v>
      </c>
      <c r="K45" s="161">
        <f>I45/J45</f>
        <v>1861706</v>
      </c>
      <c r="L45" s="161">
        <v>6</v>
      </c>
      <c r="M45" s="166"/>
    </row>
    <row r="46" spans="1:13" ht="34.5" customHeight="1" x14ac:dyDescent="0.25">
      <c r="A46" s="162"/>
      <c r="B46" s="164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6"/>
    </row>
    <row r="47" spans="1:13" ht="34.5" customHeight="1" x14ac:dyDescent="0.25">
      <c r="A47" s="172">
        <v>45951</v>
      </c>
      <c r="B47" s="185" t="s">
        <v>31</v>
      </c>
      <c r="C47" s="161">
        <v>645000</v>
      </c>
      <c r="D47" s="161">
        <v>246000000</v>
      </c>
      <c r="E47" s="161"/>
      <c r="F47" s="161"/>
      <c r="G47" s="161"/>
      <c r="H47" s="161">
        <v>217500000</v>
      </c>
      <c r="I47" s="161">
        <f>SUM(C47:G48)</f>
        <v>246645000</v>
      </c>
      <c r="J47" s="161">
        <v>123</v>
      </c>
      <c r="K47" s="161">
        <f>I47/J47</f>
        <v>2005243.9024390243</v>
      </c>
      <c r="L47" s="161">
        <v>1</v>
      </c>
      <c r="M47" s="166"/>
    </row>
    <row r="48" spans="1:13" ht="34.5" customHeight="1" x14ac:dyDescent="0.25">
      <c r="A48" s="162"/>
      <c r="B48" s="16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6"/>
    </row>
    <row r="49" spans="1:13" ht="34.5" customHeight="1" x14ac:dyDescent="0.25">
      <c r="A49" s="171" t="s">
        <v>36</v>
      </c>
      <c r="B49" s="171"/>
      <c r="C49" s="52">
        <f>SUM(C50:C69)</f>
        <v>27142753</v>
      </c>
      <c r="D49" s="52">
        <f t="shared" ref="D49:I49" si="6">SUM(D50:D69)</f>
        <v>20787829</v>
      </c>
      <c r="E49" s="52">
        <f t="shared" si="6"/>
        <v>150720355</v>
      </c>
      <c r="F49" s="52">
        <f t="shared" si="6"/>
        <v>37735928</v>
      </c>
      <c r="G49" s="52">
        <f t="shared" si="6"/>
        <v>0</v>
      </c>
      <c r="H49" s="52">
        <f t="shared" si="6"/>
        <v>207033444</v>
      </c>
      <c r="I49" s="52">
        <f t="shared" si="6"/>
        <v>236386865</v>
      </c>
      <c r="J49" s="52">
        <f>SUM(J50:J69)</f>
        <v>221</v>
      </c>
      <c r="K49" s="52">
        <f>I49/J49</f>
        <v>1069623.8235294118</v>
      </c>
      <c r="L49" s="52">
        <f>SUM(L50:L68)</f>
        <v>162</v>
      </c>
      <c r="M49" s="52">
        <f ca="1">SUM(M49:M61)</f>
        <v>0</v>
      </c>
    </row>
    <row r="50" spans="1:13" ht="34.5" customHeight="1" x14ac:dyDescent="0.25">
      <c r="A50" s="162">
        <v>45952</v>
      </c>
      <c r="B50" s="185" t="s">
        <v>32</v>
      </c>
      <c r="C50" s="161">
        <v>1217328</v>
      </c>
      <c r="D50" s="161"/>
      <c r="E50" s="161">
        <v>21143346</v>
      </c>
      <c r="F50" s="161">
        <v>1376676</v>
      </c>
      <c r="G50" s="161"/>
      <c r="H50" s="161">
        <v>20720000</v>
      </c>
      <c r="I50" s="161">
        <f>SUM(C50:G51)</f>
        <v>23737350</v>
      </c>
      <c r="J50" s="161">
        <v>16</v>
      </c>
      <c r="K50" s="161">
        <f>I50/J50</f>
        <v>1483584.375</v>
      </c>
      <c r="L50" s="161">
        <v>9</v>
      </c>
      <c r="M50" s="167" t="s">
        <v>54</v>
      </c>
    </row>
    <row r="51" spans="1:13" ht="34.5" customHeight="1" x14ac:dyDescent="0.25">
      <c r="A51" s="162"/>
      <c r="B51" s="186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6"/>
    </row>
    <row r="52" spans="1:13" ht="34.5" customHeight="1" x14ac:dyDescent="0.25">
      <c r="A52" s="162">
        <v>45953</v>
      </c>
      <c r="B52" s="185" t="s">
        <v>21</v>
      </c>
      <c r="C52" s="161">
        <v>6741336</v>
      </c>
      <c r="D52" s="161"/>
      <c r="E52" s="161">
        <v>10525838</v>
      </c>
      <c r="F52" s="161"/>
      <c r="G52" s="161"/>
      <c r="H52" s="161">
        <v>15142600</v>
      </c>
      <c r="I52" s="161">
        <f>SUM(C52:G53)</f>
        <v>17267174</v>
      </c>
      <c r="J52" s="161">
        <v>14</v>
      </c>
      <c r="K52" s="161">
        <f>I52/J52</f>
        <v>1233369.5714285714</v>
      </c>
      <c r="L52" s="161">
        <v>11</v>
      </c>
      <c r="M52" s="167"/>
    </row>
    <row r="53" spans="1:13" ht="34.5" customHeight="1" x14ac:dyDescent="0.25">
      <c r="A53" s="162"/>
      <c r="B53" s="186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6"/>
    </row>
    <row r="54" spans="1:13" ht="34.5" customHeight="1" x14ac:dyDescent="0.25">
      <c r="A54" s="162">
        <v>45954</v>
      </c>
      <c r="B54" s="185" t="s">
        <v>23</v>
      </c>
      <c r="C54" s="161"/>
      <c r="D54" s="161">
        <v>10000000</v>
      </c>
      <c r="E54" s="161">
        <v>51987254</v>
      </c>
      <c r="F54" s="161"/>
      <c r="G54" s="161"/>
      <c r="H54" s="161">
        <v>54181000</v>
      </c>
      <c r="I54" s="161">
        <f>SUM(C54:G55)</f>
        <v>61987254</v>
      </c>
      <c r="J54" s="161">
        <v>31</v>
      </c>
      <c r="K54" s="161">
        <f>I54/J54</f>
        <v>1999588.8387096773</v>
      </c>
      <c r="L54" s="161">
        <v>10</v>
      </c>
      <c r="M54" s="167"/>
    </row>
    <row r="55" spans="1:13" ht="34.5" customHeight="1" x14ac:dyDescent="0.25">
      <c r="A55" s="162"/>
      <c r="B55" s="186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6"/>
    </row>
    <row r="56" spans="1:13" ht="34.5" customHeight="1" x14ac:dyDescent="0.25">
      <c r="A56" s="162">
        <v>45955</v>
      </c>
      <c r="B56" s="185" t="s">
        <v>25</v>
      </c>
      <c r="C56" s="161">
        <v>3577686</v>
      </c>
      <c r="D56" s="161">
        <v>5675670</v>
      </c>
      <c r="E56" s="161">
        <v>12444823</v>
      </c>
      <c r="F56" s="161"/>
      <c r="G56" s="161"/>
      <c r="H56" s="161">
        <v>19077900</v>
      </c>
      <c r="I56" s="161">
        <f>SUM(C56:G57)</f>
        <v>21698179</v>
      </c>
      <c r="J56" s="161">
        <v>21</v>
      </c>
      <c r="K56" s="161">
        <f>I56/J56</f>
        <v>1033246.6190476191</v>
      </c>
      <c r="L56" s="161">
        <v>12</v>
      </c>
      <c r="M56" s="167"/>
    </row>
    <row r="57" spans="1:13" ht="34.5" customHeight="1" x14ac:dyDescent="0.25">
      <c r="A57" s="162"/>
      <c r="B57" s="186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6"/>
    </row>
    <row r="58" spans="1:13" ht="34.5" customHeight="1" x14ac:dyDescent="0.25">
      <c r="A58" s="162">
        <v>45956</v>
      </c>
      <c r="B58" s="185" t="s">
        <v>27</v>
      </c>
      <c r="C58" s="161">
        <v>2174718</v>
      </c>
      <c r="D58" s="161">
        <v>2554062</v>
      </c>
      <c r="E58" s="161">
        <v>9440550</v>
      </c>
      <c r="F58" s="161">
        <v>33891270</v>
      </c>
      <c r="G58" s="161"/>
      <c r="H58" s="161">
        <v>42225000</v>
      </c>
      <c r="I58" s="161">
        <f>SUM(C58:G59)</f>
        <v>48060600</v>
      </c>
      <c r="J58" s="161">
        <v>33</v>
      </c>
      <c r="K58" s="161">
        <f>I58/J58</f>
        <v>1456381.8181818181</v>
      </c>
      <c r="L58" s="161">
        <v>18</v>
      </c>
      <c r="M58" s="167" t="s">
        <v>115</v>
      </c>
    </row>
    <row r="59" spans="1:13" ht="118.5" customHeight="1" x14ac:dyDescent="0.25">
      <c r="A59" s="162"/>
      <c r="B59" s="186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6"/>
    </row>
    <row r="60" spans="1:13" ht="34.5" customHeight="1" x14ac:dyDescent="0.25">
      <c r="A60" s="162">
        <v>45957</v>
      </c>
      <c r="B60" s="185" t="s">
        <v>30</v>
      </c>
      <c r="C60" s="161">
        <v>133812</v>
      </c>
      <c r="D60" s="161"/>
      <c r="E60" s="161">
        <v>1542450</v>
      </c>
      <c r="F60" s="161"/>
      <c r="G60" s="161"/>
      <c r="H60" s="161">
        <v>1468000</v>
      </c>
      <c r="I60" s="161">
        <f>SUM(C60:G61)</f>
        <v>1676262</v>
      </c>
      <c r="J60" s="161">
        <v>2</v>
      </c>
      <c r="K60" s="159">
        <f>I60/J60</f>
        <v>838131</v>
      </c>
      <c r="L60" s="161">
        <v>3</v>
      </c>
      <c r="M60" s="167"/>
    </row>
    <row r="61" spans="1:13" ht="34.5" customHeight="1" x14ac:dyDescent="0.25">
      <c r="A61" s="162"/>
      <c r="B61" s="186"/>
      <c r="C61" s="161"/>
      <c r="D61" s="161"/>
      <c r="E61" s="161"/>
      <c r="F61" s="161"/>
      <c r="G61" s="161"/>
      <c r="H61" s="161"/>
      <c r="I61" s="161"/>
      <c r="J61" s="161"/>
      <c r="K61" s="160"/>
      <c r="L61" s="161"/>
      <c r="M61" s="166"/>
    </row>
    <row r="62" spans="1:13" ht="34.5" customHeight="1" x14ac:dyDescent="0.25">
      <c r="A62" s="162">
        <v>45958</v>
      </c>
      <c r="B62" s="185" t="s">
        <v>31</v>
      </c>
      <c r="C62" s="161"/>
      <c r="D62" s="161"/>
      <c r="E62" s="161">
        <v>1417332</v>
      </c>
      <c r="F62" s="161">
        <v>365319</v>
      </c>
      <c r="G62" s="161"/>
      <c r="H62" s="161">
        <v>1560150</v>
      </c>
      <c r="I62" s="161">
        <f>SUM(C62:G63)</f>
        <v>1782651</v>
      </c>
      <c r="J62" s="161">
        <v>4</v>
      </c>
      <c r="K62" s="159">
        <f>I62/J62</f>
        <v>445662.75</v>
      </c>
      <c r="L62" s="161">
        <v>3</v>
      </c>
      <c r="M62" s="167" t="s">
        <v>110</v>
      </c>
    </row>
    <row r="63" spans="1:13" ht="34.5" customHeight="1" x14ac:dyDescent="0.25">
      <c r="A63" s="162"/>
      <c r="B63" s="186"/>
      <c r="C63" s="161"/>
      <c r="D63" s="161"/>
      <c r="E63" s="161"/>
      <c r="F63" s="161"/>
      <c r="G63" s="161"/>
      <c r="H63" s="161"/>
      <c r="I63" s="161"/>
      <c r="J63" s="161"/>
      <c r="K63" s="160"/>
      <c r="L63" s="161"/>
      <c r="M63" s="166"/>
    </row>
    <row r="64" spans="1:13" ht="79.5" customHeight="1" x14ac:dyDescent="0.25">
      <c r="A64" s="162">
        <v>45959</v>
      </c>
      <c r="B64" s="185" t="s">
        <v>32</v>
      </c>
      <c r="C64" s="161">
        <v>5882898</v>
      </c>
      <c r="D64" s="161"/>
      <c r="E64" s="161">
        <v>23818387</v>
      </c>
      <c r="F64" s="161">
        <v>2102663</v>
      </c>
      <c r="G64" s="161"/>
      <c r="H64" s="161">
        <v>27921550</v>
      </c>
      <c r="I64" s="161">
        <f>SUM(C64:G65)</f>
        <v>31803948</v>
      </c>
      <c r="J64" s="161">
        <v>22</v>
      </c>
      <c r="K64" s="159">
        <f>I64/J64</f>
        <v>1445634</v>
      </c>
      <c r="L64" s="161">
        <v>11</v>
      </c>
      <c r="M64" s="174" t="s">
        <v>116</v>
      </c>
    </row>
    <row r="65" spans="1:13" ht="34.5" customHeight="1" x14ac:dyDescent="0.25">
      <c r="A65" s="162"/>
      <c r="B65" s="186"/>
      <c r="C65" s="161"/>
      <c r="D65" s="161"/>
      <c r="E65" s="161"/>
      <c r="F65" s="161"/>
      <c r="G65" s="161"/>
      <c r="H65" s="161"/>
      <c r="I65" s="161"/>
      <c r="J65" s="161"/>
      <c r="K65" s="160"/>
      <c r="L65" s="161"/>
      <c r="M65" s="170"/>
    </row>
    <row r="66" spans="1:13" ht="34.5" customHeight="1" x14ac:dyDescent="0.25">
      <c r="A66" s="189">
        <v>45960</v>
      </c>
      <c r="B66" s="185" t="s">
        <v>21</v>
      </c>
      <c r="C66" s="159">
        <v>1414981</v>
      </c>
      <c r="D66" s="159">
        <v>2558097</v>
      </c>
      <c r="E66" s="159">
        <v>9591757</v>
      </c>
      <c r="F66" s="159"/>
      <c r="G66" s="159"/>
      <c r="H66" s="161">
        <v>11789244</v>
      </c>
      <c r="I66" s="161">
        <f>SUM(C66:G67)</f>
        <v>13564835</v>
      </c>
      <c r="J66" s="161">
        <v>61</v>
      </c>
      <c r="K66" s="159">
        <f>I66/J66</f>
        <v>222374.34426229508</v>
      </c>
      <c r="L66" s="159">
        <v>73</v>
      </c>
      <c r="M66" s="187"/>
    </row>
    <row r="67" spans="1:13" ht="34.5" customHeight="1" x14ac:dyDescent="0.25">
      <c r="A67" s="190"/>
      <c r="B67" s="186"/>
      <c r="C67" s="160"/>
      <c r="D67" s="160"/>
      <c r="E67" s="160"/>
      <c r="F67" s="160"/>
      <c r="G67" s="160"/>
      <c r="H67" s="161"/>
      <c r="I67" s="161"/>
      <c r="J67" s="161"/>
      <c r="K67" s="160"/>
      <c r="L67" s="160"/>
      <c r="M67" s="188"/>
    </row>
    <row r="68" spans="1:13" ht="34.5" customHeight="1" x14ac:dyDescent="0.25">
      <c r="A68" s="162">
        <v>45961</v>
      </c>
      <c r="B68" s="185" t="s">
        <v>23</v>
      </c>
      <c r="C68" s="159">
        <v>5999994</v>
      </c>
      <c r="D68" s="159"/>
      <c r="E68" s="159">
        <v>8808618</v>
      </c>
      <c r="F68" s="159"/>
      <c r="G68" s="159"/>
      <c r="H68" s="161">
        <v>12948000</v>
      </c>
      <c r="I68" s="161">
        <f>SUM(C68:G69)</f>
        <v>14808612</v>
      </c>
      <c r="J68" s="161">
        <v>17</v>
      </c>
      <c r="K68" s="159">
        <f>I68/J68</f>
        <v>871094.82352941181</v>
      </c>
      <c r="L68" s="161">
        <v>12</v>
      </c>
      <c r="M68" s="187"/>
    </row>
    <row r="69" spans="1:13" ht="34.5" customHeight="1" x14ac:dyDescent="0.25">
      <c r="A69" s="162"/>
      <c r="B69" s="186"/>
      <c r="C69" s="160"/>
      <c r="D69" s="160"/>
      <c r="E69" s="160"/>
      <c r="F69" s="160"/>
      <c r="G69" s="160"/>
      <c r="H69" s="161"/>
      <c r="I69" s="161"/>
      <c r="J69" s="161"/>
      <c r="K69" s="160"/>
      <c r="L69" s="161"/>
      <c r="M69" s="188"/>
    </row>
    <row r="70" spans="1:13" ht="42" customHeight="1" x14ac:dyDescent="0.25">
      <c r="A70" s="158" t="s">
        <v>40</v>
      </c>
      <c r="B70" s="158"/>
      <c r="C70" s="54">
        <f t="shared" ref="C70:I70" si="7">C34+C19+C4+C49</f>
        <v>75390727</v>
      </c>
      <c r="D70" s="54">
        <f t="shared" si="7"/>
        <v>342496887</v>
      </c>
      <c r="E70" s="54">
        <f t="shared" si="7"/>
        <v>345770269</v>
      </c>
      <c r="F70" s="54">
        <f t="shared" si="7"/>
        <v>166215022</v>
      </c>
      <c r="G70" s="54">
        <f t="shared" si="7"/>
        <v>0</v>
      </c>
      <c r="H70" s="54">
        <f t="shared" si="7"/>
        <v>816773019</v>
      </c>
      <c r="I70" s="54">
        <f t="shared" si="7"/>
        <v>929872905</v>
      </c>
      <c r="J70" s="54">
        <f>J34+J19+J49+J4</f>
        <v>626</v>
      </c>
      <c r="K70" s="54">
        <f>I70/J70</f>
        <v>1485419.9760383386</v>
      </c>
      <c r="L70" s="54">
        <f>L34+L19+L49+L4</f>
        <v>296</v>
      </c>
      <c r="M70" s="54"/>
    </row>
  </sheetData>
  <mergeCells count="418">
    <mergeCell ref="A70:B70"/>
    <mergeCell ref="A68:A69"/>
    <mergeCell ref="B68:B69"/>
    <mergeCell ref="C68:C69"/>
    <mergeCell ref="D68:D69"/>
    <mergeCell ref="G66:G67"/>
    <mergeCell ref="H66:H67"/>
    <mergeCell ref="I66:I67"/>
    <mergeCell ref="J66:J67"/>
    <mergeCell ref="A66:A67"/>
    <mergeCell ref="B66:B67"/>
    <mergeCell ref="C66:C67"/>
    <mergeCell ref="D66:D67"/>
    <mergeCell ref="E66:E67"/>
    <mergeCell ref="F66:F67"/>
    <mergeCell ref="J68:J69"/>
    <mergeCell ref="M68:M69"/>
    <mergeCell ref="E68:E69"/>
    <mergeCell ref="F68:F69"/>
    <mergeCell ref="K60:K61"/>
    <mergeCell ref="J64:J65"/>
    <mergeCell ref="K64:K65"/>
    <mergeCell ref="L64:L65"/>
    <mergeCell ref="M64:M65"/>
    <mergeCell ref="M62:M63"/>
    <mergeCell ref="I62:I63"/>
    <mergeCell ref="J62:J63"/>
    <mergeCell ref="K62:K63"/>
    <mergeCell ref="L62:L63"/>
    <mergeCell ref="G68:G69"/>
    <mergeCell ref="H68:H69"/>
    <mergeCell ref="I68:I69"/>
    <mergeCell ref="K66:K67"/>
    <mergeCell ref="L66:L67"/>
    <mergeCell ref="M66:M67"/>
    <mergeCell ref="K68:K69"/>
    <mergeCell ref="L68:L69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A62:A63"/>
    <mergeCell ref="B62:B63"/>
    <mergeCell ref="C62:C63"/>
    <mergeCell ref="D62:D63"/>
    <mergeCell ref="E62:E63"/>
    <mergeCell ref="F62:F63"/>
    <mergeCell ref="G62:G63"/>
    <mergeCell ref="H62:H63"/>
    <mergeCell ref="H60:H61"/>
    <mergeCell ref="K58:K59"/>
    <mergeCell ref="L58:L59"/>
    <mergeCell ref="M58:M59"/>
    <mergeCell ref="A60:A61"/>
    <mergeCell ref="B60:B61"/>
    <mergeCell ref="C60:C61"/>
    <mergeCell ref="D60:D61"/>
    <mergeCell ref="E60:E61"/>
    <mergeCell ref="F60:F61"/>
    <mergeCell ref="G60:G61"/>
    <mergeCell ref="G58:G59"/>
    <mergeCell ref="H58:H59"/>
    <mergeCell ref="I58:I59"/>
    <mergeCell ref="J58:J59"/>
    <mergeCell ref="A58:A59"/>
    <mergeCell ref="B58:B59"/>
    <mergeCell ref="C58:C59"/>
    <mergeCell ref="D58:D59"/>
    <mergeCell ref="E58:E59"/>
    <mergeCell ref="F58:F59"/>
    <mergeCell ref="L60:L61"/>
    <mergeCell ref="M60:M61"/>
    <mergeCell ref="I60:I61"/>
    <mergeCell ref="J60:J61"/>
    <mergeCell ref="J56:J57"/>
    <mergeCell ref="K56:K57"/>
    <mergeCell ref="L56:L57"/>
    <mergeCell ref="M56:M57"/>
    <mergeCell ref="M54:M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I54:I55"/>
    <mergeCell ref="J54:J55"/>
    <mergeCell ref="K54:K55"/>
    <mergeCell ref="L54:L55"/>
    <mergeCell ref="J50:J51"/>
    <mergeCell ref="L52:L53"/>
    <mergeCell ref="M52:M53"/>
    <mergeCell ref="A54:A55"/>
    <mergeCell ref="B54:B55"/>
    <mergeCell ref="C54:C55"/>
    <mergeCell ref="D54:D55"/>
    <mergeCell ref="E54:E55"/>
    <mergeCell ref="F54:F55"/>
    <mergeCell ref="G54:G55"/>
    <mergeCell ref="H54:H55"/>
    <mergeCell ref="H52:H53"/>
    <mergeCell ref="I52:I53"/>
    <mergeCell ref="J52:J53"/>
    <mergeCell ref="K52:K53"/>
    <mergeCell ref="A52:A53"/>
    <mergeCell ref="B52:B53"/>
    <mergeCell ref="C52:C53"/>
    <mergeCell ref="D52:D53"/>
    <mergeCell ref="E52:E53"/>
    <mergeCell ref="F52:F53"/>
    <mergeCell ref="G52:G53"/>
    <mergeCell ref="G50:G51"/>
    <mergeCell ref="H50:H51"/>
    <mergeCell ref="K47:K48"/>
    <mergeCell ref="L47:L48"/>
    <mergeCell ref="M47:M48"/>
    <mergeCell ref="A49:B49"/>
    <mergeCell ref="A50:A51"/>
    <mergeCell ref="B50:B51"/>
    <mergeCell ref="C50:C51"/>
    <mergeCell ref="D50:D51"/>
    <mergeCell ref="E50:E51"/>
    <mergeCell ref="F50:F51"/>
    <mergeCell ref="G47:G48"/>
    <mergeCell ref="H47:H48"/>
    <mergeCell ref="I47:I48"/>
    <mergeCell ref="J47:J48"/>
    <mergeCell ref="A47:A48"/>
    <mergeCell ref="B47:B48"/>
    <mergeCell ref="C47:C48"/>
    <mergeCell ref="D47:D48"/>
    <mergeCell ref="E47:E48"/>
    <mergeCell ref="F47:F48"/>
    <mergeCell ref="K50:K51"/>
    <mergeCell ref="L50:L51"/>
    <mergeCell ref="M50:M51"/>
    <mergeCell ref="I50:I51"/>
    <mergeCell ref="J45:J46"/>
    <mergeCell ref="K45:K46"/>
    <mergeCell ref="L45:L46"/>
    <mergeCell ref="M45:M46"/>
    <mergeCell ref="M43:M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G43:G44"/>
    <mergeCell ref="H43:H44"/>
    <mergeCell ref="H41:H42"/>
    <mergeCell ref="K39:K40"/>
    <mergeCell ref="L39:L40"/>
    <mergeCell ref="M39:M40"/>
    <mergeCell ref="A41:A42"/>
    <mergeCell ref="B41:B42"/>
    <mergeCell ref="C41:C42"/>
    <mergeCell ref="D41:D42"/>
    <mergeCell ref="E41:E42"/>
    <mergeCell ref="F41:F42"/>
    <mergeCell ref="G41:G42"/>
    <mergeCell ref="G39:G40"/>
    <mergeCell ref="H39:H40"/>
    <mergeCell ref="I39:I40"/>
    <mergeCell ref="J39:J40"/>
    <mergeCell ref="A39:A40"/>
    <mergeCell ref="B39:B40"/>
    <mergeCell ref="C39:C40"/>
    <mergeCell ref="D39:D40"/>
    <mergeCell ref="E39:E40"/>
    <mergeCell ref="F39:F40"/>
    <mergeCell ref="L41:L42"/>
    <mergeCell ref="M41:M42"/>
    <mergeCell ref="I41:I42"/>
    <mergeCell ref="J41:J42"/>
    <mergeCell ref="J37:J38"/>
    <mergeCell ref="K37:K38"/>
    <mergeCell ref="L37:L38"/>
    <mergeCell ref="M37:M38"/>
    <mergeCell ref="M35:M36"/>
    <mergeCell ref="I35:I36"/>
    <mergeCell ref="J35:J36"/>
    <mergeCell ref="K35:K36"/>
    <mergeCell ref="L35:L36"/>
    <mergeCell ref="K41:K42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K30:K31"/>
    <mergeCell ref="M32:M33"/>
    <mergeCell ref="A34:B34"/>
    <mergeCell ref="A35:A36"/>
    <mergeCell ref="B35:B36"/>
    <mergeCell ref="C35:C36"/>
    <mergeCell ref="D35:D36"/>
    <mergeCell ref="E35:E36"/>
    <mergeCell ref="F35:F36"/>
    <mergeCell ref="G35:G36"/>
    <mergeCell ref="H35:H36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G32:G33"/>
    <mergeCell ref="H32:H33"/>
    <mergeCell ref="H30:H31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G30:G31"/>
    <mergeCell ref="G28:G29"/>
    <mergeCell ref="H28:H29"/>
    <mergeCell ref="I28:I29"/>
    <mergeCell ref="J28:J29"/>
    <mergeCell ref="A28:A29"/>
    <mergeCell ref="B28:B29"/>
    <mergeCell ref="C28:C29"/>
    <mergeCell ref="D28:D29"/>
    <mergeCell ref="E28:E29"/>
    <mergeCell ref="F28:F29"/>
    <mergeCell ref="L30:L31"/>
    <mergeCell ref="M30:M31"/>
    <mergeCell ref="I30:I31"/>
    <mergeCell ref="J30:J31"/>
    <mergeCell ref="J26:J27"/>
    <mergeCell ref="K26:K27"/>
    <mergeCell ref="L26:L27"/>
    <mergeCell ref="M26:M27"/>
    <mergeCell ref="M24:M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I24:I25"/>
    <mergeCell ref="J24:J25"/>
    <mergeCell ref="K24:K25"/>
    <mergeCell ref="L24:L25"/>
    <mergeCell ref="J20:J21"/>
    <mergeCell ref="L22:L23"/>
    <mergeCell ref="M22:M23"/>
    <mergeCell ref="A24:A25"/>
    <mergeCell ref="B24:B25"/>
    <mergeCell ref="C24:C25"/>
    <mergeCell ref="D24:D25"/>
    <mergeCell ref="E24:E25"/>
    <mergeCell ref="F24:F25"/>
    <mergeCell ref="G24:G25"/>
    <mergeCell ref="H24:H25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F22:F23"/>
    <mergeCell ref="G22:G23"/>
    <mergeCell ref="G20:G21"/>
    <mergeCell ref="H20:H21"/>
    <mergeCell ref="K17:K18"/>
    <mergeCell ref="L17:L18"/>
    <mergeCell ref="M17:M18"/>
    <mergeCell ref="A19:B19"/>
    <mergeCell ref="A20:A21"/>
    <mergeCell ref="B20:B21"/>
    <mergeCell ref="C20:C21"/>
    <mergeCell ref="D20:D21"/>
    <mergeCell ref="E20:E21"/>
    <mergeCell ref="F20:F21"/>
    <mergeCell ref="G17:G18"/>
    <mergeCell ref="H17:H18"/>
    <mergeCell ref="I17:I18"/>
    <mergeCell ref="J17:J18"/>
    <mergeCell ref="A17:A18"/>
    <mergeCell ref="B17:B18"/>
    <mergeCell ref="C17:C18"/>
    <mergeCell ref="D17:D18"/>
    <mergeCell ref="E17:E18"/>
    <mergeCell ref="F17:F18"/>
    <mergeCell ref="K20:K21"/>
    <mergeCell ref="L20:L21"/>
    <mergeCell ref="M20:M21"/>
    <mergeCell ref="I20:I21"/>
    <mergeCell ref="K15:K16"/>
    <mergeCell ref="J15:J16"/>
    <mergeCell ref="L15:L16"/>
    <mergeCell ref="M15:M16"/>
    <mergeCell ref="M13:M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G13:G14"/>
    <mergeCell ref="H13:H14"/>
    <mergeCell ref="H11:H12"/>
    <mergeCell ref="K9:K10"/>
    <mergeCell ref="L9:L10"/>
    <mergeCell ref="M9:M10"/>
    <mergeCell ref="A11:A12"/>
    <mergeCell ref="B11:B12"/>
    <mergeCell ref="C11:C12"/>
    <mergeCell ref="D11:D12"/>
    <mergeCell ref="E11:E12"/>
    <mergeCell ref="F11:F12"/>
    <mergeCell ref="G11:G12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F9:F10"/>
    <mergeCell ref="L11:L12"/>
    <mergeCell ref="M11:M12"/>
    <mergeCell ref="I11:I12"/>
    <mergeCell ref="J11:J12"/>
    <mergeCell ref="J7:J8"/>
    <mergeCell ref="K7:K8"/>
    <mergeCell ref="L7:L8"/>
    <mergeCell ref="M7:M8"/>
    <mergeCell ref="M5:M6"/>
    <mergeCell ref="I5:I6"/>
    <mergeCell ref="J5:J6"/>
    <mergeCell ref="K5:K6"/>
    <mergeCell ref="L5:L6"/>
    <mergeCell ref="K11:K1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4:B4"/>
    <mergeCell ref="A5:A6"/>
    <mergeCell ref="B5:B6"/>
    <mergeCell ref="C5:C6"/>
    <mergeCell ref="D5:D6"/>
    <mergeCell ref="E5:E6"/>
    <mergeCell ref="F5:F6"/>
    <mergeCell ref="G5:G6"/>
    <mergeCell ref="H5:H6"/>
    <mergeCell ref="A1:M1"/>
    <mergeCell ref="A2:A3"/>
    <mergeCell ref="B2:B3"/>
    <mergeCell ref="C2:G2"/>
    <mergeCell ref="H2:H3"/>
    <mergeCell ref="I2:I3"/>
    <mergeCell ref="J2:J3"/>
    <mergeCell ref="K2:K3"/>
    <mergeCell ref="L2:L3"/>
    <mergeCell ref="M2:M3"/>
  </mergeCells>
  <phoneticPr fontId="24" type="noConversion"/>
  <pageMargins left="0.7" right="0.7" top="0.75" bottom="0.75" header="0.3" footer="0.3"/>
  <pageSetup paperSize="121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E7EB-FB8F-46D5-88B9-5CA28FD618EC}">
  <dimension ref="A1:M68"/>
  <sheetViews>
    <sheetView topLeftCell="A28" zoomScale="25" zoomScaleNormal="25" workbookViewId="0">
      <selection activeCell="F64" sqref="F64:F65"/>
    </sheetView>
  </sheetViews>
  <sheetFormatPr defaultRowHeight="15" x14ac:dyDescent="0.25"/>
  <cols>
    <col min="1" max="1" width="47.85546875" customWidth="1"/>
    <col min="2" max="2" width="31.28515625" customWidth="1"/>
    <col min="3" max="7" width="49.5703125" customWidth="1"/>
    <col min="8" max="9" width="53.5703125" customWidth="1"/>
    <col min="10" max="11" width="39.28515625" customWidth="1"/>
    <col min="12" max="12" width="25.5703125" customWidth="1"/>
    <col min="13" max="13" width="104.140625" customWidth="1"/>
  </cols>
  <sheetData>
    <row r="1" spans="1:13" ht="396" customHeight="1" x14ac:dyDescent="0.25">
      <c r="A1" s="175" t="s">
        <v>117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3" ht="45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181" t="s">
        <v>8</v>
      </c>
      <c r="K2" s="181" t="s">
        <v>9</v>
      </c>
      <c r="L2" s="182" t="s">
        <v>10</v>
      </c>
      <c r="M2" s="183" t="s">
        <v>11</v>
      </c>
    </row>
    <row r="3" spans="1:13" ht="45" x14ac:dyDescent="0.25">
      <c r="A3" s="177"/>
      <c r="B3" s="177"/>
      <c r="C3" s="58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1"/>
      <c r="K3" s="181"/>
      <c r="L3" s="182"/>
      <c r="M3" s="183"/>
    </row>
    <row r="4" spans="1:13" ht="45" x14ac:dyDescent="0.25">
      <c r="A4" s="171" t="s">
        <v>20</v>
      </c>
      <c r="B4" s="171"/>
      <c r="C4" s="52">
        <f t="shared" ref="C4:H4" si="0">SUBTOTAL(9,C5:C18)</f>
        <v>7311123</v>
      </c>
      <c r="D4" s="52">
        <f t="shared" si="0"/>
        <v>48722856</v>
      </c>
      <c r="E4" s="52">
        <f t="shared" si="0"/>
        <v>268592308</v>
      </c>
      <c r="F4" s="52">
        <f t="shared" si="0"/>
        <v>30526237</v>
      </c>
      <c r="G4" s="52">
        <f t="shared" si="0"/>
        <v>0</v>
      </c>
      <c r="H4" s="52">
        <f t="shared" si="0"/>
        <v>312069350</v>
      </c>
      <c r="I4" s="52">
        <f>SUM(I5:I18)</f>
        <v>355152524</v>
      </c>
      <c r="J4" s="52">
        <f>SUM(J5:J18)</f>
        <v>221</v>
      </c>
      <c r="K4" s="52">
        <f>I4/J4</f>
        <v>1607024.9954751132</v>
      </c>
      <c r="L4" s="52">
        <f>SUM(L5:L18)</f>
        <v>68</v>
      </c>
      <c r="M4" s="55"/>
    </row>
    <row r="5" spans="1:13" ht="45" customHeight="1" x14ac:dyDescent="0.25">
      <c r="A5" s="162">
        <v>45962</v>
      </c>
      <c r="B5" s="185" t="s">
        <v>25</v>
      </c>
      <c r="C5" s="159">
        <v>2000000</v>
      </c>
      <c r="D5" s="159"/>
      <c r="E5" s="159">
        <v>170393704</v>
      </c>
      <c r="F5" s="159"/>
      <c r="G5" s="159"/>
      <c r="H5" s="159">
        <v>151891000</v>
      </c>
      <c r="I5" s="159">
        <f>SUM(C5:G5)</f>
        <v>172393704</v>
      </c>
      <c r="J5" s="159">
        <v>89</v>
      </c>
      <c r="K5" s="159">
        <f>I5/J5</f>
        <v>1937007.9101123596</v>
      </c>
      <c r="L5" s="159">
        <v>7</v>
      </c>
      <c r="M5" s="165"/>
    </row>
    <row r="6" spans="1:13" ht="45" customHeight="1" x14ac:dyDescent="0.25">
      <c r="A6" s="162"/>
      <c r="B6" s="186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</row>
    <row r="7" spans="1:13" ht="45" customHeight="1" x14ac:dyDescent="0.25">
      <c r="A7" s="162">
        <v>45963</v>
      </c>
      <c r="B7" s="185" t="s">
        <v>27</v>
      </c>
      <c r="C7" s="159"/>
      <c r="D7" s="159">
        <v>36327228</v>
      </c>
      <c r="E7" s="159">
        <v>6298278</v>
      </c>
      <c r="F7" s="159">
        <v>2163956</v>
      </c>
      <c r="G7" s="159"/>
      <c r="H7" s="159">
        <v>39387250</v>
      </c>
      <c r="I7" s="159">
        <f>SUM(C7:G7)</f>
        <v>44789462</v>
      </c>
      <c r="J7" s="159">
        <v>50</v>
      </c>
      <c r="K7" s="159">
        <f>I7/J7</f>
        <v>895789.24</v>
      </c>
      <c r="L7" s="159">
        <v>10</v>
      </c>
      <c r="M7" s="167" t="s">
        <v>46</v>
      </c>
    </row>
    <row r="8" spans="1:13" ht="45" customHeight="1" x14ac:dyDescent="0.25">
      <c r="A8" s="162"/>
      <c r="B8" s="164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6"/>
    </row>
    <row r="9" spans="1:13" ht="45" customHeight="1" x14ac:dyDescent="0.25">
      <c r="A9" s="162">
        <v>45964</v>
      </c>
      <c r="B9" s="185" t="s">
        <v>30</v>
      </c>
      <c r="C9" s="159">
        <v>288750</v>
      </c>
      <c r="D9" s="159"/>
      <c r="E9" s="159">
        <v>11470956</v>
      </c>
      <c r="F9" s="159">
        <v>24777310</v>
      </c>
      <c r="G9" s="159"/>
      <c r="H9" s="159">
        <v>32133850</v>
      </c>
      <c r="I9" s="159">
        <f>SUM(C9:G9)</f>
        <v>36537016</v>
      </c>
      <c r="J9" s="159">
        <v>16</v>
      </c>
      <c r="K9" s="159">
        <f>I9/J9</f>
        <v>2283563.5</v>
      </c>
      <c r="L9" s="159">
        <v>8</v>
      </c>
      <c r="M9" s="167" t="s">
        <v>69</v>
      </c>
    </row>
    <row r="10" spans="1:13" ht="45" customHeight="1" x14ac:dyDescent="0.25">
      <c r="A10" s="162"/>
      <c r="B10" s="164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6"/>
    </row>
    <row r="11" spans="1:13" ht="45" customHeight="1" x14ac:dyDescent="0.25">
      <c r="A11" s="162">
        <v>45965</v>
      </c>
      <c r="B11" s="185" t="s">
        <v>31</v>
      </c>
      <c r="C11" s="159"/>
      <c r="D11" s="159"/>
      <c r="E11" s="159">
        <v>8050140</v>
      </c>
      <c r="F11" s="159"/>
      <c r="G11" s="159"/>
      <c r="H11" s="159">
        <v>7050000</v>
      </c>
      <c r="I11" s="159">
        <f>SUM(C11:G11)</f>
        <v>8050140</v>
      </c>
      <c r="J11" s="159">
        <v>9</v>
      </c>
      <c r="K11" s="159">
        <f>I11/J11</f>
        <v>894460</v>
      </c>
      <c r="L11" s="159">
        <v>7</v>
      </c>
      <c r="M11" s="167"/>
    </row>
    <row r="12" spans="1:13" ht="45" customHeight="1" x14ac:dyDescent="0.25">
      <c r="A12" s="162"/>
      <c r="B12" s="164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6"/>
    </row>
    <row r="13" spans="1:13" ht="45" customHeight="1" x14ac:dyDescent="0.25">
      <c r="A13" s="162">
        <v>45966</v>
      </c>
      <c r="B13" s="185" t="s">
        <v>32</v>
      </c>
      <c r="C13" s="159">
        <v>4687423</v>
      </c>
      <c r="D13" s="159"/>
      <c r="E13" s="159">
        <v>7293090</v>
      </c>
      <c r="F13" s="159">
        <v>3584971</v>
      </c>
      <c r="G13" s="159"/>
      <c r="H13" s="159">
        <v>13615250</v>
      </c>
      <c r="I13" s="159">
        <f>SUM(C13:G13)</f>
        <v>15565484</v>
      </c>
      <c r="J13" s="159">
        <v>24</v>
      </c>
      <c r="K13" s="159">
        <f>I13/J13</f>
        <v>648561.83333333337</v>
      </c>
      <c r="L13" s="159">
        <v>12</v>
      </c>
      <c r="M13" s="167" t="s">
        <v>118</v>
      </c>
    </row>
    <row r="14" spans="1:13" ht="45" customHeight="1" x14ac:dyDescent="0.25">
      <c r="A14" s="162"/>
      <c r="B14" s="164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6"/>
    </row>
    <row r="15" spans="1:13" ht="45" customHeight="1" x14ac:dyDescent="0.25">
      <c r="A15" s="162">
        <v>45967</v>
      </c>
      <c r="B15" s="185" t="s">
        <v>21</v>
      </c>
      <c r="C15" s="159">
        <v>334950</v>
      </c>
      <c r="D15" s="159">
        <v>6707484</v>
      </c>
      <c r="E15" s="159">
        <v>35494956</v>
      </c>
      <c r="F15" s="159"/>
      <c r="G15" s="159"/>
      <c r="H15" s="159">
        <v>37125000</v>
      </c>
      <c r="I15" s="159">
        <f>SUM(C15:G15)</f>
        <v>42537390</v>
      </c>
      <c r="J15" s="159">
        <v>18</v>
      </c>
      <c r="K15" s="159">
        <f>I15/J15</f>
        <v>2363188.3333333335</v>
      </c>
      <c r="L15" s="159">
        <v>11</v>
      </c>
      <c r="M15" s="165"/>
    </row>
    <row r="16" spans="1:13" ht="45" customHeight="1" x14ac:dyDescent="0.25">
      <c r="A16" s="162"/>
      <c r="B16" s="164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6"/>
    </row>
    <row r="17" spans="1:13" ht="45" customHeight="1" x14ac:dyDescent="0.25">
      <c r="A17" s="162">
        <v>45968</v>
      </c>
      <c r="B17" s="185" t="s">
        <v>23</v>
      </c>
      <c r="C17" s="159"/>
      <c r="D17" s="161">
        <v>5688144</v>
      </c>
      <c r="E17" s="159">
        <v>29591184</v>
      </c>
      <c r="F17" s="159"/>
      <c r="G17" s="159"/>
      <c r="H17" s="159">
        <v>30867000</v>
      </c>
      <c r="I17" s="159">
        <f>SUM(C17:G17)</f>
        <v>35279328</v>
      </c>
      <c r="J17" s="159">
        <v>15</v>
      </c>
      <c r="K17" s="159">
        <f>I17/J17</f>
        <v>2351955.2000000002</v>
      </c>
      <c r="L17" s="159">
        <v>13</v>
      </c>
      <c r="M17" s="165"/>
    </row>
    <row r="18" spans="1:13" ht="45" customHeight="1" x14ac:dyDescent="0.25">
      <c r="A18" s="162"/>
      <c r="B18" s="186"/>
      <c r="C18" s="160"/>
      <c r="D18" s="161"/>
      <c r="E18" s="160"/>
      <c r="F18" s="160"/>
      <c r="G18" s="160"/>
      <c r="H18" s="160"/>
      <c r="I18" s="160"/>
      <c r="J18" s="160"/>
      <c r="K18" s="160"/>
      <c r="L18" s="160"/>
      <c r="M18" s="166"/>
    </row>
    <row r="19" spans="1:13" ht="45" customHeight="1" x14ac:dyDescent="0.25">
      <c r="A19" s="171" t="s">
        <v>29</v>
      </c>
      <c r="B19" s="171"/>
      <c r="C19" s="52">
        <f t="shared" ref="C19:H19" si="1">SUBTOTAL(9,C20:C33)</f>
        <v>762300</v>
      </c>
      <c r="D19" s="52">
        <f t="shared" si="1"/>
        <v>42346374</v>
      </c>
      <c r="E19" s="52">
        <f t="shared" si="1"/>
        <v>163534409</v>
      </c>
      <c r="F19" s="52">
        <f t="shared" si="1"/>
        <v>237517475</v>
      </c>
      <c r="G19" s="52">
        <f t="shared" si="1"/>
        <v>0</v>
      </c>
      <c r="H19" s="52">
        <f t="shared" si="1"/>
        <v>389088880</v>
      </c>
      <c r="I19" s="52">
        <f>SUM(I20:I33)</f>
        <v>444160558</v>
      </c>
      <c r="J19" s="52">
        <f>SUM(J20:J33)</f>
        <v>229</v>
      </c>
      <c r="K19" s="52">
        <f>I19/J19</f>
        <v>1939565.7554585154</v>
      </c>
      <c r="L19" s="52">
        <f>SUM(L20:L33)</f>
        <v>64</v>
      </c>
      <c r="M19" s="55"/>
    </row>
    <row r="20" spans="1:13" ht="45" customHeight="1" x14ac:dyDescent="0.25">
      <c r="A20" s="162">
        <v>45969</v>
      </c>
      <c r="B20" s="185" t="s">
        <v>25</v>
      </c>
      <c r="C20" s="161"/>
      <c r="D20" s="161">
        <v>26204766</v>
      </c>
      <c r="E20" s="159">
        <v>22432645</v>
      </c>
      <c r="F20" s="161">
        <v>48642364</v>
      </c>
      <c r="G20" s="161"/>
      <c r="H20" s="161">
        <v>85426300</v>
      </c>
      <c r="I20" s="161">
        <f>SUM(C20:G21)</f>
        <v>97279775</v>
      </c>
      <c r="J20" s="161">
        <v>40</v>
      </c>
      <c r="K20" s="161">
        <f>I20/J20</f>
        <v>2431994.375</v>
      </c>
      <c r="L20" s="161">
        <v>20</v>
      </c>
      <c r="M20" s="167" t="s">
        <v>122</v>
      </c>
    </row>
    <row r="21" spans="1:13" ht="78" customHeight="1" x14ac:dyDescent="0.25">
      <c r="A21" s="162"/>
      <c r="B21" s="186"/>
      <c r="C21" s="161"/>
      <c r="D21" s="161"/>
      <c r="E21" s="160"/>
      <c r="F21" s="161"/>
      <c r="G21" s="161"/>
      <c r="H21" s="161"/>
      <c r="I21" s="161"/>
      <c r="J21" s="161"/>
      <c r="K21" s="161"/>
      <c r="L21" s="161"/>
      <c r="M21" s="166"/>
    </row>
    <row r="22" spans="1:13" ht="45" customHeight="1" x14ac:dyDescent="0.25">
      <c r="A22" s="162">
        <v>45970</v>
      </c>
      <c r="B22" s="185" t="s">
        <v>27</v>
      </c>
      <c r="C22" s="161"/>
      <c r="D22" s="161">
        <v>9437778</v>
      </c>
      <c r="E22" s="159">
        <v>947436</v>
      </c>
      <c r="F22" s="161"/>
      <c r="G22" s="161"/>
      <c r="H22" s="161">
        <v>9096000</v>
      </c>
      <c r="I22" s="161">
        <f>SUM(C22:G23)</f>
        <v>10385214</v>
      </c>
      <c r="J22" s="161">
        <v>12</v>
      </c>
      <c r="K22" s="161">
        <f>I22/J22</f>
        <v>865434.5</v>
      </c>
      <c r="L22" s="161">
        <v>6</v>
      </c>
      <c r="M22" s="166"/>
    </row>
    <row r="23" spans="1:13" ht="45" customHeight="1" x14ac:dyDescent="0.25">
      <c r="A23" s="162"/>
      <c r="B23" s="164"/>
      <c r="C23" s="161"/>
      <c r="D23" s="161"/>
      <c r="E23" s="160"/>
      <c r="F23" s="161"/>
      <c r="G23" s="161"/>
      <c r="H23" s="161"/>
      <c r="I23" s="161"/>
      <c r="J23" s="161"/>
      <c r="K23" s="161"/>
      <c r="L23" s="161"/>
      <c r="M23" s="166"/>
    </row>
    <row r="24" spans="1:13" ht="45" customHeight="1" x14ac:dyDescent="0.25">
      <c r="A24" s="162">
        <v>45971</v>
      </c>
      <c r="B24" s="185" t="s">
        <v>30</v>
      </c>
      <c r="C24" s="161"/>
      <c r="D24" s="161"/>
      <c r="E24" s="159">
        <v>55046250</v>
      </c>
      <c r="F24" s="161">
        <v>170135700</v>
      </c>
      <c r="G24" s="161"/>
      <c r="H24" s="161">
        <v>196800000</v>
      </c>
      <c r="I24" s="161">
        <f>SUM(C24:G25)</f>
        <v>225181950</v>
      </c>
      <c r="J24" s="161">
        <v>101</v>
      </c>
      <c r="K24" s="159">
        <f>I24/J24</f>
        <v>2229524.2574257427</v>
      </c>
      <c r="L24" s="161">
        <v>5</v>
      </c>
      <c r="M24" s="167" t="s">
        <v>119</v>
      </c>
    </row>
    <row r="25" spans="1:13" ht="45" customHeight="1" x14ac:dyDescent="0.25">
      <c r="A25" s="162"/>
      <c r="B25" s="164"/>
      <c r="C25" s="161"/>
      <c r="D25" s="161"/>
      <c r="E25" s="160"/>
      <c r="F25" s="161"/>
      <c r="G25" s="161"/>
      <c r="H25" s="161"/>
      <c r="I25" s="161"/>
      <c r="J25" s="161"/>
      <c r="K25" s="160"/>
      <c r="L25" s="161"/>
      <c r="M25" s="166"/>
    </row>
    <row r="26" spans="1:13" ht="45" customHeight="1" x14ac:dyDescent="0.25">
      <c r="A26" s="162">
        <v>45972</v>
      </c>
      <c r="B26" s="185" t="s">
        <v>31</v>
      </c>
      <c r="C26" s="161">
        <v>762300</v>
      </c>
      <c r="D26" s="161">
        <v>974106</v>
      </c>
      <c r="E26" s="159">
        <v>23507946</v>
      </c>
      <c r="F26" s="161">
        <v>9283999</v>
      </c>
      <c r="G26" s="161"/>
      <c r="H26" s="161">
        <v>30351000</v>
      </c>
      <c r="I26" s="161">
        <f>SUM(C26:G27)</f>
        <v>34528351</v>
      </c>
      <c r="J26" s="161">
        <v>34</v>
      </c>
      <c r="K26" s="159">
        <f>I26/J26</f>
        <v>1015539.7352941176</v>
      </c>
      <c r="L26" s="161">
        <v>13</v>
      </c>
      <c r="M26" s="168" t="s">
        <v>120</v>
      </c>
    </row>
    <row r="27" spans="1:13" ht="45" customHeight="1" x14ac:dyDescent="0.25">
      <c r="A27" s="162"/>
      <c r="B27" s="164"/>
      <c r="C27" s="161"/>
      <c r="D27" s="161"/>
      <c r="E27" s="160"/>
      <c r="F27" s="161"/>
      <c r="G27" s="161"/>
      <c r="H27" s="161"/>
      <c r="I27" s="161"/>
      <c r="J27" s="161"/>
      <c r="K27" s="160"/>
      <c r="L27" s="161"/>
      <c r="M27" s="166"/>
    </row>
    <row r="28" spans="1:13" ht="45" customHeight="1" x14ac:dyDescent="0.25">
      <c r="A28" s="162">
        <v>45973</v>
      </c>
      <c r="B28" s="185" t="s">
        <v>32</v>
      </c>
      <c r="C28" s="161"/>
      <c r="D28" s="161">
        <v>226800</v>
      </c>
      <c r="E28" s="159">
        <v>32033350</v>
      </c>
      <c r="F28" s="161"/>
      <c r="G28" s="161"/>
      <c r="H28" s="159">
        <v>28284400</v>
      </c>
      <c r="I28" s="161">
        <f>SUM(C28:G29)</f>
        <v>32260150</v>
      </c>
      <c r="J28" s="161">
        <v>15</v>
      </c>
      <c r="K28" s="159">
        <f>I28/J28</f>
        <v>2150676.6666666665</v>
      </c>
      <c r="L28" s="161">
        <v>6</v>
      </c>
      <c r="M28" s="166"/>
    </row>
    <row r="29" spans="1:13" ht="45" customHeight="1" x14ac:dyDescent="0.25">
      <c r="A29" s="162"/>
      <c r="B29" s="164"/>
      <c r="C29" s="161"/>
      <c r="D29" s="161"/>
      <c r="E29" s="160"/>
      <c r="F29" s="161"/>
      <c r="G29" s="161"/>
      <c r="H29" s="160"/>
      <c r="I29" s="161"/>
      <c r="J29" s="161"/>
      <c r="K29" s="160"/>
      <c r="L29" s="161"/>
      <c r="M29" s="166"/>
    </row>
    <row r="30" spans="1:13" ht="45" customHeight="1" x14ac:dyDescent="0.25">
      <c r="A30" s="162">
        <v>45974</v>
      </c>
      <c r="B30" s="185" t="s">
        <v>21</v>
      </c>
      <c r="C30" s="161"/>
      <c r="D30" s="161">
        <v>1444716</v>
      </c>
      <c r="E30" s="159">
        <v>19824504</v>
      </c>
      <c r="F30" s="161">
        <v>9455412</v>
      </c>
      <c r="G30" s="161"/>
      <c r="H30" s="159">
        <v>26877180</v>
      </c>
      <c r="I30" s="161">
        <f>SUM(C30:G31)</f>
        <v>30724632</v>
      </c>
      <c r="J30" s="161">
        <v>20</v>
      </c>
      <c r="K30" s="159">
        <f>I30/J30</f>
        <v>1536231.6</v>
      </c>
      <c r="L30" s="161">
        <v>8</v>
      </c>
      <c r="M30" s="167" t="s">
        <v>121</v>
      </c>
    </row>
    <row r="31" spans="1:13" ht="45" customHeight="1" x14ac:dyDescent="0.25">
      <c r="A31" s="162"/>
      <c r="B31" s="164"/>
      <c r="C31" s="161"/>
      <c r="D31" s="161"/>
      <c r="E31" s="160"/>
      <c r="F31" s="161"/>
      <c r="G31" s="161"/>
      <c r="H31" s="160"/>
      <c r="I31" s="161"/>
      <c r="J31" s="161"/>
      <c r="K31" s="160"/>
      <c r="L31" s="161"/>
      <c r="M31" s="166"/>
    </row>
    <row r="32" spans="1:13" ht="45" customHeight="1" x14ac:dyDescent="0.25">
      <c r="A32" s="162">
        <v>45975</v>
      </c>
      <c r="B32" s="185" t="s">
        <v>23</v>
      </c>
      <c r="C32" s="161"/>
      <c r="D32" s="161">
        <v>4058208</v>
      </c>
      <c r="E32" s="159">
        <v>9742278</v>
      </c>
      <c r="F32" s="161"/>
      <c r="G32" s="161"/>
      <c r="H32" s="159">
        <v>12254000</v>
      </c>
      <c r="I32" s="161">
        <f>SUM(C32:G33)</f>
        <v>13800486</v>
      </c>
      <c r="J32" s="161">
        <v>7</v>
      </c>
      <c r="K32" s="159">
        <f>I32/J32</f>
        <v>1971498</v>
      </c>
      <c r="L32" s="161">
        <v>6</v>
      </c>
      <c r="M32" s="166"/>
    </row>
    <row r="33" spans="1:13" ht="45" customHeight="1" x14ac:dyDescent="0.25">
      <c r="A33" s="162"/>
      <c r="B33" s="186"/>
      <c r="C33" s="161"/>
      <c r="D33" s="161"/>
      <c r="E33" s="160"/>
      <c r="F33" s="161"/>
      <c r="G33" s="161"/>
      <c r="H33" s="160"/>
      <c r="I33" s="161"/>
      <c r="J33" s="161"/>
      <c r="K33" s="160"/>
      <c r="L33" s="161"/>
      <c r="M33" s="166"/>
    </row>
    <row r="34" spans="1:13" ht="45" customHeight="1" x14ac:dyDescent="0.25">
      <c r="A34" s="171" t="s">
        <v>34</v>
      </c>
      <c r="B34" s="171"/>
      <c r="C34" s="52">
        <f t="shared" ref="C34:I34" si="2">SUM(C35:C48)</f>
        <v>15104996</v>
      </c>
      <c r="D34" s="52">
        <f t="shared" si="2"/>
        <v>10415938</v>
      </c>
      <c r="E34" s="52">
        <f t="shared" si="2"/>
        <v>179333006</v>
      </c>
      <c r="F34" s="52">
        <f t="shared" si="2"/>
        <v>63773567</v>
      </c>
      <c r="G34" s="52">
        <f t="shared" si="2"/>
        <v>0</v>
      </c>
      <c r="H34" s="52">
        <f t="shared" si="2"/>
        <v>240093531</v>
      </c>
      <c r="I34" s="52">
        <f t="shared" si="2"/>
        <v>268627507</v>
      </c>
      <c r="J34" s="52">
        <f>SUM(J35:J48)</f>
        <v>153</v>
      </c>
      <c r="K34" s="52">
        <f>I34/J34</f>
        <v>1755735.339869281</v>
      </c>
      <c r="L34" s="52">
        <f>SUM(L35:L48)</f>
        <v>64</v>
      </c>
      <c r="M34" s="55"/>
    </row>
    <row r="35" spans="1:13" ht="45" customHeight="1" x14ac:dyDescent="0.25">
      <c r="A35" s="172">
        <v>45976</v>
      </c>
      <c r="B35" s="185" t="s">
        <v>25</v>
      </c>
      <c r="C35" s="161">
        <v>8701476</v>
      </c>
      <c r="D35" s="161"/>
      <c r="E35" s="161">
        <v>14063154</v>
      </c>
      <c r="F35" s="161"/>
      <c r="G35" s="161"/>
      <c r="H35" s="161">
        <v>19890000</v>
      </c>
      <c r="I35" s="159">
        <f>SUM(C35:G36)</f>
        <v>22764630</v>
      </c>
      <c r="J35" s="161">
        <v>14</v>
      </c>
      <c r="K35" s="161">
        <f>I35/J35</f>
        <v>1626045</v>
      </c>
      <c r="L35" s="161">
        <v>11</v>
      </c>
      <c r="M35" s="166"/>
    </row>
    <row r="36" spans="1:13" ht="45" customHeight="1" x14ac:dyDescent="0.25">
      <c r="A36" s="162"/>
      <c r="B36" s="186"/>
      <c r="C36" s="161"/>
      <c r="D36" s="161"/>
      <c r="E36" s="161"/>
      <c r="F36" s="161"/>
      <c r="G36" s="161"/>
      <c r="H36" s="161"/>
      <c r="I36" s="160"/>
      <c r="J36" s="161"/>
      <c r="K36" s="161"/>
      <c r="L36" s="161"/>
      <c r="M36" s="166"/>
    </row>
    <row r="37" spans="1:13" ht="45" customHeight="1" x14ac:dyDescent="0.25">
      <c r="A37" s="172">
        <v>45977</v>
      </c>
      <c r="B37" s="185" t="s">
        <v>27</v>
      </c>
      <c r="C37" s="161"/>
      <c r="D37" s="161">
        <v>1188432</v>
      </c>
      <c r="E37" s="161">
        <v>3575964</v>
      </c>
      <c r="F37" s="161"/>
      <c r="G37" s="161"/>
      <c r="H37" s="161">
        <v>4179000</v>
      </c>
      <c r="I37" s="159">
        <f>SUM(C37:G38)</f>
        <v>4764396</v>
      </c>
      <c r="J37" s="161">
        <v>4</v>
      </c>
      <c r="K37" s="161">
        <f>I37/J37</f>
        <v>1191099</v>
      </c>
      <c r="L37" s="161">
        <v>3</v>
      </c>
      <c r="M37" s="167"/>
    </row>
    <row r="38" spans="1:13" ht="45" customHeight="1" x14ac:dyDescent="0.25">
      <c r="A38" s="162"/>
      <c r="B38" s="164"/>
      <c r="C38" s="161"/>
      <c r="D38" s="161"/>
      <c r="E38" s="161"/>
      <c r="F38" s="161"/>
      <c r="G38" s="161"/>
      <c r="H38" s="161"/>
      <c r="I38" s="160"/>
      <c r="J38" s="161"/>
      <c r="K38" s="161"/>
      <c r="L38" s="161"/>
      <c r="M38" s="166"/>
    </row>
    <row r="39" spans="1:13" ht="45" customHeight="1" x14ac:dyDescent="0.25">
      <c r="A39" s="172">
        <v>45978</v>
      </c>
      <c r="B39" s="185" t="s">
        <v>30</v>
      </c>
      <c r="C39" s="161"/>
      <c r="D39" s="161">
        <v>3348618</v>
      </c>
      <c r="E39" s="161">
        <v>13667682</v>
      </c>
      <c r="F39" s="161">
        <v>5359341</v>
      </c>
      <c r="G39" s="161"/>
      <c r="H39" s="161">
        <v>19561050</v>
      </c>
      <c r="I39" s="159">
        <f>SUM(C39:G40)</f>
        <v>22375641</v>
      </c>
      <c r="J39" s="161">
        <v>18</v>
      </c>
      <c r="K39" s="161">
        <f>I39/J39</f>
        <v>1243091.1666666667</v>
      </c>
      <c r="L39" s="161">
        <v>11</v>
      </c>
      <c r="M39" s="168" t="s">
        <v>69</v>
      </c>
    </row>
    <row r="40" spans="1:13" ht="45" customHeight="1" x14ac:dyDescent="0.25">
      <c r="A40" s="162"/>
      <c r="B40" s="164"/>
      <c r="C40" s="161"/>
      <c r="D40" s="161"/>
      <c r="E40" s="161"/>
      <c r="F40" s="161"/>
      <c r="G40" s="161"/>
      <c r="H40" s="161"/>
      <c r="I40" s="160"/>
      <c r="J40" s="161"/>
      <c r="K40" s="161"/>
      <c r="L40" s="161"/>
      <c r="M40" s="166"/>
    </row>
    <row r="41" spans="1:13" ht="45" customHeight="1" x14ac:dyDescent="0.25">
      <c r="A41" s="172">
        <v>45979</v>
      </c>
      <c r="B41" s="185" t="s">
        <v>31</v>
      </c>
      <c r="C41" s="161">
        <v>369600</v>
      </c>
      <c r="D41" s="161"/>
      <c r="E41" s="161">
        <v>577500</v>
      </c>
      <c r="F41" s="161"/>
      <c r="G41" s="161"/>
      <c r="H41" s="161">
        <v>820000</v>
      </c>
      <c r="I41" s="159">
        <f>SUM(C41:G42)</f>
        <v>947100</v>
      </c>
      <c r="J41" s="161">
        <v>4</v>
      </c>
      <c r="K41" s="161">
        <f>I41/J41</f>
        <v>236775</v>
      </c>
      <c r="L41" s="161">
        <v>2</v>
      </c>
      <c r="M41" s="174"/>
    </row>
    <row r="42" spans="1:13" ht="45" customHeight="1" x14ac:dyDescent="0.25">
      <c r="A42" s="162"/>
      <c r="B42" s="164"/>
      <c r="C42" s="161"/>
      <c r="D42" s="161"/>
      <c r="E42" s="161"/>
      <c r="F42" s="161"/>
      <c r="G42" s="161"/>
      <c r="H42" s="161"/>
      <c r="I42" s="160"/>
      <c r="J42" s="161"/>
      <c r="K42" s="161"/>
      <c r="L42" s="161"/>
      <c r="M42" s="170"/>
    </row>
    <row r="43" spans="1:13" ht="45" customHeight="1" x14ac:dyDescent="0.25">
      <c r="A43" s="172">
        <v>45980</v>
      </c>
      <c r="B43" s="185" t="s">
        <v>32</v>
      </c>
      <c r="C43" s="161">
        <v>2952684</v>
      </c>
      <c r="D43" s="161">
        <v>5240446</v>
      </c>
      <c r="E43" s="161">
        <v>43293074</v>
      </c>
      <c r="F43" s="161">
        <v>54195235</v>
      </c>
      <c r="G43" s="161"/>
      <c r="H43" s="161">
        <v>97273781</v>
      </c>
      <c r="I43" s="159">
        <f>SUM(C43:G44)</f>
        <v>105681439</v>
      </c>
      <c r="J43" s="161">
        <v>51</v>
      </c>
      <c r="K43" s="161">
        <f>I43/J43</f>
        <v>2072185.0784313725</v>
      </c>
      <c r="L43" s="161">
        <v>13</v>
      </c>
      <c r="M43" s="167" t="s">
        <v>123</v>
      </c>
    </row>
    <row r="44" spans="1:13" ht="45" customHeight="1" x14ac:dyDescent="0.25">
      <c r="A44" s="162"/>
      <c r="B44" s="164"/>
      <c r="C44" s="161"/>
      <c r="D44" s="161"/>
      <c r="E44" s="161"/>
      <c r="F44" s="161"/>
      <c r="G44" s="161"/>
      <c r="H44" s="161"/>
      <c r="I44" s="160"/>
      <c r="J44" s="161"/>
      <c r="K44" s="161"/>
      <c r="L44" s="161"/>
      <c r="M44" s="166"/>
    </row>
    <row r="45" spans="1:13" ht="45" customHeight="1" x14ac:dyDescent="0.25">
      <c r="A45" s="172">
        <v>45981</v>
      </c>
      <c r="B45" s="185" t="s">
        <v>21</v>
      </c>
      <c r="C45" s="161">
        <v>1395912</v>
      </c>
      <c r="D45" s="161"/>
      <c r="E45" s="161">
        <v>90348552</v>
      </c>
      <c r="F45" s="161">
        <v>854980</v>
      </c>
      <c r="G45" s="161"/>
      <c r="H45" s="161">
        <v>81294950</v>
      </c>
      <c r="I45" s="159">
        <f>SUM(C45:G46)</f>
        <v>92599444</v>
      </c>
      <c r="J45" s="161">
        <v>43</v>
      </c>
      <c r="K45" s="161">
        <f>I45/J45</f>
        <v>2153475.4418604653</v>
      </c>
      <c r="L45" s="161">
        <v>16</v>
      </c>
      <c r="M45" s="168" t="s">
        <v>54</v>
      </c>
    </row>
    <row r="46" spans="1:13" ht="45" customHeight="1" x14ac:dyDescent="0.25">
      <c r="A46" s="162"/>
      <c r="B46" s="164"/>
      <c r="C46" s="161"/>
      <c r="D46" s="161"/>
      <c r="E46" s="161"/>
      <c r="F46" s="161"/>
      <c r="G46" s="161"/>
      <c r="H46" s="161"/>
      <c r="I46" s="160"/>
      <c r="J46" s="161"/>
      <c r="K46" s="161"/>
      <c r="L46" s="161"/>
      <c r="M46" s="166"/>
    </row>
    <row r="47" spans="1:13" ht="45" customHeight="1" x14ac:dyDescent="0.25">
      <c r="A47" s="172">
        <v>45982</v>
      </c>
      <c r="B47" s="185" t="s">
        <v>23</v>
      </c>
      <c r="C47" s="161">
        <v>1685324</v>
      </c>
      <c r="D47" s="161">
        <v>638442</v>
      </c>
      <c r="E47" s="161">
        <v>13807080</v>
      </c>
      <c r="F47" s="161">
        <v>3364011</v>
      </c>
      <c r="G47" s="161"/>
      <c r="H47" s="161">
        <v>17074750</v>
      </c>
      <c r="I47" s="159">
        <f>SUM(C47:G48)</f>
        <v>19494857</v>
      </c>
      <c r="J47" s="161">
        <v>19</v>
      </c>
      <c r="K47" s="161">
        <f>I47/J47</f>
        <v>1026045.1052631579</v>
      </c>
      <c r="L47" s="161">
        <v>8</v>
      </c>
      <c r="M47" s="168" t="s">
        <v>91</v>
      </c>
    </row>
    <row r="48" spans="1:13" ht="45" customHeight="1" x14ac:dyDescent="0.25">
      <c r="A48" s="162"/>
      <c r="B48" s="186"/>
      <c r="C48" s="161"/>
      <c r="D48" s="161"/>
      <c r="E48" s="161"/>
      <c r="F48" s="161"/>
      <c r="G48" s="161"/>
      <c r="H48" s="161"/>
      <c r="I48" s="160"/>
      <c r="J48" s="161"/>
      <c r="K48" s="161"/>
      <c r="L48" s="161"/>
      <c r="M48" s="166"/>
    </row>
    <row r="49" spans="1:13" ht="45" customHeight="1" x14ac:dyDescent="0.25">
      <c r="A49" s="171" t="s">
        <v>36</v>
      </c>
      <c r="B49" s="171"/>
      <c r="C49" s="52">
        <f t="shared" ref="C49:J49" si="3">SUM(C50:C67)</f>
        <v>2305422</v>
      </c>
      <c r="D49" s="52">
        <f t="shared" si="3"/>
        <v>53856514</v>
      </c>
      <c r="E49" s="52">
        <f t="shared" si="3"/>
        <v>57981630</v>
      </c>
      <c r="F49" s="52">
        <f t="shared" si="3"/>
        <v>99930686</v>
      </c>
      <c r="G49" s="52">
        <f t="shared" si="3"/>
        <v>0</v>
      </c>
      <c r="H49" s="52">
        <f>SUM(H50:H67)</f>
        <v>188231072</v>
      </c>
      <c r="I49" s="52">
        <f t="shared" si="3"/>
        <v>214074252</v>
      </c>
      <c r="J49" s="52">
        <f t="shared" si="3"/>
        <v>277</v>
      </c>
      <c r="K49" s="52">
        <f>I49/J49</f>
        <v>772831.23465703975</v>
      </c>
      <c r="L49" s="52">
        <f>SUM(L50:L67)</f>
        <v>34</v>
      </c>
      <c r="M49" s="52">
        <f ca="1">SUM(M49:M61)</f>
        <v>0</v>
      </c>
    </row>
    <row r="50" spans="1:13" ht="45" customHeight="1" x14ac:dyDescent="0.25">
      <c r="A50" s="162">
        <v>45983</v>
      </c>
      <c r="B50" s="185" t="s">
        <v>25</v>
      </c>
      <c r="C50" s="161">
        <v>2305422</v>
      </c>
      <c r="D50" s="161">
        <v>1245132</v>
      </c>
      <c r="E50" s="161">
        <v>7310226</v>
      </c>
      <c r="F50" s="161">
        <v>436023</v>
      </c>
      <c r="G50" s="161"/>
      <c r="H50" s="161">
        <v>9914500</v>
      </c>
      <c r="I50" s="159">
        <f>SUM(C50:G51)</f>
        <v>11296803</v>
      </c>
      <c r="J50" s="161">
        <v>9</v>
      </c>
      <c r="K50" s="161">
        <f>I50/J50</f>
        <v>1255200.3333333333</v>
      </c>
      <c r="L50" s="161">
        <v>7</v>
      </c>
      <c r="M50" s="167" t="s">
        <v>91</v>
      </c>
    </row>
    <row r="51" spans="1:13" ht="45" customHeight="1" x14ac:dyDescent="0.25">
      <c r="A51" s="162"/>
      <c r="B51" s="186"/>
      <c r="C51" s="161"/>
      <c r="D51" s="161"/>
      <c r="E51" s="161"/>
      <c r="F51" s="161"/>
      <c r="G51" s="161"/>
      <c r="H51" s="161"/>
      <c r="I51" s="160"/>
      <c r="J51" s="161"/>
      <c r="K51" s="161"/>
      <c r="L51" s="161"/>
      <c r="M51" s="166"/>
    </row>
    <row r="52" spans="1:13" ht="45" customHeight="1" x14ac:dyDescent="0.25">
      <c r="A52" s="162">
        <v>45984</v>
      </c>
      <c r="B52" s="185" t="s">
        <v>27</v>
      </c>
      <c r="C52" s="161"/>
      <c r="D52" s="161">
        <v>8630874</v>
      </c>
      <c r="E52" s="161"/>
      <c r="F52" s="161"/>
      <c r="G52" s="161"/>
      <c r="H52" s="161">
        <v>7611000</v>
      </c>
      <c r="I52" s="159">
        <f>SUM(C52:G53)</f>
        <v>8630874</v>
      </c>
      <c r="J52" s="161">
        <v>10</v>
      </c>
      <c r="K52" s="161">
        <f>I52/J52</f>
        <v>863087.4</v>
      </c>
      <c r="L52" s="161">
        <v>3</v>
      </c>
      <c r="M52" s="167"/>
    </row>
    <row r="53" spans="1:13" ht="45" customHeight="1" x14ac:dyDescent="0.25">
      <c r="A53" s="162"/>
      <c r="B53" s="164"/>
      <c r="C53" s="161"/>
      <c r="D53" s="161"/>
      <c r="E53" s="161"/>
      <c r="F53" s="161"/>
      <c r="G53" s="161"/>
      <c r="H53" s="161"/>
      <c r="I53" s="160"/>
      <c r="J53" s="161"/>
      <c r="K53" s="161"/>
      <c r="L53" s="161"/>
      <c r="M53" s="166"/>
    </row>
    <row r="54" spans="1:13" ht="45" customHeight="1" x14ac:dyDescent="0.25">
      <c r="A54" s="162">
        <v>45985</v>
      </c>
      <c r="B54" s="185" t="s">
        <v>30</v>
      </c>
      <c r="C54" s="161"/>
      <c r="D54" s="161">
        <v>3313548</v>
      </c>
      <c r="E54" s="161">
        <v>32427654</v>
      </c>
      <c r="F54" s="161"/>
      <c r="G54" s="161"/>
      <c r="H54" s="161">
        <v>31223000</v>
      </c>
      <c r="I54" s="159">
        <f>SUM(C54:G55)</f>
        <v>35741202</v>
      </c>
      <c r="J54" s="161">
        <v>15</v>
      </c>
      <c r="K54" s="161">
        <f>I54/J54</f>
        <v>2382746.7999999998</v>
      </c>
      <c r="L54" s="161">
        <v>7</v>
      </c>
      <c r="M54" s="167"/>
    </row>
    <row r="55" spans="1:13" ht="45" customHeight="1" x14ac:dyDescent="0.25">
      <c r="A55" s="162"/>
      <c r="B55" s="164"/>
      <c r="C55" s="161"/>
      <c r="D55" s="161"/>
      <c r="E55" s="161"/>
      <c r="F55" s="161"/>
      <c r="G55" s="161"/>
      <c r="H55" s="161"/>
      <c r="I55" s="160"/>
      <c r="J55" s="161"/>
      <c r="K55" s="161"/>
      <c r="L55" s="161"/>
      <c r="M55" s="166"/>
    </row>
    <row r="56" spans="1:13" ht="45" customHeight="1" x14ac:dyDescent="0.25">
      <c r="A56" s="162">
        <v>45986</v>
      </c>
      <c r="B56" s="185" t="s">
        <v>31</v>
      </c>
      <c r="C56" s="161"/>
      <c r="D56" s="161">
        <v>40666960</v>
      </c>
      <c r="E56" s="161">
        <v>6576234</v>
      </c>
      <c r="F56" s="161">
        <v>54197600</v>
      </c>
      <c r="G56" s="161"/>
      <c r="H56" s="161">
        <v>88666000</v>
      </c>
      <c r="I56" s="159">
        <f>SUM(C56:G57)</f>
        <v>101440794</v>
      </c>
      <c r="J56" s="161">
        <v>63</v>
      </c>
      <c r="K56" s="161">
        <f>I56/J56</f>
        <v>1610171.3333333333</v>
      </c>
      <c r="L56" s="161">
        <v>9</v>
      </c>
      <c r="M56" s="167" t="s">
        <v>124</v>
      </c>
    </row>
    <row r="57" spans="1:13" ht="45" customHeight="1" x14ac:dyDescent="0.25">
      <c r="A57" s="162"/>
      <c r="B57" s="164"/>
      <c r="C57" s="161"/>
      <c r="D57" s="161"/>
      <c r="E57" s="161"/>
      <c r="F57" s="161"/>
      <c r="G57" s="161"/>
      <c r="H57" s="161"/>
      <c r="I57" s="160"/>
      <c r="J57" s="161"/>
      <c r="K57" s="161"/>
      <c r="L57" s="161"/>
      <c r="M57" s="166"/>
    </row>
    <row r="58" spans="1:13" ht="45" customHeight="1" x14ac:dyDescent="0.25">
      <c r="A58" s="162">
        <v>45987</v>
      </c>
      <c r="B58" s="185" t="s">
        <v>32</v>
      </c>
      <c r="C58" s="161"/>
      <c r="D58" s="161"/>
      <c r="E58" s="161">
        <v>6261444</v>
      </c>
      <c r="F58" s="161">
        <v>2544696</v>
      </c>
      <c r="G58" s="161"/>
      <c r="H58" s="161">
        <v>7710000</v>
      </c>
      <c r="I58" s="159">
        <f>SUM(C58:G59)</f>
        <v>8806140</v>
      </c>
      <c r="J58" s="161">
        <v>6</v>
      </c>
      <c r="K58" s="161">
        <f>I58/J58</f>
        <v>1467690</v>
      </c>
      <c r="L58" s="161">
        <v>3</v>
      </c>
      <c r="M58" s="167" t="s">
        <v>91</v>
      </c>
    </row>
    <row r="59" spans="1:13" ht="45" customHeight="1" x14ac:dyDescent="0.25">
      <c r="A59" s="162"/>
      <c r="B59" s="164"/>
      <c r="C59" s="161"/>
      <c r="D59" s="161"/>
      <c r="E59" s="161"/>
      <c r="F59" s="161"/>
      <c r="G59" s="161"/>
      <c r="H59" s="161"/>
      <c r="I59" s="160"/>
      <c r="J59" s="161"/>
      <c r="K59" s="161"/>
      <c r="L59" s="161"/>
      <c r="M59" s="166"/>
    </row>
    <row r="60" spans="1:13" ht="45" customHeight="1" x14ac:dyDescent="0.25">
      <c r="A60" s="162">
        <v>45988</v>
      </c>
      <c r="B60" s="185" t="s">
        <v>21</v>
      </c>
      <c r="C60" s="161"/>
      <c r="D60" s="191"/>
      <c r="E60" s="161">
        <v>5406072</v>
      </c>
      <c r="F60" s="161">
        <v>9996777</v>
      </c>
      <c r="G60" s="161"/>
      <c r="H60" s="161">
        <v>14221572</v>
      </c>
      <c r="I60" s="159">
        <f>SUM(C60:G61)</f>
        <v>15402849</v>
      </c>
      <c r="J60" s="161">
        <v>24</v>
      </c>
      <c r="K60" s="161">
        <f>I60/J60</f>
        <v>641785.375</v>
      </c>
      <c r="L60" s="161">
        <v>4</v>
      </c>
      <c r="M60" s="167" t="s">
        <v>120</v>
      </c>
    </row>
    <row r="61" spans="1:13" ht="45" customHeight="1" x14ac:dyDescent="0.25">
      <c r="A61" s="162"/>
      <c r="B61" s="164"/>
      <c r="C61" s="161"/>
      <c r="D61" s="192"/>
      <c r="E61" s="161"/>
      <c r="F61" s="161"/>
      <c r="G61" s="161"/>
      <c r="H61" s="161"/>
      <c r="I61" s="160"/>
      <c r="J61" s="161"/>
      <c r="K61" s="161"/>
      <c r="L61" s="161"/>
      <c r="M61" s="166"/>
    </row>
    <row r="62" spans="1:13" ht="45" customHeight="1" x14ac:dyDescent="0.25">
      <c r="A62" s="162">
        <v>45989</v>
      </c>
      <c r="B62" s="185" t="s">
        <v>23</v>
      </c>
      <c r="C62" s="161"/>
      <c r="D62" s="161"/>
      <c r="E62" s="161"/>
      <c r="F62" s="161"/>
      <c r="G62" s="161"/>
      <c r="H62" s="161">
        <v>0</v>
      </c>
      <c r="I62" s="159">
        <v>0</v>
      </c>
      <c r="J62" s="161"/>
      <c r="K62" s="159"/>
      <c r="L62" s="161"/>
      <c r="M62" s="167"/>
    </row>
    <row r="63" spans="1:13" ht="45" customHeight="1" x14ac:dyDescent="0.25">
      <c r="A63" s="162"/>
      <c r="B63" s="186"/>
      <c r="C63" s="161"/>
      <c r="D63" s="161"/>
      <c r="E63" s="161"/>
      <c r="F63" s="161"/>
      <c r="G63" s="161"/>
      <c r="H63" s="161"/>
      <c r="I63" s="160"/>
      <c r="J63" s="161"/>
      <c r="K63" s="160"/>
      <c r="L63" s="161"/>
      <c r="M63" s="166"/>
    </row>
    <row r="64" spans="1:13" ht="45" customHeight="1" x14ac:dyDescent="0.25">
      <c r="A64" s="162">
        <v>45990</v>
      </c>
      <c r="B64" s="185" t="s">
        <v>25</v>
      </c>
      <c r="C64" s="161"/>
      <c r="D64" s="161"/>
      <c r="E64" s="161"/>
      <c r="F64" s="161">
        <v>32755590</v>
      </c>
      <c r="G64" s="161"/>
      <c r="H64" s="161">
        <v>28885000</v>
      </c>
      <c r="I64" s="159">
        <f>SUM(C64:G65)</f>
        <v>32755590</v>
      </c>
      <c r="J64" s="161">
        <v>150</v>
      </c>
      <c r="K64" s="161">
        <f>I64/J64</f>
        <v>218370.6</v>
      </c>
      <c r="L64" s="161">
        <v>1</v>
      </c>
      <c r="M64" s="167" t="s">
        <v>91</v>
      </c>
    </row>
    <row r="65" spans="1:13" ht="45" customHeight="1" x14ac:dyDescent="0.25">
      <c r="A65" s="162"/>
      <c r="B65" s="186"/>
      <c r="C65" s="161"/>
      <c r="D65" s="161"/>
      <c r="E65" s="161"/>
      <c r="F65" s="161"/>
      <c r="G65" s="161"/>
      <c r="H65" s="161"/>
      <c r="I65" s="160"/>
      <c r="J65" s="161"/>
      <c r="K65" s="161"/>
      <c r="L65" s="161"/>
      <c r="M65" s="166"/>
    </row>
    <row r="66" spans="1:13" ht="45" customHeight="1" x14ac:dyDescent="0.25">
      <c r="A66" s="162">
        <v>45991</v>
      </c>
      <c r="B66" s="185" t="s">
        <v>27</v>
      </c>
      <c r="C66" s="159"/>
      <c r="D66" s="159"/>
      <c r="E66" s="159"/>
      <c r="F66" s="159"/>
      <c r="G66" s="159"/>
      <c r="H66" s="161">
        <v>0</v>
      </c>
      <c r="I66" s="161">
        <v>0</v>
      </c>
      <c r="J66" s="161"/>
      <c r="K66" s="159"/>
      <c r="L66" s="159"/>
      <c r="M66" s="187"/>
    </row>
    <row r="67" spans="1:13" ht="45" customHeight="1" x14ac:dyDescent="0.25">
      <c r="A67" s="162"/>
      <c r="B67" s="164"/>
      <c r="C67" s="160"/>
      <c r="D67" s="160"/>
      <c r="E67" s="160"/>
      <c r="F67" s="160"/>
      <c r="G67" s="160"/>
      <c r="H67" s="161"/>
      <c r="I67" s="161"/>
      <c r="J67" s="161"/>
      <c r="K67" s="160"/>
      <c r="L67" s="160"/>
      <c r="M67" s="188"/>
    </row>
    <row r="68" spans="1:13" ht="45" x14ac:dyDescent="0.25">
      <c r="A68" s="158" t="s">
        <v>40</v>
      </c>
      <c r="B68" s="158"/>
      <c r="C68" s="54">
        <f t="shared" ref="C68:I68" si="4">C34+C19+C4+C49</f>
        <v>25483841</v>
      </c>
      <c r="D68" s="54">
        <f t="shared" si="4"/>
        <v>155341682</v>
      </c>
      <c r="E68" s="54">
        <f t="shared" si="4"/>
        <v>669441353</v>
      </c>
      <c r="F68" s="54">
        <f t="shared" si="4"/>
        <v>431747965</v>
      </c>
      <c r="G68" s="54">
        <f t="shared" si="4"/>
        <v>0</v>
      </c>
      <c r="H68" s="54">
        <f t="shared" si="4"/>
        <v>1129482833</v>
      </c>
      <c r="I68" s="54">
        <f t="shared" si="4"/>
        <v>1282014841</v>
      </c>
      <c r="J68" s="54">
        <f>J34+J19+J49+J4</f>
        <v>880</v>
      </c>
      <c r="K68" s="54">
        <f>I68/J68</f>
        <v>1456835.0465909091</v>
      </c>
      <c r="L68" s="54">
        <f>L34+L19+L49+L4</f>
        <v>230</v>
      </c>
      <c r="M68" s="54"/>
    </row>
  </sheetData>
  <mergeCells count="405">
    <mergeCell ref="L5:L6"/>
    <mergeCell ref="M5:M6"/>
    <mergeCell ref="I5:I6"/>
    <mergeCell ref="J5:J6"/>
    <mergeCell ref="K5:K6"/>
    <mergeCell ref="A1:M1"/>
    <mergeCell ref="A2:A3"/>
    <mergeCell ref="B2:B3"/>
    <mergeCell ref="C2:G2"/>
    <mergeCell ref="H2:H3"/>
    <mergeCell ref="I2:I3"/>
    <mergeCell ref="J2:J3"/>
    <mergeCell ref="K2:K3"/>
    <mergeCell ref="L2:L3"/>
    <mergeCell ref="M2:M3"/>
    <mergeCell ref="F5:F6"/>
    <mergeCell ref="G5:G6"/>
    <mergeCell ref="H5:H6"/>
    <mergeCell ref="A4:B4"/>
    <mergeCell ref="A5:A6"/>
    <mergeCell ref="B5:B6"/>
    <mergeCell ref="C5:C6"/>
    <mergeCell ref="D5:D6"/>
    <mergeCell ref="E5:E6"/>
    <mergeCell ref="M7:M8"/>
    <mergeCell ref="A9:A10"/>
    <mergeCell ref="B9:B10"/>
    <mergeCell ref="C9:C10"/>
    <mergeCell ref="D9:D10"/>
    <mergeCell ref="E9:E10"/>
    <mergeCell ref="L9:L10"/>
    <mergeCell ref="M9:M10"/>
    <mergeCell ref="I9:I10"/>
    <mergeCell ref="J9:J10"/>
    <mergeCell ref="K9:K10"/>
    <mergeCell ref="A7:A8"/>
    <mergeCell ref="B7:B8"/>
    <mergeCell ref="C7:C8"/>
    <mergeCell ref="D7:D8"/>
    <mergeCell ref="E7:E8"/>
    <mergeCell ref="F7:F8"/>
    <mergeCell ref="G7:G8"/>
    <mergeCell ref="H7:H8"/>
    <mergeCell ref="G11:G12"/>
    <mergeCell ref="H11:H12"/>
    <mergeCell ref="F9:F10"/>
    <mergeCell ref="G9:G10"/>
    <mergeCell ref="H9:H10"/>
    <mergeCell ref="I7:I8"/>
    <mergeCell ref="J7:J8"/>
    <mergeCell ref="K7:K8"/>
    <mergeCell ref="L7:L8"/>
    <mergeCell ref="F13:F14"/>
    <mergeCell ref="G13:G14"/>
    <mergeCell ref="H13:H14"/>
    <mergeCell ref="I11:I12"/>
    <mergeCell ref="J11:J12"/>
    <mergeCell ref="K11:K12"/>
    <mergeCell ref="L11:L12"/>
    <mergeCell ref="M11:M12"/>
    <mergeCell ref="A13:A14"/>
    <mergeCell ref="B13:B14"/>
    <mergeCell ref="C13:C14"/>
    <mergeCell ref="D13:D14"/>
    <mergeCell ref="E13:E14"/>
    <mergeCell ref="L13:L14"/>
    <mergeCell ref="M13:M14"/>
    <mergeCell ref="I13:I14"/>
    <mergeCell ref="J13:J14"/>
    <mergeCell ref="K13:K14"/>
    <mergeCell ref="A11:A12"/>
    <mergeCell ref="B11:B12"/>
    <mergeCell ref="C11:C12"/>
    <mergeCell ref="D11:D12"/>
    <mergeCell ref="E11:E12"/>
    <mergeCell ref="F11:F12"/>
    <mergeCell ref="I15:I16"/>
    <mergeCell ref="J15:J16"/>
    <mergeCell ref="K15:K16"/>
    <mergeCell ref="L15:L16"/>
    <mergeCell ref="M15:M16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F15:F16"/>
    <mergeCell ref="G15:G16"/>
    <mergeCell ref="H15:H16"/>
    <mergeCell ref="H20:H21"/>
    <mergeCell ref="I20:I21"/>
    <mergeCell ref="J20:J21"/>
    <mergeCell ref="K20:K21"/>
    <mergeCell ref="L20:L21"/>
    <mergeCell ref="M20:M21"/>
    <mergeCell ref="L17:L18"/>
    <mergeCell ref="M17:M18"/>
    <mergeCell ref="A19:B19"/>
    <mergeCell ref="A20:A21"/>
    <mergeCell ref="B20:B21"/>
    <mergeCell ref="C20:C21"/>
    <mergeCell ref="D20:D21"/>
    <mergeCell ref="E20:E21"/>
    <mergeCell ref="F20:F21"/>
    <mergeCell ref="G20:G21"/>
    <mergeCell ref="F17:F18"/>
    <mergeCell ref="G17:G18"/>
    <mergeCell ref="H17:H18"/>
    <mergeCell ref="I17:I18"/>
    <mergeCell ref="J17:J18"/>
    <mergeCell ref="K17:K18"/>
    <mergeCell ref="M22:M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J24:J25"/>
    <mergeCell ref="K24:K25"/>
    <mergeCell ref="E28:E29"/>
    <mergeCell ref="F28:F29"/>
    <mergeCell ref="G28:G29"/>
    <mergeCell ref="H28:H29"/>
    <mergeCell ref="I28:I29"/>
    <mergeCell ref="L24:L25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G32:G33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D28:D29"/>
    <mergeCell ref="F35:F36"/>
    <mergeCell ref="G35:G36"/>
    <mergeCell ref="H35:H36"/>
    <mergeCell ref="J32:J33"/>
    <mergeCell ref="K32:K33"/>
    <mergeCell ref="L32:L33"/>
    <mergeCell ref="M32:M33"/>
    <mergeCell ref="A34:B34"/>
    <mergeCell ref="A35:A36"/>
    <mergeCell ref="B35:B36"/>
    <mergeCell ref="C35:C36"/>
    <mergeCell ref="D35:D36"/>
    <mergeCell ref="E35:E36"/>
    <mergeCell ref="L35:L36"/>
    <mergeCell ref="M35:M36"/>
    <mergeCell ref="I35:I36"/>
    <mergeCell ref="J35:J36"/>
    <mergeCell ref="K35:K36"/>
    <mergeCell ref="A32:A33"/>
    <mergeCell ref="B32:B33"/>
    <mergeCell ref="C32:C33"/>
    <mergeCell ref="D32:D33"/>
    <mergeCell ref="E32:E33"/>
    <mergeCell ref="F32:F33"/>
    <mergeCell ref="M37:M38"/>
    <mergeCell ref="A39:A40"/>
    <mergeCell ref="B39:B40"/>
    <mergeCell ref="C39:C40"/>
    <mergeCell ref="D39:D40"/>
    <mergeCell ref="E39:E40"/>
    <mergeCell ref="L39:L40"/>
    <mergeCell ref="M39:M40"/>
    <mergeCell ref="I39:I40"/>
    <mergeCell ref="J39:J40"/>
    <mergeCell ref="K39:K40"/>
    <mergeCell ref="A37:A38"/>
    <mergeCell ref="B37:B38"/>
    <mergeCell ref="C37:C38"/>
    <mergeCell ref="D37:D38"/>
    <mergeCell ref="E37:E38"/>
    <mergeCell ref="F37:F38"/>
    <mergeCell ref="G37:G38"/>
    <mergeCell ref="H37:H38"/>
    <mergeCell ref="G41:G42"/>
    <mergeCell ref="H41:H42"/>
    <mergeCell ref="F39:F40"/>
    <mergeCell ref="G39:G40"/>
    <mergeCell ref="H39:H40"/>
    <mergeCell ref="I37:I38"/>
    <mergeCell ref="J37:J38"/>
    <mergeCell ref="K37:K38"/>
    <mergeCell ref="L37:L38"/>
    <mergeCell ref="F43:F44"/>
    <mergeCell ref="G43:G44"/>
    <mergeCell ref="H43:H44"/>
    <mergeCell ref="I41:I42"/>
    <mergeCell ref="J41:J42"/>
    <mergeCell ref="K41:K42"/>
    <mergeCell ref="L41:L42"/>
    <mergeCell ref="M41:M42"/>
    <mergeCell ref="A43:A44"/>
    <mergeCell ref="B43:B44"/>
    <mergeCell ref="C43:C44"/>
    <mergeCell ref="D43:D44"/>
    <mergeCell ref="E43:E44"/>
    <mergeCell ref="L43:L44"/>
    <mergeCell ref="M43:M44"/>
    <mergeCell ref="I43:I44"/>
    <mergeCell ref="J43:J44"/>
    <mergeCell ref="K43:K44"/>
    <mergeCell ref="A41:A42"/>
    <mergeCell ref="B41:B42"/>
    <mergeCell ref="C41:C42"/>
    <mergeCell ref="D41:D42"/>
    <mergeCell ref="E41:E42"/>
    <mergeCell ref="F41:F42"/>
    <mergeCell ref="I45:I46"/>
    <mergeCell ref="J45:J46"/>
    <mergeCell ref="K45:K46"/>
    <mergeCell ref="L45:L46"/>
    <mergeCell ref="M45:M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G45:G46"/>
    <mergeCell ref="H45:H46"/>
    <mergeCell ref="M50:M51"/>
    <mergeCell ref="L47:L48"/>
    <mergeCell ref="M47:M48"/>
    <mergeCell ref="A49:B49"/>
    <mergeCell ref="A50:A51"/>
    <mergeCell ref="B50:B51"/>
    <mergeCell ref="C50:C51"/>
    <mergeCell ref="D50:D51"/>
    <mergeCell ref="E50:E51"/>
    <mergeCell ref="F50:F51"/>
    <mergeCell ref="G50:G51"/>
    <mergeCell ref="F47:F48"/>
    <mergeCell ref="G47:G48"/>
    <mergeCell ref="H47:H48"/>
    <mergeCell ref="I47:I48"/>
    <mergeCell ref="J47:J48"/>
    <mergeCell ref="K47:K48"/>
    <mergeCell ref="H50:H51"/>
    <mergeCell ref="I50:I51"/>
    <mergeCell ref="J50:J51"/>
    <mergeCell ref="K50:K51"/>
    <mergeCell ref="L50:L51"/>
    <mergeCell ref="M52:M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G52:G53"/>
    <mergeCell ref="J54:J55"/>
    <mergeCell ref="K54:K55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H52:H53"/>
    <mergeCell ref="H58:H59"/>
    <mergeCell ref="I58:I59"/>
    <mergeCell ref="L54:L55"/>
    <mergeCell ref="M54:M55"/>
    <mergeCell ref="A56:A57"/>
    <mergeCell ref="B56:B57"/>
    <mergeCell ref="C56:C57"/>
    <mergeCell ref="D56:D57"/>
    <mergeCell ref="E56:E57"/>
    <mergeCell ref="F56:F57"/>
    <mergeCell ref="M56:M57"/>
    <mergeCell ref="G56:G57"/>
    <mergeCell ref="H56:H57"/>
    <mergeCell ref="I56:I57"/>
    <mergeCell ref="J56:J57"/>
    <mergeCell ref="K56:K57"/>
    <mergeCell ref="L56:L57"/>
    <mergeCell ref="J58:J59"/>
    <mergeCell ref="K58:K59"/>
    <mergeCell ref="L58:L59"/>
    <mergeCell ref="M58:M59"/>
    <mergeCell ref="A58:A59"/>
    <mergeCell ref="B58:B59"/>
    <mergeCell ref="C58:C59"/>
    <mergeCell ref="B60:B61"/>
    <mergeCell ref="C60:C61"/>
    <mergeCell ref="E60:E61"/>
    <mergeCell ref="F60:F61"/>
    <mergeCell ref="M60:M61"/>
    <mergeCell ref="G60:G61"/>
    <mergeCell ref="H60:H61"/>
    <mergeCell ref="I60:I61"/>
    <mergeCell ref="J60:J61"/>
    <mergeCell ref="K60:K61"/>
    <mergeCell ref="L60:L61"/>
    <mergeCell ref="D60:D61"/>
    <mergeCell ref="D58:D59"/>
    <mergeCell ref="E58:E59"/>
    <mergeCell ref="F58:F59"/>
    <mergeCell ref="G58:G59"/>
    <mergeCell ref="J62:J63"/>
    <mergeCell ref="K62:K63"/>
    <mergeCell ref="L62:L63"/>
    <mergeCell ref="M62:M63"/>
    <mergeCell ref="A64:A65"/>
    <mergeCell ref="B64:B65"/>
    <mergeCell ref="C64:C65"/>
    <mergeCell ref="D64:D65"/>
    <mergeCell ref="E64:E65"/>
    <mergeCell ref="F64:F65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A60:A61"/>
    <mergeCell ref="A68:B68"/>
    <mergeCell ref="J66:J67"/>
    <mergeCell ref="K66:K67"/>
    <mergeCell ref="L66:L67"/>
    <mergeCell ref="M66:M67"/>
    <mergeCell ref="M64:M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G64:G65"/>
    <mergeCell ref="H64:H65"/>
    <mergeCell ref="I64:I65"/>
    <mergeCell ref="J64:J65"/>
    <mergeCell ref="K64:K65"/>
    <mergeCell ref="L64:L65"/>
  </mergeCells>
  <pageMargins left="0.7" right="0.7" top="0.75" bottom="0.75" header="0.3" footer="0.3"/>
  <pageSetup paperSize="122" orientation="portrait" horizontalDpi="18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E151-7C49-4989-AFBC-54CA0799B30C}">
  <dimension ref="A1:M70"/>
  <sheetViews>
    <sheetView topLeftCell="A55" zoomScale="25" zoomScaleNormal="25" workbookViewId="0">
      <selection activeCell="F84" sqref="F84"/>
    </sheetView>
  </sheetViews>
  <sheetFormatPr defaultRowHeight="15" x14ac:dyDescent="0.25"/>
  <cols>
    <col min="1" max="1" width="47.85546875" customWidth="1"/>
    <col min="2" max="2" width="31.28515625" customWidth="1"/>
    <col min="3" max="7" width="49.5703125" customWidth="1"/>
    <col min="8" max="9" width="53.5703125" customWidth="1"/>
    <col min="10" max="11" width="39.28515625" customWidth="1"/>
    <col min="12" max="12" width="25.5703125" customWidth="1"/>
    <col min="13" max="13" width="104.140625" customWidth="1"/>
  </cols>
  <sheetData>
    <row r="1" spans="1:13" ht="396" customHeight="1" x14ac:dyDescent="0.25">
      <c r="A1" s="175" t="s">
        <v>125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3" ht="45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181" t="s">
        <v>8</v>
      </c>
      <c r="K2" s="181" t="s">
        <v>9</v>
      </c>
      <c r="L2" s="182" t="s">
        <v>10</v>
      </c>
      <c r="M2" s="183" t="s">
        <v>11</v>
      </c>
    </row>
    <row r="3" spans="1:13" ht="45" x14ac:dyDescent="0.25">
      <c r="A3" s="177"/>
      <c r="B3" s="177"/>
      <c r="C3" s="58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1"/>
      <c r="K3" s="181"/>
      <c r="L3" s="182"/>
      <c r="M3" s="183"/>
    </row>
    <row r="4" spans="1:13" ht="45" hidden="1" x14ac:dyDescent="0.25">
      <c r="A4" s="171" t="s">
        <v>20</v>
      </c>
      <c r="B4" s="171"/>
      <c r="C4" s="52">
        <f t="shared" ref="C4:G4" si="0">SUBTOTAL(9,C5:C18)</f>
        <v>642978</v>
      </c>
      <c r="D4" s="52">
        <f t="shared" si="0"/>
        <v>27401234</v>
      </c>
      <c r="E4" s="52">
        <f t="shared" si="0"/>
        <v>256513264</v>
      </c>
      <c r="F4" s="52">
        <f t="shared" si="0"/>
        <v>57334204</v>
      </c>
      <c r="G4" s="52">
        <f t="shared" si="0"/>
        <v>0</v>
      </c>
      <c r="H4" s="52">
        <f>SUM(H5:H18)</f>
        <v>299777150</v>
      </c>
      <c r="I4" s="52">
        <f>SUM(I5:I18)</f>
        <v>341891680</v>
      </c>
      <c r="J4" s="52">
        <f>SUM(J5:J18)</f>
        <v>179</v>
      </c>
      <c r="K4" s="52">
        <f>I4/J4</f>
        <v>1910009.3854748604</v>
      </c>
      <c r="L4" s="52">
        <f>SUM(L5:L18)</f>
        <v>47</v>
      </c>
      <c r="M4" s="55"/>
    </row>
    <row r="5" spans="1:13" ht="45" hidden="1" customHeight="1" x14ac:dyDescent="0.25">
      <c r="A5" s="162">
        <v>45992</v>
      </c>
      <c r="B5" s="185" t="s">
        <v>30</v>
      </c>
      <c r="C5" s="159"/>
      <c r="D5" s="159"/>
      <c r="E5" s="159">
        <v>37586157</v>
      </c>
      <c r="F5" s="159"/>
      <c r="G5" s="159"/>
      <c r="H5" s="159">
        <v>32820500</v>
      </c>
      <c r="I5" s="159">
        <f>SUM(C5:G5)</f>
        <v>37586157</v>
      </c>
      <c r="J5" s="159">
        <v>12</v>
      </c>
      <c r="K5" s="159">
        <f>I5/J5</f>
        <v>3132179.75</v>
      </c>
      <c r="L5" s="159">
        <v>4</v>
      </c>
      <c r="M5" s="165"/>
    </row>
    <row r="6" spans="1:13" ht="45" hidden="1" customHeight="1" x14ac:dyDescent="0.25">
      <c r="A6" s="162"/>
      <c r="B6" s="186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</row>
    <row r="7" spans="1:13" ht="45" hidden="1" customHeight="1" x14ac:dyDescent="0.25">
      <c r="A7" s="162">
        <v>45993</v>
      </c>
      <c r="B7" s="185" t="s">
        <v>31</v>
      </c>
      <c r="C7" s="159"/>
      <c r="D7" s="159"/>
      <c r="E7" s="159">
        <v>11253606</v>
      </c>
      <c r="F7" s="159">
        <v>28711646</v>
      </c>
      <c r="G7" s="159"/>
      <c r="H7" s="159">
        <v>35066800</v>
      </c>
      <c r="I7" s="159">
        <f>SUM(C7:G7)</f>
        <v>39965252</v>
      </c>
      <c r="J7" s="159">
        <v>31</v>
      </c>
      <c r="K7" s="159">
        <f>I7/J7</f>
        <v>1289201.6774193549</v>
      </c>
      <c r="L7" s="159">
        <v>9</v>
      </c>
      <c r="M7" s="167" t="s">
        <v>126</v>
      </c>
    </row>
    <row r="8" spans="1:13" ht="45" hidden="1" customHeight="1" x14ac:dyDescent="0.25">
      <c r="A8" s="162"/>
      <c r="B8" s="186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6"/>
    </row>
    <row r="9" spans="1:13" ht="45" hidden="1" customHeight="1" x14ac:dyDescent="0.25">
      <c r="A9" s="162">
        <v>45994</v>
      </c>
      <c r="B9" s="185" t="s">
        <v>32</v>
      </c>
      <c r="C9" s="159"/>
      <c r="D9" s="159"/>
      <c r="E9" s="159">
        <v>56241339</v>
      </c>
      <c r="F9" s="159">
        <v>3337022</v>
      </c>
      <c r="G9" s="159"/>
      <c r="H9" s="159">
        <v>52081200</v>
      </c>
      <c r="I9" s="159">
        <f>SUM(C9:G9)</f>
        <v>59578361</v>
      </c>
      <c r="J9" s="159">
        <v>18</v>
      </c>
      <c r="K9" s="159">
        <f>I9/J9</f>
        <v>3309908.9444444445</v>
      </c>
      <c r="L9" s="159">
        <v>8</v>
      </c>
      <c r="M9" s="167" t="s">
        <v>46</v>
      </c>
    </row>
    <row r="10" spans="1:13" ht="45" hidden="1" customHeight="1" x14ac:dyDescent="0.25">
      <c r="A10" s="162"/>
      <c r="B10" s="186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6"/>
    </row>
    <row r="11" spans="1:13" ht="45" hidden="1" customHeight="1" x14ac:dyDescent="0.25">
      <c r="A11" s="162">
        <v>45995</v>
      </c>
      <c r="B11" s="185" t="s">
        <v>21</v>
      </c>
      <c r="C11" s="159"/>
      <c r="D11" s="159"/>
      <c r="E11" s="159">
        <v>13812834</v>
      </c>
      <c r="F11" s="159"/>
      <c r="G11" s="159"/>
      <c r="H11" s="159">
        <v>12146000</v>
      </c>
      <c r="I11" s="159">
        <f>SUM(C11:G11)</f>
        <v>13812834</v>
      </c>
      <c r="J11" s="159">
        <v>10</v>
      </c>
      <c r="K11" s="159">
        <f>I11/J11</f>
        <v>1381283.4</v>
      </c>
      <c r="L11" s="159">
        <v>4</v>
      </c>
      <c r="M11" s="167"/>
    </row>
    <row r="12" spans="1:13" ht="45" hidden="1" customHeight="1" x14ac:dyDescent="0.25">
      <c r="A12" s="162"/>
      <c r="B12" s="186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6"/>
    </row>
    <row r="13" spans="1:13" ht="45" hidden="1" customHeight="1" x14ac:dyDescent="0.25">
      <c r="A13" s="162">
        <v>45996</v>
      </c>
      <c r="B13" s="185" t="s">
        <v>23</v>
      </c>
      <c r="C13" s="159"/>
      <c r="D13" s="159"/>
      <c r="E13" s="159">
        <v>47164110</v>
      </c>
      <c r="F13" s="159">
        <v>25150590</v>
      </c>
      <c r="G13" s="159"/>
      <c r="H13" s="159">
        <v>63598650</v>
      </c>
      <c r="I13" s="159">
        <f>SUM(C13:G13)</f>
        <v>72314700</v>
      </c>
      <c r="J13" s="159">
        <v>35</v>
      </c>
      <c r="K13" s="159">
        <f>I13/J13</f>
        <v>2066134.2857142857</v>
      </c>
      <c r="L13" s="159">
        <v>4</v>
      </c>
      <c r="M13" s="167" t="s">
        <v>69</v>
      </c>
    </row>
    <row r="14" spans="1:13" ht="45" hidden="1" customHeight="1" x14ac:dyDescent="0.25">
      <c r="A14" s="162"/>
      <c r="B14" s="186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6"/>
    </row>
    <row r="15" spans="1:13" ht="45" hidden="1" customHeight="1" x14ac:dyDescent="0.25">
      <c r="A15" s="162">
        <v>45997</v>
      </c>
      <c r="B15" s="185" t="s">
        <v>25</v>
      </c>
      <c r="C15" s="159"/>
      <c r="D15" s="159">
        <v>17896550</v>
      </c>
      <c r="E15" s="159">
        <v>71617084</v>
      </c>
      <c r="F15" s="159"/>
      <c r="G15" s="159"/>
      <c r="H15" s="159">
        <v>78501000</v>
      </c>
      <c r="I15" s="159">
        <f>SUM(C15:G15)</f>
        <v>89513634</v>
      </c>
      <c r="J15" s="159">
        <v>56</v>
      </c>
      <c r="K15" s="159">
        <f>I15/J15</f>
        <v>1598457.75</v>
      </c>
      <c r="L15" s="159">
        <v>4</v>
      </c>
      <c r="M15" s="165"/>
    </row>
    <row r="16" spans="1:13" ht="45" hidden="1" customHeight="1" x14ac:dyDescent="0.25">
      <c r="A16" s="162"/>
      <c r="B16" s="186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6"/>
    </row>
    <row r="17" spans="1:13" ht="45" hidden="1" customHeight="1" x14ac:dyDescent="0.25">
      <c r="A17" s="162">
        <v>45998</v>
      </c>
      <c r="B17" s="185" t="s">
        <v>60</v>
      </c>
      <c r="C17" s="159">
        <v>642978</v>
      </c>
      <c r="D17" s="161">
        <v>9504684</v>
      </c>
      <c r="E17" s="159">
        <v>18838134</v>
      </c>
      <c r="F17" s="159">
        <v>134946</v>
      </c>
      <c r="G17" s="159"/>
      <c r="H17" s="159">
        <v>25563000</v>
      </c>
      <c r="I17" s="159">
        <f>SUM(C17:G17)</f>
        <v>29120742</v>
      </c>
      <c r="J17" s="159">
        <v>17</v>
      </c>
      <c r="K17" s="159">
        <f>I17/J17</f>
        <v>1712984.8235294118</v>
      </c>
      <c r="L17" s="159">
        <v>14</v>
      </c>
      <c r="M17" s="167" t="s">
        <v>127</v>
      </c>
    </row>
    <row r="18" spans="1:13" ht="45" hidden="1" customHeight="1" x14ac:dyDescent="0.25">
      <c r="A18" s="162"/>
      <c r="B18" s="186"/>
      <c r="C18" s="160"/>
      <c r="D18" s="161"/>
      <c r="E18" s="160"/>
      <c r="F18" s="160"/>
      <c r="G18" s="160"/>
      <c r="H18" s="160"/>
      <c r="I18" s="160"/>
      <c r="J18" s="160"/>
      <c r="K18" s="160"/>
      <c r="L18" s="160"/>
      <c r="M18" s="166"/>
    </row>
    <row r="19" spans="1:13" ht="45" hidden="1" customHeight="1" x14ac:dyDescent="0.25">
      <c r="A19" s="171" t="s">
        <v>29</v>
      </c>
      <c r="B19" s="171"/>
      <c r="C19" s="52">
        <f t="shared" ref="C19:G19" si="1">SUBTOTAL(9,C20:C33)</f>
        <v>1416324</v>
      </c>
      <c r="D19" s="52">
        <f t="shared" si="1"/>
        <v>47033364</v>
      </c>
      <c r="E19" s="52">
        <f t="shared" si="1"/>
        <v>106673914</v>
      </c>
      <c r="F19" s="52">
        <f t="shared" si="1"/>
        <v>65961685</v>
      </c>
      <c r="G19" s="52">
        <f t="shared" si="1"/>
        <v>0</v>
      </c>
      <c r="H19" s="52">
        <f>SUM(H20:H33)</f>
        <v>194135200</v>
      </c>
      <c r="I19" s="52">
        <f>SUM(I20:I33)</f>
        <v>221085287</v>
      </c>
      <c r="J19" s="52">
        <f>SUM(J20:J33)</f>
        <v>127</v>
      </c>
      <c r="K19" s="52">
        <f>I19/J19</f>
        <v>1740829.0314960631</v>
      </c>
      <c r="L19" s="52">
        <f>SUM(L20:L33)</f>
        <v>37</v>
      </c>
      <c r="M19" s="55"/>
    </row>
    <row r="20" spans="1:13" ht="45" hidden="1" customHeight="1" x14ac:dyDescent="0.25">
      <c r="A20" s="162">
        <v>45999</v>
      </c>
      <c r="B20" s="185" t="s">
        <v>30</v>
      </c>
      <c r="C20" s="161">
        <v>1416324</v>
      </c>
      <c r="D20" s="161"/>
      <c r="E20" s="159">
        <v>33212235</v>
      </c>
      <c r="F20" s="161"/>
      <c r="G20" s="161"/>
      <c r="H20" s="161">
        <v>30373500</v>
      </c>
      <c r="I20" s="159">
        <f>SUM(C20:G20)</f>
        <v>34628559</v>
      </c>
      <c r="J20" s="161">
        <v>26</v>
      </c>
      <c r="K20" s="159">
        <f>I20/J20</f>
        <v>1331867.6538461538</v>
      </c>
      <c r="L20" s="161">
        <v>14</v>
      </c>
      <c r="M20" s="167"/>
    </row>
    <row r="21" spans="1:13" ht="54" hidden="1" customHeight="1" x14ac:dyDescent="0.25">
      <c r="A21" s="162"/>
      <c r="B21" s="186"/>
      <c r="C21" s="161"/>
      <c r="D21" s="161"/>
      <c r="E21" s="160"/>
      <c r="F21" s="161"/>
      <c r="G21" s="161"/>
      <c r="H21" s="161"/>
      <c r="I21" s="160"/>
      <c r="J21" s="161"/>
      <c r="K21" s="160"/>
      <c r="L21" s="161"/>
      <c r="M21" s="166"/>
    </row>
    <row r="22" spans="1:13" ht="45" hidden="1" customHeight="1" x14ac:dyDescent="0.25">
      <c r="A22" s="162">
        <v>46000</v>
      </c>
      <c r="B22" s="185" t="s">
        <v>31</v>
      </c>
      <c r="C22" s="161"/>
      <c r="D22" s="161">
        <v>4192398</v>
      </c>
      <c r="E22" s="159">
        <v>6805806</v>
      </c>
      <c r="F22" s="161"/>
      <c r="G22" s="161"/>
      <c r="H22" s="161">
        <v>9656000</v>
      </c>
      <c r="I22" s="159">
        <f>SUM(C22:G22)</f>
        <v>10998204</v>
      </c>
      <c r="J22" s="161">
        <v>8</v>
      </c>
      <c r="K22" s="159">
        <f>I22/J22</f>
        <v>1374775.5</v>
      </c>
      <c r="L22" s="161">
        <v>5</v>
      </c>
      <c r="M22" s="166"/>
    </row>
    <row r="23" spans="1:13" ht="45" hidden="1" customHeight="1" x14ac:dyDescent="0.25">
      <c r="A23" s="162"/>
      <c r="B23" s="186"/>
      <c r="C23" s="161"/>
      <c r="D23" s="161"/>
      <c r="E23" s="160"/>
      <c r="F23" s="161"/>
      <c r="G23" s="161"/>
      <c r="H23" s="161"/>
      <c r="I23" s="160"/>
      <c r="J23" s="161"/>
      <c r="K23" s="160"/>
      <c r="L23" s="161"/>
      <c r="M23" s="166"/>
    </row>
    <row r="24" spans="1:13" ht="45" hidden="1" customHeight="1" x14ac:dyDescent="0.25">
      <c r="A24" s="162">
        <v>46001</v>
      </c>
      <c r="B24" s="185" t="s">
        <v>32</v>
      </c>
      <c r="C24" s="161"/>
      <c r="D24" s="161">
        <v>2044602</v>
      </c>
      <c r="E24" s="159">
        <v>53085438</v>
      </c>
      <c r="F24" s="161">
        <v>893592</v>
      </c>
      <c r="G24" s="161"/>
      <c r="H24" s="161">
        <v>49248000</v>
      </c>
      <c r="I24" s="161">
        <f>SUM(C24:G24)</f>
        <v>56023632</v>
      </c>
      <c r="J24" s="161">
        <v>25</v>
      </c>
      <c r="K24" s="159">
        <f>I24/J24</f>
        <v>2240945.2799999998</v>
      </c>
      <c r="L24" s="161">
        <v>5</v>
      </c>
      <c r="M24" s="167" t="s">
        <v>91</v>
      </c>
    </row>
    <row r="25" spans="1:13" ht="45" hidden="1" customHeight="1" x14ac:dyDescent="0.25">
      <c r="A25" s="162"/>
      <c r="B25" s="186"/>
      <c r="C25" s="161"/>
      <c r="D25" s="161"/>
      <c r="E25" s="160"/>
      <c r="F25" s="161"/>
      <c r="G25" s="161"/>
      <c r="H25" s="161"/>
      <c r="I25" s="161"/>
      <c r="J25" s="161"/>
      <c r="K25" s="160"/>
      <c r="L25" s="161"/>
      <c r="M25" s="166"/>
    </row>
    <row r="26" spans="1:13" ht="48" hidden="1" customHeight="1" x14ac:dyDescent="0.25">
      <c r="A26" s="162">
        <v>46002</v>
      </c>
      <c r="B26" s="185" t="s">
        <v>21</v>
      </c>
      <c r="C26" s="161"/>
      <c r="D26" s="161"/>
      <c r="E26" s="159">
        <v>7074732</v>
      </c>
      <c r="F26" s="161">
        <v>14891688</v>
      </c>
      <c r="G26" s="161"/>
      <c r="H26" s="161">
        <v>19350000</v>
      </c>
      <c r="I26" s="161">
        <f>SUM(C26:G26)</f>
        <v>21966420</v>
      </c>
      <c r="J26" s="161">
        <v>25</v>
      </c>
      <c r="K26" s="159">
        <f>I26/J26</f>
        <v>878656.8</v>
      </c>
      <c r="L26" s="161">
        <v>5</v>
      </c>
      <c r="M26" s="167" t="s">
        <v>128</v>
      </c>
    </row>
    <row r="27" spans="1:13" ht="48" hidden="1" customHeight="1" x14ac:dyDescent="0.25">
      <c r="A27" s="162"/>
      <c r="B27" s="186"/>
      <c r="C27" s="161"/>
      <c r="D27" s="161"/>
      <c r="E27" s="160"/>
      <c r="F27" s="161"/>
      <c r="G27" s="161"/>
      <c r="H27" s="161"/>
      <c r="I27" s="161"/>
      <c r="J27" s="161"/>
      <c r="K27" s="160"/>
      <c r="L27" s="161"/>
      <c r="M27" s="166"/>
    </row>
    <row r="28" spans="1:13" ht="45" hidden="1" customHeight="1" x14ac:dyDescent="0.25">
      <c r="A28" s="162">
        <v>46003</v>
      </c>
      <c r="B28" s="185" t="s">
        <v>23</v>
      </c>
      <c r="C28" s="173" t="s">
        <v>129</v>
      </c>
      <c r="D28" s="161">
        <v>1120350</v>
      </c>
      <c r="E28" s="159">
        <v>5832540</v>
      </c>
      <c r="F28" s="161">
        <v>6545448</v>
      </c>
      <c r="G28" s="161"/>
      <c r="H28" s="159">
        <v>11852000</v>
      </c>
      <c r="I28" s="161">
        <f>SUM(C28:G28)</f>
        <v>13498338</v>
      </c>
      <c r="J28" s="161">
        <v>10</v>
      </c>
      <c r="K28" s="159">
        <f>I28/J28</f>
        <v>1349833.8</v>
      </c>
      <c r="L28" s="161">
        <v>4</v>
      </c>
      <c r="M28" s="168" t="s">
        <v>130</v>
      </c>
    </row>
    <row r="29" spans="1:13" ht="45" hidden="1" customHeight="1" x14ac:dyDescent="0.25">
      <c r="A29" s="162"/>
      <c r="B29" s="186"/>
      <c r="C29" s="161"/>
      <c r="D29" s="161"/>
      <c r="E29" s="160"/>
      <c r="F29" s="161"/>
      <c r="G29" s="161"/>
      <c r="H29" s="160"/>
      <c r="I29" s="161"/>
      <c r="J29" s="161"/>
      <c r="K29" s="160"/>
      <c r="L29" s="161"/>
      <c r="M29" s="166"/>
    </row>
    <row r="30" spans="1:13" ht="45" hidden="1" customHeight="1" x14ac:dyDescent="0.25">
      <c r="A30" s="162">
        <v>46004</v>
      </c>
      <c r="B30" s="185" t="s">
        <v>25</v>
      </c>
      <c r="C30" s="161"/>
      <c r="D30" s="161">
        <v>39676014</v>
      </c>
      <c r="E30" s="159">
        <v>663163</v>
      </c>
      <c r="F30" s="161"/>
      <c r="G30" s="161"/>
      <c r="H30" s="159">
        <v>35465800</v>
      </c>
      <c r="I30" s="161">
        <f>SUM(C30:G30)</f>
        <v>40339177</v>
      </c>
      <c r="J30" s="161">
        <v>16</v>
      </c>
      <c r="K30" s="159">
        <f>I30/J30</f>
        <v>2521198.5625</v>
      </c>
      <c r="L30" s="161">
        <v>3</v>
      </c>
      <c r="M30" s="167"/>
    </row>
    <row r="31" spans="1:13" ht="45" hidden="1" customHeight="1" x14ac:dyDescent="0.25">
      <c r="A31" s="162"/>
      <c r="B31" s="186"/>
      <c r="C31" s="161"/>
      <c r="D31" s="161"/>
      <c r="E31" s="160"/>
      <c r="F31" s="161"/>
      <c r="G31" s="161"/>
      <c r="H31" s="160"/>
      <c r="I31" s="161"/>
      <c r="J31" s="161"/>
      <c r="K31" s="160"/>
      <c r="L31" s="161"/>
      <c r="M31" s="166"/>
    </row>
    <row r="32" spans="1:13" ht="45" hidden="1" customHeight="1" x14ac:dyDescent="0.25">
      <c r="A32" s="162">
        <v>46005</v>
      </c>
      <c r="B32" s="185" t="s">
        <v>60</v>
      </c>
      <c r="C32" s="161"/>
      <c r="D32" s="161"/>
      <c r="E32" s="159"/>
      <c r="F32" s="161">
        <v>43630957</v>
      </c>
      <c r="G32" s="161"/>
      <c r="H32" s="159">
        <v>38189900</v>
      </c>
      <c r="I32" s="161">
        <f>SUM(C32:G32)</f>
        <v>43630957</v>
      </c>
      <c r="J32" s="161">
        <v>17</v>
      </c>
      <c r="K32" s="159">
        <f>I32/J32</f>
        <v>2566526.8823529412</v>
      </c>
      <c r="L32" s="161">
        <v>1</v>
      </c>
      <c r="M32" s="167" t="s">
        <v>120</v>
      </c>
    </row>
    <row r="33" spans="1:13" ht="45" hidden="1" customHeight="1" x14ac:dyDescent="0.25">
      <c r="A33" s="162"/>
      <c r="B33" s="186"/>
      <c r="C33" s="161"/>
      <c r="D33" s="161"/>
      <c r="E33" s="160"/>
      <c r="F33" s="161"/>
      <c r="G33" s="161"/>
      <c r="H33" s="160"/>
      <c r="I33" s="161"/>
      <c r="J33" s="161"/>
      <c r="K33" s="160"/>
      <c r="L33" s="161"/>
      <c r="M33" s="167"/>
    </row>
    <row r="34" spans="1:13" ht="45" hidden="1" customHeight="1" x14ac:dyDescent="0.25">
      <c r="A34" s="171"/>
      <c r="B34" s="171"/>
      <c r="C34" s="52">
        <f t="shared" ref="C34:F34" si="2">SUBTOTAL(9,C35:C48)</f>
        <v>13109292</v>
      </c>
      <c r="D34" s="52">
        <f t="shared" si="2"/>
        <v>5252688</v>
      </c>
      <c r="E34" s="52">
        <f t="shared" si="2"/>
        <v>125941788</v>
      </c>
      <c r="F34" s="52">
        <f t="shared" si="2"/>
        <v>66232330</v>
      </c>
      <c r="G34" s="52"/>
      <c r="H34" s="52">
        <f>SUM(H35:H48)</f>
        <v>184824600</v>
      </c>
      <c r="I34" s="52">
        <f>SUM(I35:I48)</f>
        <v>210536098</v>
      </c>
      <c r="J34" s="52">
        <f>SUM(J35:J48)</f>
        <v>103</v>
      </c>
      <c r="K34" s="52">
        <f>I34/J34</f>
        <v>2044039.7864077671</v>
      </c>
      <c r="L34" s="52">
        <f>SUM(L35:L48)</f>
        <v>32</v>
      </c>
      <c r="M34" s="55"/>
    </row>
    <row r="35" spans="1:13" ht="45" hidden="1" customHeight="1" x14ac:dyDescent="0.25">
      <c r="A35" s="162">
        <v>46006</v>
      </c>
      <c r="B35" s="185" t="s">
        <v>30</v>
      </c>
      <c r="C35" s="161">
        <v>2235492</v>
      </c>
      <c r="D35" s="161"/>
      <c r="E35" s="161"/>
      <c r="F35" s="161">
        <v>35256042</v>
      </c>
      <c r="G35" s="161"/>
      <c r="H35" s="161">
        <v>32944650</v>
      </c>
      <c r="I35" s="161">
        <f>SUM(C35:G35)</f>
        <v>37491534</v>
      </c>
      <c r="J35" s="161">
        <v>12</v>
      </c>
      <c r="K35" s="159">
        <f>I35/J35</f>
        <v>3124294.5</v>
      </c>
      <c r="L35" s="161">
        <v>6</v>
      </c>
      <c r="M35" s="168" t="s">
        <v>131</v>
      </c>
    </row>
    <row r="36" spans="1:13" ht="45" hidden="1" customHeight="1" x14ac:dyDescent="0.25">
      <c r="A36" s="162"/>
      <c r="B36" s="186"/>
      <c r="C36" s="161"/>
      <c r="D36" s="161"/>
      <c r="E36" s="161"/>
      <c r="F36" s="161"/>
      <c r="G36" s="161"/>
      <c r="H36" s="161"/>
      <c r="I36" s="161"/>
      <c r="J36" s="161"/>
      <c r="K36" s="160"/>
      <c r="L36" s="161"/>
      <c r="M36" s="166"/>
    </row>
    <row r="37" spans="1:13" ht="45" hidden="1" customHeight="1" x14ac:dyDescent="0.25">
      <c r="A37" s="162">
        <v>46007</v>
      </c>
      <c r="B37" s="185" t="s">
        <v>31</v>
      </c>
      <c r="C37" s="161"/>
      <c r="D37" s="161">
        <v>2263464</v>
      </c>
      <c r="E37" s="161">
        <v>2925300</v>
      </c>
      <c r="F37" s="161">
        <v>3577997</v>
      </c>
      <c r="G37" s="161"/>
      <c r="H37" s="161">
        <v>7726200</v>
      </c>
      <c r="I37" s="161">
        <f>SUM(C37:G37)</f>
        <v>8766761</v>
      </c>
      <c r="J37" s="161">
        <v>10</v>
      </c>
      <c r="K37" s="161">
        <f>I37/J37</f>
        <v>876676.1</v>
      </c>
      <c r="L37" s="161">
        <v>4</v>
      </c>
      <c r="M37" s="167" t="s">
        <v>46</v>
      </c>
    </row>
    <row r="38" spans="1:13" ht="45" hidden="1" customHeight="1" x14ac:dyDescent="0.25">
      <c r="A38" s="162"/>
      <c r="B38" s="186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6"/>
    </row>
    <row r="39" spans="1:13" ht="45" hidden="1" customHeight="1" x14ac:dyDescent="0.25">
      <c r="A39" s="162">
        <v>46008</v>
      </c>
      <c r="B39" s="185" t="s">
        <v>32</v>
      </c>
      <c r="C39" s="161">
        <v>2516514</v>
      </c>
      <c r="D39" s="161"/>
      <c r="E39" s="161">
        <v>4600932</v>
      </c>
      <c r="F39" s="161">
        <v>27398291</v>
      </c>
      <c r="G39" s="161"/>
      <c r="H39" s="161">
        <v>30389750</v>
      </c>
      <c r="I39" s="161">
        <f>SUM(C39:G39)</f>
        <v>34515737</v>
      </c>
      <c r="J39" s="161">
        <v>18</v>
      </c>
      <c r="K39" s="161">
        <f>I39/J39</f>
        <v>1917540.9444444445</v>
      </c>
      <c r="L39" s="161">
        <v>7</v>
      </c>
      <c r="M39" s="167" t="s">
        <v>69</v>
      </c>
    </row>
    <row r="40" spans="1:13" ht="45" hidden="1" customHeight="1" x14ac:dyDescent="0.25">
      <c r="A40" s="162"/>
      <c r="B40" s="186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6"/>
    </row>
    <row r="41" spans="1:13" ht="45" hidden="1" customHeight="1" x14ac:dyDescent="0.25">
      <c r="A41" s="162">
        <v>46009</v>
      </c>
      <c r="B41" s="185" t="s">
        <v>21</v>
      </c>
      <c r="C41" s="161"/>
      <c r="D41" s="161"/>
      <c r="E41" s="161">
        <v>112681296</v>
      </c>
      <c r="F41" s="161"/>
      <c r="G41" s="161"/>
      <c r="H41" s="161">
        <v>98744000</v>
      </c>
      <c r="I41" s="161">
        <f>SUM(C41:G41)</f>
        <v>112681296</v>
      </c>
      <c r="J41" s="161">
        <v>42</v>
      </c>
      <c r="K41" s="161">
        <f>I41/J41</f>
        <v>2682888</v>
      </c>
      <c r="L41" s="161">
        <v>2</v>
      </c>
      <c r="M41" s="174"/>
    </row>
    <row r="42" spans="1:13" ht="45" hidden="1" customHeight="1" x14ac:dyDescent="0.25">
      <c r="A42" s="162"/>
      <c r="B42" s="186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70"/>
    </row>
    <row r="43" spans="1:13" ht="45" hidden="1" customHeight="1" x14ac:dyDescent="0.25">
      <c r="A43" s="162">
        <v>46010</v>
      </c>
      <c r="B43" s="185" t="s">
        <v>23</v>
      </c>
      <c r="C43" s="161">
        <v>5149200</v>
      </c>
      <c r="D43" s="161">
        <v>2989224</v>
      </c>
      <c r="E43" s="161">
        <v>959532</v>
      </c>
      <c r="F43" s="161"/>
      <c r="G43" s="161"/>
      <c r="H43" s="161">
        <v>8004000</v>
      </c>
      <c r="I43" s="161">
        <f>SUM(C43:G43)</f>
        <v>9097956</v>
      </c>
      <c r="J43" s="161">
        <v>10</v>
      </c>
      <c r="K43" s="161">
        <f>I43/J43</f>
        <v>909795.6</v>
      </c>
      <c r="L43" s="161">
        <v>5</v>
      </c>
      <c r="M43" s="167"/>
    </row>
    <row r="44" spans="1:13" ht="45" hidden="1" customHeight="1" x14ac:dyDescent="0.25">
      <c r="A44" s="162"/>
      <c r="B44" s="186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6"/>
    </row>
    <row r="45" spans="1:13" ht="45" hidden="1" customHeight="1" x14ac:dyDescent="0.25">
      <c r="A45" s="162">
        <v>46011</v>
      </c>
      <c r="B45" s="185" t="s">
        <v>25</v>
      </c>
      <c r="C45" s="161">
        <v>3208086</v>
      </c>
      <c r="D45" s="161"/>
      <c r="E45" s="161">
        <v>4774728</v>
      </c>
      <c r="F45" s="161"/>
      <c r="G45" s="161"/>
      <c r="H45" s="161">
        <v>7016000</v>
      </c>
      <c r="I45" s="161">
        <f>SUM(C45:G45)</f>
        <v>7982814</v>
      </c>
      <c r="J45" s="161">
        <v>11</v>
      </c>
      <c r="K45" s="161">
        <f>I45/J45</f>
        <v>725710.36363636365</v>
      </c>
      <c r="L45" s="161">
        <v>8</v>
      </c>
      <c r="M45" s="168"/>
    </row>
    <row r="46" spans="1:13" ht="45" hidden="1" customHeight="1" x14ac:dyDescent="0.25">
      <c r="A46" s="162"/>
      <c r="B46" s="186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6"/>
    </row>
    <row r="47" spans="1:13" ht="45" hidden="1" customHeight="1" x14ac:dyDescent="0.25">
      <c r="A47" s="162">
        <v>46012</v>
      </c>
      <c r="B47" s="185" t="s">
        <v>60</v>
      </c>
      <c r="C47" s="161"/>
      <c r="D47" s="161"/>
      <c r="E47" s="161"/>
      <c r="F47" s="161"/>
      <c r="G47" s="161"/>
      <c r="H47" s="161">
        <v>0</v>
      </c>
      <c r="I47" s="159">
        <v>0</v>
      </c>
      <c r="J47" s="161"/>
      <c r="K47" s="161">
        <v>0</v>
      </c>
      <c r="L47" s="161"/>
      <c r="M47" s="168"/>
    </row>
    <row r="48" spans="1:13" ht="45" hidden="1" customHeight="1" x14ac:dyDescent="0.25">
      <c r="A48" s="162"/>
      <c r="B48" s="186"/>
      <c r="C48" s="161"/>
      <c r="D48" s="161"/>
      <c r="E48" s="161"/>
      <c r="F48" s="161"/>
      <c r="G48" s="161"/>
      <c r="H48" s="161"/>
      <c r="I48" s="160"/>
      <c r="J48" s="161"/>
      <c r="K48" s="161"/>
      <c r="L48" s="161"/>
      <c r="M48" s="166"/>
    </row>
    <row r="49" spans="1:13" ht="45" customHeight="1" x14ac:dyDescent="0.25">
      <c r="A49" s="171" t="s">
        <v>36</v>
      </c>
      <c r="B49" s="171"/>
      <c r="C49" s="52">
        <f t="shared" ref="C49:J49" si="3">SUM(C50:C69)</f>
        <v>33370284</v>
      </c>
      <c r="D49" s="52">
        <f t="shared" si="3"/>
        <v>39638368</v>
      </c>
      <c r="E49" s="52">
        <f>SUM(E50:E69)</f>
        <v>136277705</v>
      </c>
      <c r="F49" s="52">
        <f t="shared" si="3"/>
        <v>117432841</v>
      </c>
      <c r="G49" s="52">
        <f t="shared" si="3"/>
        <v>0</v>
      </c>
      <c r="H49" s="52">
        <f>SUM(H50:H69)</f>
        <v>287013600</v>
      </c>
      <c r="I49" s="52">
        <f t="shared" si="3"/>
        <v>326719198</v>
      </c>
      <c r="J49" s="52">
        <f t="shared" si="3"/>
        <v>234</v>
      </c>
      <c r="K49" s="52">
        <f>I49/J49</f>
        <v>1396235.888888889</v>
      </c>
      <c r="L49" s="52">
        <f>SUM(L50:L69)</f>
        <v>111</v>
      </c>
      <c r="M49" s="52">
        <f ca="1">SUM(M49:M61)</f>
        <v>0</v>
      </c>
    </row>
    <row r="50" spans="1:13" ht="45" customHeight="1" x14ac:dyDescent="0.25">
      <c r="A50" s="162">
        <v>46013</v>
      </c>
      <c r="B50" s="185" t="s">
        <v>30</v>
      </c>
      <c r="C50" s="161"/>
      <c r="D50" s="161">
        <v>8971074</v>
      </c>
      <c r="E50" s="161">
        <v>8769957</v>
      </c>
      <c r="F50" s="161"/>
      <c r="G50" s="161"/>
      <c r="H50" s="161">
        <v>15596500</v>
      </c>
      <c r="I50" s="161">
        <f>SUM(C50:G50)</f>
        <v>17741031</v>
      </c>
      <c r="J50" s="161">
        <v>13</v>
      </c>
      <c r="K50" s="161">
        <f>I50/J50</f>
        <v>1364694.6923076923</v>
      </c>
      <c r="L50" s="161">
        <v>7</v>
      </c>
      <c r="M50" s="167"/>
    </row>
    <row r="51" spans="1:13" ht="45" customHeight="1" x14ac:dyDescent="0.25">
      <c r="A51" s="162"/>
      <c r="B51" s="186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6"/>
    </row>
    <row r="52" spans="1:13" ht="45" customHeight="1" x14ac:dyDescent="0.25">
      <c r="A52" s="162">
        <v>46014</v>
      </c>
      <c r="B52" s="185" t="s">
        <v>31</v>
      </c>
      <c r="C52" s="161"/>
      <c r="D52" s="161">
        <v>2102436</v>
      </c>
      <c r="E52" s="161"/>
      <c r="F52" s="161"/>
      <c r="G52" s="161"/>
      <c r="H52" s="161">
        <v>1854000</v>
      </c>
      <c r="I52" s="161">
        <f>SUM(C52:G52)</f>
        <v>2102436</v>
      </c>
      <c r="J52" s="161">
        <v>2</v>
      </c>
      <c r="K52" s="161">
        <f>I52/J52</f>
        <v>1051218</v>
      </c>
      <c r="L52" s="161">
        <v>1</v>
      </c>
      <c r="M52" s="167"/>
    </row>
    <row r="53" spans="1:13" ht="45" customHeight="1" x14ac:dyDescent="0.25">
      <c r="A53" s="162"/>
      <c r="B53" s="186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6"/>
    </row>
    <row r="54" spans="1:13" ht="45" customHeight="1" x14ac:dyDescent="0.25">
      <c r="A54" s="162">
        <v>46015</v>
      </c>
      <c r="B54" s="185" t="s">
        <v>32</v>
      </c>
      <c r="C54" s="161">
        <v>1444716</v>
      </c>
      <c r="D54" s="161">
        <v>2950000</v>
      </c>
      <c r="E54" s="161">
        <v>18521030</v>
      </c>
      <c r="F54" s="161"/>
      <c r="G54" s="161"/>
      <c r="H54" s="161">
        <v>20154000</v>
      </c>
      <c r="I54" s="161">
        <f>SUM(C54:G54)</f>
        <v>22915746</v>
      </c>
      <c r="J54" s="161">
        <v>21</v>
      </c>
      <c r="K54" s="161">
        <f>I54/J54</f>
        <v>1091226</v>
      </c>
      <c r="L54" s="161">
        <v>14</v>
      </c>
      <c r="M54" s="167"/>
    </row>
    <row r="55" spans="1:13" ht="45" customHeight="1" x14ac:dyDescent="0.25">
      <c r="A55" s="162"/>
      <c r="B55" s="186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6"/>
    </row>
    <row r="56" spans="1:13" ht="45" customHeight="1" x14ac:dyDescent="0.25">
      <c r="A56" s="162">
        <v>46016</v>
      </c>
      <c r="B56" s="185" t="s">
        <v>21</v>
      </c>
      <c r="C56" s="161">
        <v>1351308</v>
      </c>
      <c r="D56" s="161"/>
      <c r="E56" s="161"/>
      <c r="F56" s="161">
        <v>21532888</v>
      </c>
      <c r="G56" s="161"/>
      <c r="H56" s="161">
        <v>20084400</v>
      </c>
      <c r="I56" s="161">
        <f>SUM(C56:G56)</f>
        <v>22884196</v>
      </c>
      <c r="J56" s="161">
        <v>16</v>
      </c>
      <c r="K56" s="161">
        <f>I56/J56</f>
        <v>1430262.25</v>
      </c>
      <c r="L56" s="161">
        <v>6</v>
      </c>
      <c r="M56" s="167" t="s">
        <v>132</v>
      </c>
    </row>
    <row r="57" spans="1:13" ht="96" customHeight="1" x14ac:dyDescent="0.25">
      <c r="A57" s="162"/>
      <c r="B57" s="186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6"/>
    </row>
    <row r="58" spans="1:13" ht="45" customHeight="1" x14ac:dyDescent="0.25">
      <c r="A58" s="162">
        <v>46017</v>
      </c>
      <c r="B58" s="185" t="s">
        <v>23</v>
      </c>
      <c r="C58" s="161">
        <v>577500</v>
      </c>
      <c r="D58" s="161">
        <v>3738588</v>
      </c>
      <c r="E58" s="161">
        <v>14689752</v>
      </c>
      <c r="F58" s="161">
        <v>79264605</v>
      </c>
      <c r="G58" s="161"/>
      <c r="H58" s="161">
        <v>86522500</v>
      </c>
      <c r="I58" s="161">
        <f>SUM(C58:G58)</f>
        <v>98270445</v>
      </c>
      <c r="J58" s="161">
        <v>65</v>
      </c>
      <c r="K58" s="161">
        <f>I58/J58</f>
        <v>1511853</v>
      </c>
      <c r="L58" s="161">
        <v>11</v>
      </c>
      <c r="M58" s="167" t="s">
        <v>91</v>
      </c>
    </row>
    <row r="59" spans="1:13" ht="45" customHeight="1" x14ac:dyDescent="0.25">
      <c r="A59" s="162"/>
      <c r="B59" s="186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6"/>
    </row>
    <row r="60" spans="1:13" ht="45" customHeight="1" x14ac:dyDescent="0.25">
      <c r="A60" s="162">
        <v>46018</v>
      </c>
      <c r="B60" s="185" t="s">
        <v>25</v>
      </c>
      <c r="C60" s="161"/>
      <c r="D60" s="161">
        <v>2593458</v>
      </c>
      <c r="E60" s="161">
        <v>924000</v>
      </c>
      <c r="F60" s="161"/>
      <c r="G60" s="161"/>
      <c r="H60" s="161">
        <v>3087000</v>
      </c>
      <c r="I60" s="161">
        <f>SUM(C60:G60)</f>
        <v>3517458</v>
      </c>
      <c r="J60" s="161">
        <v>6</v>
      </c>
      <c r="K60" s="161">
        <f>I60/J60</f>
        <v>586243</v>
      </c>
      <c r="L60" s="161">
        <v>2</v>
      </c>
      <c r="M60" s="167"/>
    </row>
    <row r="61" spans="1:13" ht="45" customHeight="1" x14ac:dyDescent="0.25">
      <c r="A61" s="162"/>
      <c r="B61" s="186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6"/>
    </row>
    <row r="62" spans="1:13" ht="45" customHeight="1" x14ac:dyDescent="0.25">
      <c r="A62" s="162">
        <v>46019</v>
      </c>
      <c r="B62" s="185" t="s">
        <v>60</v>
      </c>
      <c r="C62" s="161">
        <v>7109196</v>
      </c>
      <c r="D62" s="161">
        <v>9033256</v>
      </c>
      <c r="E62" s="161">
        <v>12395078</v>
      </c>
      <c r="F62" s="161"/>
      <c r="G62" s="161"/>
      <c r="H62" s="161">
        <v>25030000</v>
      </c>
      <c r="I62" s="161">
        <f>SUM(C62:G62)</f>
        <v>28537530</v>
      </c>
      <c r="J62" s="161">
        <v>25</v>
      </c>
      <c r="K62" s="161">
        <f>I62/J62</f>
        <v>1141501.2</v>
      </c>
      <c r="L62" s="161">
        <v>17</v>
      </c>
      <c r="M62" s="167"/>
    </row>
    <row r="63" spans="1:13" ht="45" customHeight="1" x14ac:dyDescent="0.25">
      <c r="A63" s="162"/>
      <c r="B63" s="186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6"/>
    </row>
    <row r="64" spans="1:13" ht="45" customHeight="1" x14ac:dyDescent="0.25">
      <c r="A64" s="162">
        <v>46020</v>
      </c>
      <c r="B64" s="185" t="s">
        <v>30</v>
      </c>
      <c r="C64" s="161">
        <v>4003944</v>
      </c>
      <c r="D64" s="161">
        <v>1275036</v>
      </c>
      <c r="E64" s="161">
        <v>8373456</v>
      </c>
      <c r="F64" s="161">
        <v>16635348</v>
      </c>
      <c r="G64" s="161"/>
      <c r="H64" s="161">
        <v>26522200</v>
      </c>
      <c r="I64" s="161">
        <f>SUM(C64:G64)</f>
        <v>30287784</v>
      </c>
      <c r="J64" s="161">
        <v>19</v>
      </c>
      <c r="K64" s="161">
        <f>I64/J64</f>
        <v>1594093.894736842</v>
      </c>
      <c r="L64" s="161">
        <v>11</v>
      </c>
      <c r="M64" s="167" t="s">
        <v>120</v>
      </c>
    </row>
    <row r="65" spans="1:13" ht="45" customHeight="1" x14ac:dyDescent="0.25">
      <c r="A65" s="162"/>
      <c r="B65" s="186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6"/>
    </row>
    <row r="66" spans="1:13" ht="45" customHeight="1" x14ac:dyDescent="0.25">
      <c r="A66" s="162">
        <v>46021</v>
      </c>
      <c r="B66" s="185" t="s">
        <v>30</v>
      </c>
      <c r="C66" s="161"/>
      <c r="D66" s="161"/>
      <c r="E66" s="161">
        <v>17593926</v>
      </c>
      <c r="F66" s="161"/>
      <c r="G66" s="161"/>
      <c r="H66" s="161">
        <v>15344000</v>
      </c>
      <c r="I66" s="161">
        <f>SUM(C66:G66)</f>
        <v>17593926</v>
      </c>
      <c r="J66" s="161">
        <v>13</v>
      </c>
      <c r="K66" s="161">
        <f>I66/J66</f>
        <v>1353378.923076923</v>
      </c>
      <c r="L66" s="161">
        <v>8</v>
      </c>
      <c r="M66" s="167"/>
    </row>
    <row r="67" spans="1:13" ht="45" customHeight="1" x14ac:dyDescent="0.25">
      <c r="A67" s="162"/>
      <c r="B67" s="186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6"/>
    </row>
    <row r="68" spans="1:13" ht="45" customHeight="1" x14ac:dyDescent="0.25">
      <c r="A68" s="162">
        <v>46022</v>
      </c>
      <c r="B68" s="185" t="s">
        <v>31</v>
      </c>
      <c r="C68" s="159">
        <v>18883620</v>
      </c>
      <c r="D68" s="159">
        <v>8974520</v>
      </c>
      <c r="E68" s="159">
        <v>55010506</v>
      </c>
      <c r="F68" s="159"/>
      <c r="G68" s="159"/>
      <c r="H68" s="161">
        <v>72819000</v>
      </c>
      <c r="I68" s="161">
        <f>SUM(C68:G68)</f>
        <v>82868646</v>
      </c>
      <c r="J68" s="161">
        <v>54</v>
      </c>
      <c r="K68" s="159">
        <f>I68/J68</f>
        <v>1534604.5555555555</v>
      </c>
      <c r="L68" s="159">
        <v>34</v>
      </c>
      <c r="M68" s="187"/>
    </row>
    <row r="69" spans="1:13" ht="45" customHeight="1" x14ac:dyDescent="0.25">
      <c r="A69" s="162"/>
      <c r="B69" s="186"/>
      <c r="C69" s="160"/>
      <c r="D69" s="160"/>
      <c r="E69" s="160"/>
      <c r="F69" s="160"/>
      <c r="G69" s="160"/>
      <c r="H69" s="161"/>
      <c r="I69" s="161"/>
      <c r="J69" s="161"/>
      <c r="K69" s="160"/>
      <c r="L69" s="160"/>
      <c r="M69" s="188"/>
    </row>
    <row r="70" spans="1:13" ht="45" x14ac:dyDescent="0.25">
      <c r="A70" s="158" t="s">
        <v>40</v>
      </c>
      <c r="B70" s="158"/>
      <c r="C70" s="54">
        <f t="shared" ref="C70:I70" si="4">C34+C19+C4+C49</f>
        <v>48538878</v>
      </c>
      <c r="D70" s="54">
        <f t="shared" si="4"/>
        <v>119325654</v>
      </c>
      <c r="E70" s="54">
        <f t="shared" si="4"/>
        <v>625406671</v>
      </c>
      <c r="F70" s="54">
        <f t="shared" si="4"/>
        <v>306961060</v>
      </c>
      <c r="G70" s="54">
        <f t="shared" si="4"/>
        <v>0</v>
      </c>
      <c r="H70" s="54">
        <f t="shared" si="4"/>
        <v>965750550</v>
      </c>
      <c r="I70" s="54">
        <f t="shared" si="4"/>
        <v>1100232263</v>
      </c>
      <c r="J70" s="54">
        <f>J34+J19+J49+J4</f>
        <v>643</v>
      </c>
      <c r="K70" s="54">
        <f>I70/J70</f>
        <v>1711092.166407465</v>
      </c>
      <c r="L70" s="54">
        <f>L34+L19+L49+L4</f>
        <v>227</v>
      </c>
      <c r="M70" s="54"/>
    </row>
  </sheetData>
  <mergeCells count="418">
    <mergeCell ref="L5:L6"/>
    <mergeCell ref="M5:M6"/>
    <mergeCell ref="I5:I6"/>
    <mergeCell ref="J5:J6"/>
    <mergeCell ref="K5:K6"/>
    <mergeCell ref="A1:M1"/>
    <mergeCell ref="A2:A3"/>
    <mergeCell ref="B2:B3"/>
    <mergeCell ref="C2:G2"/>
    <mergeCell ref="H2:H3"/>
    <mergeCell ref="I2:I3"/>
    <mergeCell ref="J2:J3"/>
    <mergeCell ref="K2:K3"/>
    <mergeCell ref="L2:L3"/>
    <mergeCell ref="M2:M3"/>
    <mergeCell ref="F5:F6"/>
    <mergeCell ref="G5:G6"/>
    <mergeCell ref="H5:H6"/>
    <mergeCell ref="A4:B4"/>
    <mergeCell ref="A5:A6"/>
    <mergeCell ref="B5:B6"/>
    <mergeCell ref="C5:C6"/>
    <mergeCell ref="D5:D6"/>
    <mergeCell ref="E5:E6"/>
    <mergeCell ref="M7:M8"/>
    <mergeCell ref="A9:A10"/>
    <mergeCell ref="B9:B10"/>
    <mergeCell ref="C9:C10"/>
    <mergeCell ref="D9:D10"/>
    <mergeCell ref="E9:E10"/>
    <mergeCell ref="L9:L10"/>
    <mergeCell ref="M9:M10"/>
    <mergeCell ref="I9:I10"/>
    <mergeCell ref="J9:J10"/>
    <mergeCell ref="K9:K10"/>
    <mergeCell ref="A7:A8"/>
    <mergeCell ref="B7:B8"/>
    <mergeCell ref="C7:C8"/>
    <mergeCell ref="D7:D8"/>
    <mergeCell ref="E7:E8"/>
    <mergeCell ref="F7:F8"/>
    <mergeCell ref="G7:G8"/>
    <mergeCell ref="H7:H8"/>
    <mergeCell ref="G11:G12"/>
    <mergeCell ref="H11:H12"/>
    <mergeCell ref="F9:F10"/>
    <mergeCell ref="G9:G10"/>
    <mergeCell ref="H9:H10"/>
    <mergeCell ref="I7:I8"/>
    <mergeCell ref="J7:J8"/>
    <mergeCell ref="K7:K8"/>
    <mergeCell ref="L7:L8"/>
    <mergeCell ref="F13:F14"/>
    <mergeCell ref="G13:G14"/>
    <mergeCell ref="H13:H14"/>
    <mergeCell ref="I11:I12"/>
    <mergeCell ref="J11:J12"/>
    <mergeCell ref="K11:K12"/>
    <mergeCell ref="L11:L12"/>
    <mergeCell ref="M11:M12"/>
    <mergeCell ref="A13:A14"/>
    <mergeCell ref="B13:B14"/>
    <mergeCell ref="C13:C14"/>
    <mergeCell ref="D13:D14"/>
    <mergeCell ref="E13:E14"/>
    <mergeCell ref="L13:L14"/>
    <mergeCell ref="M13:M14"/>
    <mergeCell ref="I13:I14"/>
    <mergeCell ref="J13:J14"/>
    <mergeCell ref="K13:K14"/>
    <mergeCell ref="A11:A12"/>
    <mergeCell ref="B11:B12"/>
    <mergeCell ref="C11:C12"/>
    <mergeCell ref="D11:D12"/>
    <mergeCell ref="E11:E12"/>
    <mergeCell ref="F11:F12"/>
    <mergeCell ref="I15:I16"/>
    <mergeCell ref="J15:J16"/>
    <mergeCell ref="K15:K16"/>
    <mergeCell ref="L15:L16"/>
    <mergeCell ref="M15:M16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F15:F16"/>
    <mergeCell ref="G15:G16"/>
    <mergeCell ref="H15:H16"/>
    <mergeCell ref="H20:H21"/>
    <mergeCell ref="I20:I21"/>
    <mergeCell ref="J20:J21"/>
    <mergeCell ref="K20:K21"/>
    <mergeCell ref="L20:L21"/>
    <mergeCell ref="M20:M21"/>
    <mergeCell ref="L17:L18"/>
    <mergeCell ref="M17:M18"/>
    <mergeCell ref="A19:B19"/>
    <mergeCell ref="A20:A21"/>
    <mergeCell ref="B20:B21"/>
    <mergeCell ref="C20:C21"/>
    <mergeCell ref="D20:D21"/>
    <mergeCell ref="E20:E21"/>
    <mergeCell ref="F20:F21"/>
    <mergeCell ref="G20:G21"/>
    <mergeCell ref="F17:F18"/>
    <mergeCell ref="G17:G18"/>
    <mergeCell ref="H17:H18"/>
    <mergeCell ref="I17:I18"/>
    <mergeCell ref="J17:J18"/>
    <mergeCell ref="K17:K18"/>
    <mergeCell ref="M22:M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J24:J25"/>
    <mergeCell ref="K24:K25"/>
    <mergeCell ref="E28:E29"/>
    <mergeCell ref="F28:F29"/>
    <mergeCell ref="G28:G29"/>
    <mergeCell ref="H28:H29"/>
    <mergeCell ref="I28:I29"/>
    <mergeCell ref="L24:L25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G32:G33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D28:D29"/>
    <mergeCell ref="F35:F36"/>
    <mergeCell ref="G35:G36"/>
    <mergeCell ref="H35:H36"/>
    <mergeCell ref="J32:J33"/>
    <mergeCell ref="K32:K33"/>
    <mergeCell ref="L32:L33"/>
    <mergeCell ref="M32:M33"/>
    <mergeCell ref="A34:B34"/>
    <mergeCell ref="A35:A36"/>
    <mergeCell ref="B35:B36"/>
    <mergeCell ref="C35:C36"/>
    <mergeCell ref="D35:D36"/>
    <mergeCell ref="E35:E36"/>
    <mergeCell ref="L35:L36"/>
    <mergeCell ref="M35:M36"/>
    <mergeCell ref="I35:I36"/>
    <mergeCell ref="J35:J36"/>
    <mergeCell ref="K35:K36"/>
    <mergeCell ref="A32:A33"/>
    <mergeCell ref="B32:B33"/>
    <mergeCell ref="C32:C33"/>
    <mergeCell ref="D32:D33"/>
    <mergeCell ref="E32:E33"/>
    <mergeCell ref="F32:F33"/>
    <mergeCell ref="M37:M38"/>
    <mergeCell ref="A39:A40"/>
    <mergeCell ref="B39:B40"/>
    <mergeCell ref="C39:C40"/>
    <mergeCell ref="D39:D40"/>
    <mergeCell ref="E39:E40"/>
    <mergeCell ref="L39:L40"/>
    <mergeCell ref="M39:M40"/>
    <mergeCell ref="I39:I40"/>
    <mergeCell ref="J39:J40"/>
    <mergeCell ref="K39:K40"/>
    <mergeCell ref="A37:A38"/>
    <mergeCell ref="B37:B38"/>
    <mergeCell ref="C37:C38"/>
    <mergeCell ref="D37:D38"/>
    <mergeCell ref="E37:E38"/>
    <mergeCell ref="F37:F38"/>
    <mergeCell ref="G37:G38"/>
    <mergeCell ref="H37:H38"/>
    <mergeCell ref="G41:G42"/>
    <mergeCell ref="H41:H42"/>
    <mergeCell ref="F39:F40"/>
    <mergeCell ref="G39:G40"/>
    <mergeCell ref="H39:H40"/>
    <mergeCell ref="I37:I38"/>
    <mergeCell ref="J37:J38"/>
    <mergeCell ref="K37:K38"/>
    <mergeCell ref="L37:L38"/>
    <mergeCell ref="F43:F44"/>
    <mergeCell ref="G43:G44"/>
    <mergeCell ref="H43:H44"/>
    <mergeCell ref="I41:I42"/>
    <mergeCell ref="J41:J42"/>
    <mergeCell ref="K41:K42"/>
    <mergeCell ref="L41:L42"/>
    <mergeCell ref="M41:M42"/>
    <mergeCell ref="A43:A44"/>
    <mergeCell ref="B43:B44"/>
    <mergeCell ref="C43:C44"/>
    <mergeCell ref="D43:D44"/>
    <mergeCell ref="E41:E42"/>
    <mergeCell ref="L43:L44"/>
    <mergeCell ref="M43:M44"/>
    <mergeCell ref="I43:I44"/>
    <mergeCell ref="J43:J44"/>
    <mergeCell ref="K43:K44"/>
    <mergeCell ref="A41:A42"/>
    <mergeCell ref="B41:B42"/>
    <mergeCell ref="C41:C42"/>
    <mergeCell ref="D41:D42"/>
    <mergeCell ref="F41:F42"/>
    <mergeCell ref="E43:E44"/>
    <mergeCell ref="I45:I46"/>
    <mergeCell ref="J45:J46"/>
    <mergeCell ref="K45:K46"/>
    <mergeCell ref="L45:L46"/>
    <mergeCell ref="M45:M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G45:G46"/>
    <mergeCell ref="H45:H46"/>
    <mergeCell ref="H50:H51"/>
    <mergeCell ref="I50:I51"/>
    <mergeCell ref="J50:J51"/>
    <mergeCell ref="K50:K51"/>
    <mergeCell ref="L50:L51"/>
    <mergeCell ref="M50:M51"/>
    <mergeCell ref="L47:L48"/>
    <mergeCell ref="M47:M48"/>
    <mergeCell ref="A49:B49"/>
    <mergeCell ref="A50:A51"/>
    <mergeCell ref="B50:B51"/>
    <mergeCell ref="C50:C51"/>
    <mergeCell ref="D50:D51"/>
    <mergeCell ref="E50:E51"/>
    <mergeCell ref="F50:F51"/>
    <mergeCell ref="G50:G51"/>
    <mergeCell ref="F47:F48"/>
    <mergeCell ref="G47:G48"/>
    <mergeCell ref="H47:H48"/>
    <mergeCell ref="I47:I48"/>
    <mergeCell ref="J47:J48"/>
    <mergeCell ref="K47:K48"/>
    <mergeCell ref="M52:M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J54:J55"/>
    <mergeCell ref="K54:K55"/>
    <mergeCell ref="H58:H59"/>
    <mergeCell ref="I58:I59"/>
    <mergeCell ref="L54:L55"/>
    <mergeCell ref="M54:M55"/>
    <mergeCell ref="A56:A57"/>
    <mergeCell ref="B56:B57"/>
    <mergeCell ref="C56:C57"/>
    <mergeCell ref="D56:D57"/>
    <mergeCell ref="E56:E57"/>
    <mergeCell ref="F56:F57"/>
    <mergeCell ref="M56:M57"/>
    <mergeCell ref="G56:G57"/>
    <mergeCell ref="H56:H57"/>
    <mergeCell ref="I56:I57"/>
    <mergeCell ref="J56:J57"/>
    <mergeCell ref="K56:K57"/>
    <mergeCell ref="L56:L57"/>
    <mergeCell ref="J58:J59"/>
    <mergeCell ref="K58:K59"/>
    <mergeCell ref="L58:L59"/>
    <mergeCell ref="M58:M59"/>
    <mergeCell ref="A58:A59"/>
    <mergeCell ref="B58:B59"/>
    <mergeCell ref="C58:C59"/>
    <mergeCell ref="B60:B61"/>
    <mergeCell ref="C60:C61"/>
    <mergeCell ref="D60:D61"/>
    <mergeCell ref="E60:E61"/>
    <mergeCell ref="F60:F61"/>
    <mergeCell ref="M60:M61"/>
    <mergeCell ref="G60:G61"/>
    <mergeCell ref="H60:H61"/>
    <mergeCell ref="I60:I61"/>
    <mergeCell ref="J60:J61"/>
    <mergeCell ref="K60:K61"/>
    <mergeCell ref="L60:L61"/>
    <mergeCell ref="D58:D59"/>
    <mergeCell ref="E58:E59"/>
    <mergeCell ref="F58:F59"/>
    <mergeCell ref="G58:G59"/>
    <mergeCell ref="J62:J63"/>
    <mergeCell ref="K62:K63"/>
    <mergeCell ref="L62:L63"/>
    <mergeCell ref="M62:M63"/>
    <mergeCell ref="A64:A65"/>
    <mergeCell ref="B64:B65"/>
    <mergeCell ref="C64:C65"/>
    <mergeCell ref="D64:D65"/>
    <mergeCell ref="E64:E65"/>
    <mergeCell ref="F64:F65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A60:A61"/>
    <mergeCell ref="A70:B70"/>
    <mergeCell ref="A66:A67"/>
    <mergeCell ref="C66:C67"/>
    <mergeCell ref="D66:D67"/>
    <mergeCell ref="E66:E67"/>
    <mergeCell ref="F66:F67"/>
    <mergeCell ref="M64:M65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G64:G65"/>
    <mergeCell ref="H64:H65"/>
    <mergeCell ref="I64:I65"/>
    <mergeCell ref="J64:J65"/>
    <mergeCell ref="K64:K65"/>
    <mergeCell ref="L64:L65"/>
    <mergeCell ref="L66:L67"/>
    <mergeCell ref="M66:M67"/>
    <mergeCell ref="M68:M69"/>
    <mergeCell ref="B66:B67"/>
    <mergeCell ref="G66:G67"/>
    <mergeCell ref="H66:H67"/>
    <mergeCell ref="I66:I67"/>
    <mergeCell ref="J66:J67"/>
    <mergeCell ref="K66:K67"/>
    <mergeCell ref="J68:J69"/>
    <mergeCell ref="K68:K69"/>
    <mergeCell ref="L68:L69"/>
  </mergeCells>
  <phoneticPr fontId="2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851B-37A0-4355-97E7-F111EB64B5BD}">
  <dimension ref="A1:M70"/>
  <sheetViews>
    <sheetView topLeftCell="A46" zoomScale="25" zoomScaleNormal="25" workbookViewId="0">
      <selection activeCell="H76" sqref="A1:XFD1048576"/>
    </sheetView>
  </sheetViews>
  <sheetFormatPr defaultRowHeight="15" x14ac:dyDescent="0.25"/>
  <cols>
    <col min="1" max="1" width="40.140625" bestFit="1" customWidth="1"/>
    <col min="2" max="2" width="32.28515625" customWidth="1"/>
    <col min="3" max="3" width="44.85546875" customWidth="1"/>
    <col min="4" max="4" width="59.140625" customWidth="1"/>
    <col min="5" max="6" width="49.140625" customWidth="1"/>
    <col min="7" max="7" width="47" customWidth="1"/>
    <col min="8" max="9" width="54.7109375" customWidth="1"/>
    <col min="10" max="10" width="26.7109375" customWidth="1"/>
    <col min="11" max="11" width="56.5703125" customWidth="1"/>
    <col min="12" max="12" width="22.42578125" customWidth="1"/>
    <col min="13" max="13" width="100.5703125" customWidth="1"/>
  </cols>
  <sheetData>
    <row r="1" spans="1:13" ht="267" customHeight="1" x14ac:dyDescent="0.25">
      <c r="A1" s="175" t="s">
        <v>133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3" ht="45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181" t="s">
        <v>8</v>
      </c>
      <c r="K2" s="181" t="s">
        <v>9</v>
      </c>
      <c r="L2" s="182" t="s">
        <v>10</v>
      </c>
      <c r="M2" s="183" t="s">
        <v>11</v>
      </c>
    </row>
    <row r="3" spans="1:13" ht="93" customHeight="1" x14ac:dyDescent="0.25">
      <c r="A3" s="177"/>
      <c r="B3" s="177"/>
      <c r="C3" s="58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1"/>
      <c r="K3" s="181"/>
      <c r="L3" s="182"/>
      <c r="M3" s="183"/>
    </row>
    <row r="4" spans="1:13" ht="45" customHeight="1" x14ac:dyDescent="0.25">
      <c r="A4" s="171" t="s">
        <v>20</v>
      </c>
      <c r="B4" s="171"/>
      <c r="C4" s="52">
        <f t="shared" ref="C4:G4" si="0">SUBTOTAL(9,C5:C18)</f>
        <v>9179856</v>
      </c>
      <c r="D4" s="52">
        <f t="shared" si="0"/>
        <v>1980594</v>
      </c>
      <c r="E4" s="52">
        <f t="shared" si="0"/>
        <v>100872054</v>
      </c>
      <c r="F4" s="52">
        <f t="shared" si="0"/>
        <v>32061143</v>
      </c>
      <c r="G4" s="52">
        <f t="shared" si="0"/>
        <v>0</v>
      </c>
      <c r="H4" s="52">
        <f>SUM(H5:H18)</f>
        <v>126484300</v>
      </c>
      <c r="I4" s="52">
        <f>SUM(I5:I18)</f>
        <v>144093647</v>
      </c>
      <c r="J4" s="52">
        <f>SUM(J5:J18)</f>
        <v>93</v>
      </c>
      <c r="K4" s="52">
        <f>I4/J4</f>
        <v>1549394.0537634408</v>
      </c>
      <c r="L4" s="52">
        <f>SUM(L5:L18)</f>
        <v>48</v>
      </c>
      <c r="M4" s="55"/>
    </row>
    <row r="5" spans="1:13" ht="45" customHeight="1" x14ac:dyDescent="0.25">
      <c r="A5" s="162">
        <v>46023</v>
      </c>
      <c r="B5" s="185" t="s">
        <v>21</v>
      </c>
      <c r="C5" s="159">
        <v>3873744</v>
      </c>
      <c r="D5" s="159">
        <v>1362648</v>
      </c>
      <c r="E5" s="159">
        <v>9221730</v>
      </c>
      <c r="F5" s="159"/>
      <c r="G5" s="159"/>
      <c r="H5" s="159">
        <v>12653000</v>
      </c>
      <c r="I5" s="159">
        <f>SUM(C5:G5)</f>
        <v>14458122</v>
      </c>
      <c r="J5" s="159">
        <v>15</v>
      </c>
      <c r="K5" s="159">
        <f>I5/J5</f>
        <v>963874.8</v>
      </c>
      <c r="L5" s="159">
        <v>12</v>
      </c>
      <c r="M5" s="165"/>
    </row>
    <row r="6" spans="1:13" ht="45" customHeight="1" x14ac:dyDescent="0.25">
      <c r="A6" s="162"/>
      <c r="B6" s="186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</row>
    <row r="7" spans="1:13" ht="45" customHeight="1" x14ac:dyDescent="0.25">
      <c r="A7" s="162">
        <v>46024</v>
      </c>
      <c r="B7" s="185" t="s">
        <v>23</v>
      </c>
      <c r="C7" s="159"/>
      <c r="D7" s="159"/>
      <c r="E7" s="159">
        <v>22902936</v>
      </c>
      <c r="F7" s="159"/>
      <c r="G7" s="159"/>
      <c r="H7" s="159">
        <v>20104000</v>
      </c>
      <c r="I7" s="159">
        <f>SUM(C7:G7)</f>
        <v>22902936</v>
      </c>
      <c r="J7" s="159">
        <v>13</v>
      </c>
      <c r="K7" s="159">
        <f>I7/J7</f>
        <v>1761764.3076923077</v>
      </c>
      <c r="L7" s="159">
        <v>4</v>
      </c>
      <c r="M7" s="167"/>
    </row>
    <row r="8" spans="1:13" ht="45" customHeight="1" x14ac:dyDescent="0.25">
      <c r="A8" s="162"/>
      <c r="B8" s="186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6"/>
    </row>
    <row r="9" spans="1:13" ht="45" customHeight="1" x14ac:dyDescent="0.25">
      <c r="A9" s="162">
        <v>46025</v>
      </c>
      <c r="B9" s="185" t="s">
        <v>25</v>
      </c>
      <c r="C9" s="159"/>
      <c r="D9" s="159">
        <v>617946</v>
      </c>
      <c r="E9" s="159">
        <v>16679922</v>
      </c>
      <c r="F9" s="159"/>
      <c r="G9" s="159"/>
      <c r="H9" s="159">
        <v>15152000</v>
      </c>
      <c r="I9" s="159">
        <f>SUM(C9:G9)</f>
        <v>17297868</v>
      </c>
      <c r="J9" s="159">
        <v>20</v>
      </c>
      <c r="K9" s="159">
        <f>I9/J9</f>
        <v>864893.4</v>
      </c>
      <c r="L9" s="159">
        <v>10</v>
      </c>
      <c r="M9" s="167"/>
    </row>
    <row r="10" spans="1:13" ht="45" customHeight="1" x14ac:dyDescent="0.25">
      <c r="A10" s="162"/>
      <c r="B10" s="186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6"/>
    </row>
    <row r="11" spans="1:13" ht="45" customHeight="1" x14ac:dyDescent="0.25">
      <c r="A11" s="162">
        <v>46026</v>
      </c>
      <c r="B11" s="185" t="s">
        <v>60</v>
      </c>
      <c r="C11" s="159"/>
      <c r="D11" s="159"/>
      <c r="E11" s="159">
        <v>5616240</v>
      </c>
      <c r="F11" s="159">
        <v>32061143</v>
      </c>
      <c r="G11" s="159"/>
      <c r="H11" s="159">
        <v>33214650</v>
      </c>
      <c r="I11" s="159">
        <f>SUM(C11:G11)</f>
        <v>37677383</v>
      </c>
      <c r="J11" s="159">
        <v>17</v>
      </c>
      <c r="K11" s="159">
        <f>I11/J11</f>
        <v>2216316.6470588236</v>
      </c>
      <c r="L11" s="159">
        <v>6</v>
      </c>
      <c r="M11" s="167" t="s">
        <v>69</v>
      </c>
    </row>
    <row r="12" spans="1:13" ht="45" customHeight="1" x14ac:dyDescent="0.25">
      <c r="A12" s="162"/>
      <c r="B12" s="186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6"/>
    </row>
    <row r="13" spans="1:13" ht="45" customHeight="1" x14ac:dyDescent="0.25">
      <c r="A13" s="162">
        <v>46027</v>
      </c>
      <c r="B13" s="185" t="s">
        <v>30</v>
      </c>
      <c r="C13" s="159"/>
      <c r="D13" s="159"/>
      <c r="E13" s="159">
        <v>35756850</v>
      </c>
      <c r="F13" s="159"/>
      <c r="G13" s="159"/>
      <c r="H13" s="159">
        <v>31313650</v>
      </c>
      <c r="I13" s="159">
        <f>SUM(C13:G13)</f>
        <v>35756850</v>
      </c>
      <c r="J13" s="159">
        <v>17</v>
      </c>
      <c r="K13" s="159">
        <f>I13/J13</f>
        <v>2103344.1176470588</v>
      </c>
      <c r="L13" s="159">
        <v>7</v>
      </c>
      <c r="M13" s="167"/>
    </row>
    <row r="14" spans="1:13" ht="45" customHeight="1" x14ac:dyDescent="0.25">
      <c r="A14" s="162"/>
      <c r="B14" s="186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6"/>
    </row>
    <row r="15" spans="1:13" ht="45" customHeight="1" x14ac:dyDescent="0.25">
      <c r="A15" s="162">
        <v>46028</v>
      </c>
      <c r="B15" s="185" t="s">
        <v>31</v>
      </c>
      <c r="C15" s="159"/>
      <c r="D15" s="159"/>
      <c r="E15" s="159">
        <v>2636550</v>
      </c>
      <c r="F15" s="159"/>
      <c r="G15" s="159"/>
      <c r="H15" s="159">
        <v>2325000</v>
      </c>
      <c r="I15" s="159">
        <f>SUM(C15:G15)</f>
        <v>2636550</v>
      </c>
      <c r="J15" s="159">
        <v>3</v>
      </c>
      <c r="K15" s="159">
        <f>I15/J15</f>
        <v>878850</v>
      </c>
      <c r="L15" s="159">
        <v>2</v>
      </c>
      <c r="M15" s="165"/>
    </row>
    <row r="16" spans="1:13" ht="45" customHeight="1" x14ac:dyDescent="0.25">
      <c r="A16" s="162"/>
      <c r="B16" s="186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6"/>
    </row>
    <row r="17" spans="1:13" ht="45" customHeight="1" x14ac:dyDescent="0.25">
      <c r="A17" s="162">
        <v>46029</v>
      </c>
      <c r="B17" s="185" t="s">
        <v>32</v>
      </c>
      <c r="C17" s="159">
        <v>5306112</v>
      </c>
      <c r="D17" s="161"/>
      <c r="E17" s="159">
        <v>8057826</v>
      </c>
      <c r="F17" s="159"/>
      <c r="G17" s="159"/>
      <c r="H17" s="159">
        <v>11722000</v>
      </c>
      <c r="I17" s="159">
        <f>SUM(C17:G17)</f>
        <v>13363938</v>
      </c>
      <c r="J17" s="159">
        <v>8</v>
      </c>
      <c r="K17" s="159">
        <f>I17/J17</f>
        <v>1670492.25</v>
      </c>
      <c r="L17" s="159">
        <v>7</v>
      </c>
      <c r="M17" s="167"/>
    </row>
    <row r="18" spans="1:13" ht="45" customHeight="1" x14ac:dyDescent="0.25">
      <c r="A18" s="162"/>
      <c r="B18" s="186"/>
      <c r="C18" s="160"/>
      <c r="D18" s="161"/>
      <c r="E18" s="160"/>
      <c r="F18" s="160"/>
      <c r="G18" s="160"/>
      <c r="H18" s="160"/>
      <c r="I18" s="160"/>
      <c r="J18" s="160"/>
      <c r="K18" s="160"/>
      <c r="L18" s="160"/>
      <c r="M18" s="166"/>
    </row>
    <row r="19" spans="1:13" ht="45" customHeight="1" x14ac:dyDescent="0.25">
      <c r="A19" s="171" t="s">
        <v>29</v>
      </c>
      <c r="B19" s="171"/>
      <c r="C19" s="52">
        <f t="shared" ref="C19:G19" si="1">SUBTOTAL(9,C20:C33)</f>
        <v>7542678</v>
      </c>
      <c r="D19" s="52">
        <f t="shared" si="1"/>
        <v>394632</v>
      </c>
      <c r="E19" s="52">
        <f t="shared" si="1"/>
        <v>80248518</v>
      </c>
      <c r="F19" s="52">
        <f t="shared" si="1"/>
        <v>46960471</v>
      </c>
      <c r="G19" s="52">
        <f t="shared" si="1"/>
        <v>0</v>
      </c>
      <c r="H19" s="52">
        <f>SUM(H20:H33)</f>
        <v>118597000</v>
      </c>
      <c r="I19" s="52">
        <f>SUM(I20:I33)</f>
        <v>135146299</v>
      </c>
      <c r="J19" s="52">
        <f>SUM(J20:J33)</f>
        <v>80</v>
      </c>
      <c r="K19" s="52">
        <f>I19/J19</f>
        <v>1689328.7375</v>
      </c>
      <c r="L19" s="52">
        <f>SUM(L20:L33)</f>
        <v>32</v>
      </c>
      <c r="M19" s="55"/>
    </row>
    <row r="20" spans="1:13" ht="45" customHeight="1" x14ac:dyDescent="0.25">
      <c r="A20" s="162">
        <v>46030</v>
      </c>
      <c r="B20" s="59" t="s">
        <v>21</v>
      </c>
      <c r="C20" s="161"/>
      <c r="D20" s="161"/>
      <c r="E20" s="159">
        <v>2174004</v>
      </c>
      <c r="F20" s="161"/>
      <c r="G20" s="161"/>
      <c r="H20" s="161">
        <v>1906000</v>
      </c>
      <c r="I20" s="159">
        <f>SUM(C20:G20)</f>
        <v>2174004</v>
      </c>
      <c r="J20" s="161">
        <v>3</v>
      </c>
      <c r="K20" s="159">
        <f>I20/J20</f>
        <v>724668</v>
      </c>
      <c r="L20" s="161">
        <v>2</v>
      </c>
      <c r="M20" s="167"/>
    </row>
    <row r="21" spans="1:13" ht="45" customHeight="1" x14ac:dyDescent="0.25">
      <c r="A21" s="162"/>
      <c r="B21" s="60"/>
      <c r="C21" s="161"/>
      <c r="D21" s="161"/>
      <c r="E21" s="160"/>
      <c r="F21" s="161"/>
      <c r="G21" s="161"/>
      <c r="H21" s="161"/>
      <c r="I21" s="160"/>
      <c r="J21" s="161"/>
      <c r="K21" s="160"/>
      <c r="L21" s="161"/>
      <c r="M21" s="166"/>
    </row>
    <row r="22" spans="1:13" ht="45" customHeight="1" x14ac:dyDescent="0.25">
      <c r="A22" s="162">
        <v>46031</v>
      </c>
      <c r="B22" s="185" t="s">
        <v>23</v>
      </c>
      <c r="C22" s="161">
        <v>5545890</v>
      </c>
      <c r="D22" s="161"/>
      <c r="E22" s="159">
        <v>11212992</v>
      </c>
      <c r="F22" s="161">
        <v>27965064</v>
      </c>
      <c r="G22" s="161"/>
      <c r="H22" s="161">
        <v>39318550</v>
      </c>
      <c r="I22" s="159">
        <f>SUM(C22:G22)</f>
        <v>44723946</v>
      </c>
      <c r="J22" s="161">
        <v>18</v>
      </c>
      <c r="K22" s="159">
        <f>I22/J22</f>
        <v>2484663.6666666665</v>
      </c>
      <c r="L22" s="161">
        <v>7</v>
      </c>
      <c r="M22" s="168" t="s">
        <v>69</v>
      </c>
    </row>
    <row r="23" spans="1:13" ht="45" customHeight="1" x14ac:dyDescent="0.25">
      <c r="A23" s="162"/>
      <c r="B23" s="186"/>
      <c r="C23" s="161"/>
      <c r="D23" s="161"/>
      <c r="E23" s="160"/>
      <c r="F23" s="161"/>
      <c r="G23" s="161"/>
      <c r="H23" s="161"/>
      <c r="I23" s="160"/>
      <c r="J23" s="161"/>
      <c r="K23" s="160"/>
      <c r="L23" s="161"/>
      <c r="M23" s="166"/>
    </row>
    <row r="24" spans="1:13" ht="45" customHeight="1" x14ac:dyDescent="0.25">
      <c r="A24" s="162">
        <v>46032</v>
      </c>
      <c r="B24" s="185" t="s">
        <v>25</v>
      </c>
      <c r="C24" s="161">
        <v>577500</v>
      </c>
      <c r="D24" s="161"/>
      <c r="E24" s="159">
        <v>49618422</v>
      </c>
      <c r="F24" s="161"/>
      <c r="G24" s="161"/>
      <c r="H24" s="161">
        <v>43968000</v>
      </c>
      <c r="I24" s="159">
        <f>SUM(C24:G24)</f>
        <v>50195922</v>
      </c>
      <c r="J24" s="161">
        <v>31</v>
      </c>
      <c r="K24" s="159">
        <f>I24/J24</f>
        <v>1619223.2903225806</v>
      </c>
      <c r="L24" s="161">
        <v>11</v>
      </c>
      <c r="M24" s="167"/>
    </row>
    <row r="25" spans="1:13" ht="45" customHeight="1" x14ac:dyDescent="0.25">
      <c r="A25" s="162"/>
      <c r="B25" s="186"/>
      <c r="C25" s="161"/>
      <c r="D25" s="161"/>
      <c r="E25" s="160"/>
      <c r="F25" s="161"/>
      <c r="G25" s="161"/>
      <c r="H25" s="161"/>
      <c r="I25" s="160"/>
      <c r="J25" s="161"/>
      <c r="K25" s="160"/>
      <c r="L25" s="161"/>
      <c r="M25" s="166"/>
    </row>
    <row r="26" spans="1:13" ht="45" customHeight="1" x14ac:dyDescent="0.25">
      <c r="A26" s="162">
        <v>46033</v>
      </c>
      <c r="B26" s="185" t="s">
        <v>60</v>
      </c>
      <c r="C26" s="161">
        <v>1419288</v>
      </c>
      <c r="D26" s="161"/>
      <c r="E26" s="159"/>
      <c r="F26" s="161">
        <v>4151177</v>
      </c>
      <c r="G26" s="161"/>
      <c r="H26" s="161">
        <v>4906300</v>
      </c>
      <c r="I26" s="159">
        <f>SUM(C26:G26)</f>
        <v>5570465</v>
      </c>
      <c r="J26" s="161">
        <v>8</v>
      </c>
      <c r="K26" s="159">
        <f>I26/J26</f>
        <v>696308.125</v>
      </c>
      <c r="L26" s="161">
        <v>3</v>
      </c>
      <c r="M26" s="167" t="s">
        <v>46</v>
      </c>
    </row>
    <row r="27" spans="1:13" ht="45" customHeight="1" x14ac:dyDescent="0.25">
      <c r="A27" s="162"/>
      <c r="B27" s="186"/>
      <c r="C27" s="161"/>
      <c r="D27" s="161"/>
      <c r="E27" s="160"/>
      <c r="F27" s="161"/>
      <c r="G27" s="161"/>
      <c r="H27" s="161"/>
      <c r="I27" s="160"/>
      <c r="J27" s="161"/>
      <c r="K27" s="160"/>
      <c r="L27" s="161"/>
      <c r="M27" s="166"/>
    </row>
    <row r="28" spans="1:13" ht="45" customHeight="1" x14ac:dyDescent="0.25">
      <c r="A28" s="162">
        <v>46034</v>
      </c>
      <c r="B28" s="185" t="s">
        <v>30</v>
      </c>
      <c r="C28" s="173"/>
      <c r="D28" s="161">
        <v>394632</v>
      </c>
      <c r="E28" s="159">
        <v>8657544</v>
      </c>
      <c r="F28" s="161">
        <v>14844230</v>
      </c>
      <c r="G28" s="161"/>
      <c r="H28" s="159">
        <v>21014150</v>
      </c>
      <c r="I28" s="159">
        <f>SUM(C28:G28)</f>
        <v>23896406</v>
      </c>
      <c r="J28" s="161">
        <v>16</v>
      </c>
      <c r="K28" s="159">
        <f>I28/J28</f>
        <v>1493525.375</v>
      </c>
      <c r="L28" s="161">
        <v>5</v>
      </c>
      <c r="M28" s="167" t="s">
        <v>134</v>
      </c>
    </row>
    <row r="29" spans="1:13" ht="45" customHeight="1" x14ac:dyDescent="0.25">
      <c r="A29" s="162"/>
      <c r="B29" s="186"/>
      <c r="C29" s="161"/>
      <c r="D29" s="161"/>
      <c r="E29" s="160"/>
      <c r="F29" s="161"/>
      <c r="G29" s="161"/>
      <c r="H29" s="160"/>
      <c r="I29" s="160"/>
      <c r="J29" s="161"/>
      <c r="K29" s="160"/>
      <c r="L29" s="161"/>
      <c r="M29" s="166"/>
    </row>
    <row r="30" spans="1:13" ht="45" customHeight="1" x14ac:dyDescent="0.25">
      <c r="A30" s="162">
        <v>46035</v>
      </c>
      <c r="B30" s="185" t="s">
        <v>31</v>
      </c>
      <c r="C30" s="161"/>
      <c r="D30" s="161"/>
      <c r="E30" s="159">
        <v>4341498</v>
      </c>
      <c r="F30" s="161"/>
      <c r="G30" s="161"/>
      <c r="H30" s="159">
        <v>3797000</v>
      </c>
      <c r="I30" s="159">
        <f>SUM(C30:G30)</f>
        <v>4341498</v>
      </c>
      <c r="J30" s="161">
        <v>2</v>
      </c>
      <c r="K30" s="159">
        <f>I30/J30</f>
        <v>2170749</v>
      </c>
      <c r="L30" s="161">
        <v>2</v>
      </c>
      <c r="M30" s="167"/>
    </row>
    <row r="31" spans="1:13" ht="45" customHeight="1" x14ac:dyDescent="0.25">
      <c r="A31" s="162"/>
      <c r="B31" s="186"/>
      <c r="C31" s="161"/>
      <c r="D31" s="161"/>
      <c r="E31" s="160"/>
      <c r="F31" s="161"/>
      <c r="G31" s="161"/>
      <c r="H31" s="160"/>
      <c r="I31" s="160"/>
      <c r="J31" s="161"/>
      <c r="K31" s="160"/>
      <c r="L31" s="161"/>
      <c r="M31" s="166"/>
    </row>
    <row r="32" spans="1:13" ht="45" customHeight="1" x14ac:dyDescent="0.25">
      <c r="A32" s="162">
        <v>46036</v>
      </c>
      <c r="B32" s="185" t="s">
        <v>32</v>
      </c>
      <c r="C32" s="161"/>
      <c r="D32" s="161"/>
      <c r="E32" s="159">
        <v>4244058</v>
      </c>
      <c r="F32" s="161"/>
      <c r="G32" s="161"/>
      <c r="H32" s="159">
        <v>3687000</v>
      </c>
      <c r="I32" s="161">
        <f>SUM(C32:G32)</f>
        <v>4244058</v>
      </c>
      <c r="J32" s="161">
        <v>2</v>
      </c>
      <c r="K32" s="159">
        <f>I32/J32</f>
        <v>2122029</v>
      </c>
      <c r="L32" s="161">
        <v>2</v>
      </c>
      <c r="M32" s="167"/>
    </row>
    <row r="33" spans="1:13" ht="45" customHeight="1" x14ac:dyDescent="0.25">
      <c r="A33" s="162"/>
      <c r="B33" s="186"/>
      <c r="C33" s="161"/>
      <c r="D33" s="161"/>
      <c r="E33" s="160"/>
      <c r="F33" s="161"/>
      <c r="G33" s="161"/>
      <c r="H33" s="160"/>
      <c r="I33" s="161"/>
      <c r="J33" s="161"/>
      <c r="K33" s="160"/>
      <c r="L33" s="161"/>
      <c r="M33" s="167"/>
    </row>
    <row r="34" spans="1:13" ht="45" customHeight="1" x14ac:dyDescent="0.25">
      <c r="A34" s="171"/>
      <c r="B34" s="171"/>
      <c r="C34" s="52">
        <f t="shared" ref="C34:F34" si="2">SUBTOTAL(9,C35:C48)</f>
        <v>57243900</v>
      </c>
      <c r="D34" s="52">
        <f t="shared" si="2"/>
        <v>28735686</v>
      </c>
      <c r="E34" s="52">
        <f t="shared" si="2"/>
        <v>186430380</v>
      </c>
      <c r="F34" s="52">
        <f t="shared" si="2"/>
        <v>227320065</v>
      </c>
      <c r="G34" s="52"/>
      <c r="H34" s="52">
        <f>SUM(H35:H48)</f>
        <v>439165150</v>
      </c>
      <c r="I34" s="52">
        <f>SUM(I35:I48)</f>
        <v>499730031</v>
      </c>
      <c r="J34" s="52">
        <f>SUM(J35:J48)</f>
        <v>259</v>
      </c>
      <c r="K34" s="52">
        <f>I34/J34</f>
        <v>1929459.5791505792</v>
      </c>
      <c r="L34" s="52">
        <f>SUM(L35:L48)</f>
        <v>48</v>
      </c>
      <c r="M34" s="55"/>
    </row>
    <row r="35" spans="1:13" ht="45" customHeight="1" x14ac:dyDescent="0.25">
      <c r="A35" s="162">
        <v>46037</v>
      </c>
      <c r="B35" s="185" t="s">
        <v>21</v>
      </c>
      <c r="C35" s="161"/>
      <c r="D35" s="161">
        <v>23676702</v>
      </c>
      <c r="E35" s="161"/>
      <c r="F35" s="161">
        <v>90143928</v>
      </c>
      <c r="G35" s="161"/>
      <c r="H35" s="161">
        <v>99820000</v>
      </c>
      <c r="I35" s="161">
        <f>SUM(C35:G35)</f>
        <v>113820630</v>
      </c>
      <c r="J35" s="161">
        <v>62</v>
      </c>
      <c r="K35" s="159">
        <f>I35/J35</f>
        <v>1835816.6129032257</v>
      </c>
      <c r="L35" s="161">
        <v>3</v>
      </c>
      <c r="M35" s="168" t="s">
        <v>135</v>
      </c>
    </row>
    <row r="36" spans="1:13" ht="45" customHeight="1" x14ac:dyDescent="0.25">
      <c r="A36" s="162"/>
      <c r="B36" s="186"/>
      <c r="C36" s="161"/>
      <c r="D36" s="161"/>
      <c r="E36" s="161"/>
      <c r="F36" s="161"/>
      <c r="G36" s="161"/>
      <c r="H36" s="161"/>
      <c r="I36" s="161"/>
      <c r="J36" s="161"/>
      <c r="K36" s="160"/>
      <c r="L36" s="161"/>
      <c r="M36" s="166"/>
    </row>
    <row r="37" spans="1:13" ht="45" customHeight="1" x14ac:dyDescent="0.25">
      <c r="A37" s="162">
        <v>46038</v>
      </c>
      <c r="B37" s="185" t="s">
        <v>23</v>
      </c>
      <c r="C37" s="161">
        <v>739200</v>
      </c>
      <c r="D37" s="161"/>
      <c r="E37" s="161"/>
      <c r="F37" s="161">
        <v>136566612</v>
      </c>
      <c r="G37" s="161"/>
      <c r="H37" s="161">
        <v>120688000</v>
      </c>
      <c r="I37" s="161">
        <f>SUM(C37:G37)</f>
        <v>137305812</v>
      </c>
      <c r="J37" s="161">
        <v>89</v>
      </c>
      <c r="K37" s="161">
        <f>I37/J37</f>
        <v>1542761.9325842697</v>
      </c>
      <c r="L37" s="161">
        <v>3</v>
      </c>
      <c r="M37" s="167" t="s">
        <v>136</v>
      </c>
    </row>
    <row r="38" spans="1:13" ht="45" customHeight="1" x14ac:dyDescent="0.25">
      <c r="A38" s="162"/>
      <c r="B38" s="186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6"/>
    </row>
    <row r="39" spans="1:13" ht="45" customHeight="1" x14ac:dyDescent="0.25">
      <c r="A39" s="162">
        <v>46039</v>
      </c>
      <c r="B39" s="185" t="s">
        <v>25</v>
      </c>
      <c r="C39" s="161">
        <v>56504700</v>
      </c>
      <c r="D39" s="161">
        <v>652470</v>
      </c>
      <c r="E39" s="161">
        <v>56826840</v>
      </c>
      <c r="F39" s="161"/>
      <c r="G39" s="161"/>
      <c r="H39" s="161">
        <v>100160000</v>
      </c>
      <c r="I39" s="161">
        <f>SUM(C39:G39)</f>
        <v>113984010</v>
      </c>
      <c r="J39" s="161">
        <v>60</v>
      </c>
      <c r="K39" s="161">
        <f>I39/J39</f>
        <v>1899733.5</v>
      </c>
      <c r="L39" s="161">
        <v>27</v>
      </c>
      <c r="M39" s="167"/>
    </row>
    <row r="40" spans="1:13" ht="45" customHeight="1" x14ac:dyDescent="0.25">
      <c r="A40" s="162"/>
      <c r="B40" s="186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6"/>
    </row>
    <row r="41" spans="1:13" ht="45" customHeight="1" x14ac:dyDescent="0.25">
      <c r="A41" s="162">
        <v>46040</v>
      </c>
      <c r="B41" s="185" t="s">
        <v>60</v>
      </c>
      <c r="C41" s="161"/>
      <c r="D41" s="161">
        <v>2207898</v>
      </c>
      <c r="E41" s="161"/>
      <c r="F41" s="161"/>
      <c r="G41" s="161"/>
      <c r="H41" s="161">
        <v>1947000</v>
      </c>
      <c r="I41" s="161">
        <f>SUM(C41:G41)</f>
        <v>2207898</v>
      </c>
      <c r="J41" s="161">
        <v>2</v>
      </c>
      <c r="K41" s="161">
        <f>I41/J41</f>
        <v>1103949</v>
      </c>
      <c r="L41" s="161">
        <v>1</v>
      </c>
      <c r="M41" s="174"/>
    </row>
    <row r="42" spans="1:13" ht="45" customHeight="1" x14ac:dyDescent="0.25">
      <c r="A42" s="162"/>
      <c r="B42" s="186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70"/>
    </row>
    <row r="43" spans="1:13" ht="45" customHeight="1" x14ac:dyDescent="0.25">
      <c r="A43" s="162">
        <v>46041</v>
      </c>
      <c r="B43" s="185" t="s">
        <v>30</v>
      </c>
      <c r="C43" s="161"/>
      <c r="D43" s="161"/>
      <c r="E43" s="161">
        <v>68308194</v>
      </c>
      <c r="F43" s="161"/>
      <c r="G43" s="161"/>
      <c r="H43" s="161">
        <v>60169650</v>
      </c>
      <c r="I43" s="161">
        <f>SUM(C43:G43)</f>
        <v>68308194</v>
      </c>
      <c r="J43" s="161">
        <v>17</v>
      </c>
      <c r="K43" s="161">
        <f>I43/J43</f>
        <v>4018129.0588235296</v>
      </c>
      <c r="L43" s="161">
        <v>5</v>
      </c>
      <c r="M43" s="167"/>
    </row>
    <row r="44" spans="1:13" ht="45" customHeight="1" x14ac:dyDescent="0.25">
      <c r="A44" s="162"/>
      <c r="B44" s="186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6"/>
    </row>
    <row r="45" spans="1:13" ht="45" customHeight="1" x14ac:dyDescent="0.25">
      <c r="A45" s="162">
        <v>46042</v>
      </c>
      <c r="B45" s="185" t="s">
        <v>31</v>
      </c>
      <c r="C45" s="161"/>
      <c r="D45" s="161"/>
      <c r="E45" s="161">
        <v>61295346</v>
      </c>
      <c r="F45" s="161">
        <v>609525</v>
      </c>
      <c r="G45" s="161"/>
      <c r="H45" s="161">
        <v>54461500</v>
      </c>
      <c r="I45" s="161">
        <f>SUM(C45:G45)</f>
        <v>61904871</v>
      </c>
      <c r="J45" s="161">
        <v>26</v>
      </c>
      <c r="K45" s="161">
        <f>I45/J45</f>
        <v>2380956.576923077</v>
      </c>
      <c r="L45" s="161">
        <v>7</v>
      </c>
      <c r="M45" s="168" t="s">
        <v>91</v>
      </c>
    </row>
    <row r="46" spans="1:13" ht="45" customHeight="1" x14ac:dyDescent="0.25">
      <c r="A46" s="162"/>
      <c r="B46" s="186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6"/>
    </row>
    <row r="47" spans="1:13" ht="45" customHeight="1" x14ac:dyDescent="0.25">
      <c r="A47" s="162">
        <v>46043</v>
      </c>
      <c r="B47" s="185" t="s">
        <v>32</v>
      </c>
      <c r="C47" s="161"/>
      <c r="D47" s="161">
        <v>2198616</v>
      </c>
      <c r="E47" s="161"/>
      <c r="F47" s="161"/>
      <c r="G47" s="161"/>
      <c r="H47" s="161">
        <v>1919000</v>
      </c>
      <c r="I47" s="161">
        <f>SUM(C47:G47)</f>
        <v>2198616</v>
      </c>
      <c r="J47" s="161">
        <v>3</v>
      </c>
      <c r="K47" s="161">
        <f>I47/J47</f>
        <v>732872</v>
      </c>
      <c r="L47" s="161">
        <v>2</v>
      </c>
      <c r="M47" s="168"/>
    </row>
    <row r="48" spans="1:13" ht="45" customHeight="1" x14ac:dyDescent="0.25">
      <c r="A48" s="162"/>
      <c r="B48" s="186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6"/>
    </row>
    <row r="49" spans="1:13" ht="45" customHeight="1" x14ac:dyDescent="0.25">
      <c r="A49" s="171" t="s">
        <v>36</v>
      </c>
      <c r="B49" s="171"/>
      <c r="C49" s="52">
        <f t="shared" ref="C49:J49" si="3">SUM(C50:C69)</f>
        <v>4536630</v>
      </c>
      <c r="D49" s="52">
        <f t="shared" si="3"/>
        <v>128353444</v>
      </c>
      <c r="E49" s="52">
        <f>SUM(E50:E69)</f>
        <v>151440495</v>
      </c>
      <c r="F49" s="52">
        <f t="shared" si="3"/>
        <v>126096266</v>
      </c>
      <c r="G49" s="52">
        <f t="shared" si="3"/>
        <v>0</v>
      </c>
      <c r="H49" s="52">
        <f>SUM(H50:H69)</f>
        <v>359822150</v>
      </c>
      <c r="I49" s="52">
        <f t="shared" si="3"/>
        <v>410426835</v>
      </c>
      <c r="J49" s="52">
        <f t="shared" si="3"/>
        <v>230</v>
      </c>
      <c r="K49" s="52">
        <f>I49/J49</f>
        <v>1784464.5</v>
      </c>
      <c r="L49" s="52">
        <f>SUM(L50:L69)</f>
        <v>67</v>
      </c>
      <c r="M49" s="52">
        <f ca="1">SUM(M49:M61)</f>
        <v>0</v>
      </c>
    </row>
    <row r="50" spans="1:13" ht="45" customHeight="1" x14ac:dyDescent="0.25">
      <c r="A50" s="162">
        <v>46044</v>
      </c>
      <c r="B50" s="185" t="s">
        <v>21</v>
      </c>
      <c r="C50" s="161">
        <v>2977170</v>
      </c>
      <c r="D50" s="161"/>
      <c r="E50" s="161">
        <v>18114768</v>
      </c>
      <c r="F50" s="161"/>
      <c r="G50" s="161"/>
      <c r="H50" s="161">
        <v>18507000</v>
      </c>
      <c r="I50" s="161">
        <f>SUM(C50:G50)</f>
        <v>21091938</v>
      </c>
      <c r="J50" s="161">
        <v>9</v>
      </c>
      <c r="K50" s="161">
        <f>I50/J50</f>
        <v>2343548.6666666665</v>
      </c>
      <c r="L50" s="161">
        <v>9</v>
      </c>
      <c r="M50" s="167"/>
    </row>
    <row r="51" spans="1:13" ht="45" customHeight="1" x14ac:dyDescent="0.25">
      <c r="A51" s="162"/>
      <c r="B51" s="186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6"/>
    </row>
    <row r="52" spans="1:13" ht="45" customHeight="1" x14ac:dyDescent="0.25">
      <c r="A52" s="162">
        <v>46045</v>
      </c>
      <c r="B52" s="185" t="s">
        <v>23</v>
      </c>
      <c r="C52" s="161">
        <v>460404</v>
      </c>
      <c r="E52" s="161">
        <v>14274624</v>
      </c>
      <c r="F52" s="161"/>
      <c r="G52" s="161"/>
      <c r="H52" s="161">
        <v>12882000</v>
      </c>
      <c r="I52" s="159">
        <f>SUM(C52:G52)</f>
        <v>14735028</v>
      </c>
      <c r="J52" s="161">
        <v>15</v>
      </c>
      <c r="K52" s="161">
        <f>I52/J52</f>
        <v>982335.2</v>
      </c>
      <c r="L52" s="161">
        <v>11</v>
      </c>
      <c r="M52" s="167"/>
    </row>
    <row r="53" spans="1:13" ht="45" customHeight="1" x14ac:dyDescent="0.25">
      <c r="A53" s="162"/>
      <c r="B53" s="186"/>
      <c r="C53" s="161"/>
      <c r="E53" s="161"/>
      <c r="F53" s="161"/>
      <c r="G53" s="161"/>
      <c r="H53" s="161"/>
      <c r="I53" s="160"/>
      <c r="J53" s="161"/>
      <c r="K53" s="161"/>
      <c r="L53" s="161"/>
      <c r="M53" s="166"/>
    </row>
    <row r="54" spans="1:13" ht="45" customHeight="1" x14ac:dyDescent="0.25">
      <c r="A54" s="162">
        <v>46046</v>
      </c>
      <c r="B54" s="185" t="s">
        <v>25</v>
      </c>
      <c r="C54" s="161">
        <v>134946</v>
      </c>
      <c r="D54" s="161">
        <v>100833658</v>
      </c>
      <c r="E54" s="161"/>
      <c r="F54" s="161">
        <v>83275108</v>
      </c>
      <c r="G54" s="161"/>
      <c r="H54" s="161">
        <v>161073150</v>
      </c>
      <c r="I54" s="159">
        <f>SUM(C54:G54)</f>
        <v>184243712</v>
      </c>
      <c r="J54" s="161">
        <v>96</v>
      </c>
      <c r="K54" s="161">
        <f>I54/J54</f>
        <v>1919205.3333333333</v>
      </c>
      <c r="L54" s="161">
        <v>6</v>
      </c>
      <c r="M54" s="167" t="s">
        <v>137</v>
      </c>
    </row>
    <row r="55" spans="1:13" ht="45" customHeight="1" x14ac:dyDescent="0.25">
      <c r="A55" s="162"/>
      <c r="B55" s="186"/>
      <c r="C55" s="161"/>
      <c r="D55" s="161"/>
      <c r="E55" s="161"/>
      <c r="F55" s="161"/>
      <c r="G55" s="161"/>
      <c r="H55" s="161"/>
      <c r="I55" s="160"/>
      <c r="J55" s="161"/>
      <c r="K55" s="161"/>
      <c r="L55" s="161"/>
      <c r="M55" s="166"/>
    </row>
    <row r="56" spans="1:13" ht="45" customHeight="1" x14ac:dyDescent="0.25">
      <c r="A56" s="162">
        <v>46047</v>
      </c>
      <c r="B56" s="185" t="s">
        <v>60</v>
      </c>
      <c r="C56" s="161"/>
      <c r="D56" s="161"/>
      <c r="E56" s="161">
        <v>11183613</v>
      </c>
      <c r="F56" s="161"/>
      <c r="G56" s="161"/>
      <c r="H56" s="161">
        <v>9796000</v>
      </c>
      <c r="I56" s="159">
        <f>SUM(C56:G56)</f>
        <v>11183613</v>
      </c>
      <c r="J56" s="161">
        <v>10</v>
      </c>
      <c r="K56" s="161">
        <f>I56/J56</f>
        <v>1118361.3</v>
      </c>
      <c r="L56" s="161">
        <v>5</v>
      </c>
      <c r="M56" s="167"/>
    </row>
    <row r="57" spans="1:13" ht="45" customHeight="1" x14ac:dyDescent="0.25">
      <c r="A57" s="162"/>
      <c r="B57" s="186"/>
      <c r="C57" s="161"/>
      <c r="D57" s="161"/>
      <c r="E57" s="161"/>
      <c r="F57" s="161"/>
      <c r="G57" s="161"/>
      <c r="H57" s="161"/>
      <c r="I57" s="160"/>
      <c r="J57" s="161"/>
      <c r="K57" s="161"/>
      <c r="L57" s="161"/>
      <c r="M57" s="166"/>
    </row>
    <row r="58" spans="1:13" ht="45" customHeight="1" x14ac:dyDescent="0.25">
      <c r="A58" s="162">
        <v>46048</v>
      </c>
      <c r="B58" s="185" t="s">
        <v>30</v>
      </c>
      <c r="C58" s="161"/>
      <c r="D58" s="161"/>
      <c r="E58" s="161">
        <v>2281608</v>
      </c>
      <c r="F58" s="161">
        <v>27470314</v>
      </c>
      <c r="G58" s="161"/>
      <c r="H58" s="161">
        <v>26233300</v>
      </c>
      <c r="I58" s="161">
        <f>SUM(C58:G58)</f>
        <v>29751922</v>
      </c>
      <c r="J58" s="161">
        <v>10</v>
      </c>
      <c r="K58" s="161">
        <f>I58/J58</f>
        <v>2975192.2</v>
      </c>
      <c r="L58" s="161">
        <v>2</v>
      </c>
      <c r="M58" s="167" t="s">
        <v>69</v>
      </c>
    </row>
    <row r="59" spans="1:13" ht="45" customHeight="1" x14ac:dyDescent="0.25">
      <c r="A59" s="162"/>
      <c r="B59" s="186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6"/>
    </row>
    <row r="60" spans="1:13" ht="45" customHeight="1" x14ac:dyDescent="0.25">
      <c r="A60" s="162">
        <v>46049</v>
      </c>
      <c r="B60" s="185" t="s">
        <v>31</v>
      </c>
      <c r="C60" s="161">
        <v>617610</v>
      </c>
      <c r="D60" s="161"/>
      <c r="E60" s="161">
        <v>5298686</v>
      </c>
      <c r="F60" s="161">
        <v>5493096</v>
      </c>
      <c r="G60" s="161"/>
      <c r="H60" s="161">
        <v>10028600</v>
      </c>
      <c r="I60" s="161">
        <f>SUM(C60:G60)</f>
        <v>11409392</v>
      </c>
      <c r="J60" s="161">
        <v>15</v>
      </c>
      <c r="K60" s="161">
        <f>I60/J60</f>
        <v>760626.1333333333</v>
      </c>
      <c r="L60" s="161">
        <v>8</v>
      </c>
      <c r="M60" s="167" t="s">
        <v>91</v>
      </c>
    </row>
    <row r="61" spans="1:13" ht="45" customHeight="1" x14ac:dyDescent="0.25">
      <c r="A61" s="162"/>
      <c r="B61" s="186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6"/>
    </row>
    <row r="62" spans="1:13" ht="45" customHeight="1" x14ac:dyDescent="0.25">
      <c r="A62" s="162">
        <v>46050</v>
      </c>
      <c r="B62" s="185" t="s">
        <v>32</v>
      </c>
      <c r="C62" s="161"/>
      <c r="D62" s="161">
        <v>23890986</v>
      </c>
      <c r="E62" s="161">
        <v>79385363</v>
      </c>
      <c r="F62" s="161"/>
      <c r="G62" s="161"/>
      <c r="H62" s="161">
        <v>90594100</v>
      </c>
      <c r="I62" s="161">
        <f>SUM(C62:G62)</f>
        <v>103276349</v>
      </c>
      <c r="J62" s="161">
        <v>48</v>
      </c>
      <c r="K62" s="161">
        <f>I62/J62</f>
        <v>2151590.6041666665</v>
      </c>
      <c r="L62" s="161">
        <v>13</v>
      </c>
      <c r="M62" s="167"/>
    </row>
    <row r="63" spans="1:13" ht="45" customHeight="1" x14ac:dyDescent="0.25">
      <c r="A63" s="162"/>
      <c r="B63" s="186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6"/>
    </row>
    <row r="64" spans="1:13" ht="45" customHeight="1" x14ac:dyDescent="0.25">
      <c r="A64" s="162">
        <v>46051</v>
      </c>
      <c r="B64" s="185" t="s">
        <v>21</v>
      </c>
      <c r="C64" s="161"/>
      <c r="D64" s="161"/>
      <c r="E64" s="161">
        <v>7011564</v>
      </c>
      <c r="F64" s="161">
        <v>9857748</v>
      </c>
      <c r="G64" s="161"/>
      <c r="H64" s="161">
        <v>14998900</v>
      </c>
      <c r="I64" s="161">
        <f>SUM(C64:G64)</f>
        <v>16869312</v>
      </c>
      <c r="J64" s="161">
        <v>12</v>
      </c>
      <c r="K64" s="161">
        <f>I64/J64</f>
        <v>1405776</v>
      </c>
      <c r="L64" s="161">
        <v>4</v>
      </c>
      <c r="M64" s="167" t="s">
        <v>138</v>
      </c>
    </row>
    <row r="65" spans="1:13" ht="45" customHeight="1" x14ac:dyDescent="0.25">
      <c r="A65" s="162"/>
      <c r="B65" s="186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6"/>
    </row>
    <row r="66" spans="1:13" ht="45" customHeight="1" x14ac:dyDescent="0.25">
      <c r="A66" s="162">
        <v>46052</v>
      </c>
      <c r="B66" s="185" t="s">
        <v>23</v>
      </c>
      <c r="C66" s="161">
        <v>346500</v>
      </c>
      <c r="D66" s="161">
        <v>3628800</v>
      </c>
      <c r="E66" s="161">
        <v>13890269</v>
      </c>
      <c r="F66" s="161"/>
      <c r="G66" s="161"/>
      <c r="H66" s="161">
        <v>15709100</v>
      </c>
      <c r="I66" s="161">
        <f>SUM(C66:G66)</f>
        <v>17865569</v>
      </c>
      <c r="J66" s="161">
        <v>15</v>
      </c>
      <c r="K66" s="161">
        <f>I66/J66</f>
        <v>1191037.9333333333</v>
      </c>
      <c r="L66" s="161">
        <v>9</v>
      </c>
      <c r="M66" s="167"/>
    </row>
    <row r="67" spans="1:13" ht="45" customHeight="1" x14ac:dyDescent="0.25">
      <c r="A67" s="162"/>
      <c r="B67" s="186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6"/>
    </row>
    <row r="68" spans="1:13" ht="45" customHeight="1" x14ac:dyDescent="0.25">
      <c r="A68" s="162">
        <v>46053</v>
      </c>
      <c r="B68" s="185" t="s">
        <v>25</v>
      </c>
      <c r="C68" s="159"/>
      <c r="D68" s="159"/>
      <c r="E68" s="159"/>
      <c r="F68" s="159"/>
      <c r="G68" s="159"/>
      <c r="H68" s="161">
        <v>0</v>
      </c>
      <c r="I68" s="161">
        <f>SUM(C68:G68)</f>
        <v>0</v>
      </c>
      <c r="J68" s="161">
        <v>0</v>
      </c>
      <c r="K68" s="159">
        <v>0</v>
      </c>
      <c r="L68" s="159">
        <v>0</v>
      </c>
      <c r="M68" s="187"/>
    </row>
    <row r="69" spans="1:13" ht="45" customHeight="1" x14ac:dyDescent="0.25">
      <c r="A69" s="162"/>
      <c r="B69" s="186"/>
      <c r="C69" s="160"/>
      <c r="D69" s="160"/>
      <c r="E69" s="160"/>
      <c r="F69" s="160"/>
      <c r="G69" s="160"/>
      <c r="H69" s="161"/>
      <c r="I69" s="161"/>
      <c r="J69" s="161"/>
      <c r="K69" s="160"/>
      <c r="L69" s="160"/>
      <c r="M69" s="188"/>
    </row>
    <row r="70" spans="1:13" ht="45" customHeight="1" x14ac:dyDescent="0.25">
      <c r="A70" s="158" t="s">
        <v>40</v>
      </c>
      <c r="B70" s="158"/>
      <c r="C70" s="54">
        <f t="shared" ref="C70:H70" si="4">C34+C19+C4+C49</f>
        <v>78503064</v>
      </c>
      <c r="D70" s="54">
        <f t="shared" si="4"/>
        <v>159464356</v>
      </c>
      <c r="E70" s="54">
        <f t="shared" si="4"/>
        <v>518991447</v>
      </c>
      <c r="F70" s="54">
        <f t="shared" si="4"/>
        <v>432437945</v>
      </c>
      <c r="G70" s="54">
        <f t="shared" si="4"/>
        <v>0</v>
      </c>
      <c r="H70" s="54">
        <f t="shared" si="4"/>
        <v>1044068600</v>
      </c>
      <c r="I70" s="54">
        <f>I34+I19+I4+I49</f>
        <v>1189396812</v>
      </c>
      <c r="J70" s="54">
        <f>J34+J19+J49+J4</f>
        <v>662</v>
      </c>
      <c r="K70" s="54">
        <f>I70/J70</f>
        <v>1796671.9214501511</v>
      </c>
      <c r="L70" s="54">
        <f>L34+L19+L49+L4</f>
        <v>195</v>
      </c>
      <c r="M70" s="54"/>
    </row>
  </sheetData>
  <mergeCells count="416">
    <mergeCell ref="M68:M69"/>
    <mergeCell ref="A70:B70"/>
    <mergeCell ref="B17:B18"/>
    <mergeCell ref="G68:G69"/>
    <mergeCell ref="H68:H69"/>
    <mergeCell ref="I68:I69"/>
    <mergeCell ref="J68:J69"/>
    <mergeCell ref="K68:K69"/>
    <mergeCell ref="L68:L69"/>
    <mergeCell ref="J66:J67"/>
    <mergeCell ref="K66:K67"/>
    <mergeCell ref="L66:L67"/>
    <mergeCell ref="M66:M67"/>
    <mergeCell ref="A68:A69"/>
    <mergeCell ref="B68:B69"/>
    <mergeCell ref="C68:C69"/>
    <mergeCell ref="D68:D69"/>
    <mergeCell ref="E68:E69"/>
    <mergeCell ref="F68:F69"/>
    <mergeCell ref="M64:M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G64:G65"/>
    <mergeCell ref="H64:H65"/>
    <mergeCell ref="I64:I65"/>
    <mergeCell ref="J64:J65"/>
    <mergeCell ref="M62:M63"/>
    <mergeCell ref="A64:A65"/>
    <mergeCell ref="B64:B65"/>
    <mergeCell ref="C64:C65"/>
    <mergeCell ref="D64:D65"/>
    <mergeCell ref="E64:E65"/>
    <mergeCell ref="F64:F65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D58:D59"/>
    <mergeCell ref="E58:E59"/>
    <mergeCell ref="F58:F59"/>
    <mergeCell ref="G58:G59"/>
    <mergeCell ref="K64:K65"/>
    <mergeCell ref="L64:L65"/>
    <mergeCell ref="J62:J63"/>
    <mergeCell ref="K62:K63"/>
    <mergeCell ref="L62:L63"/>
    <mergeCell ref="H58:H59"/>
    <mergeCell ref="I58:I59"/>
    <mergeCell ref="J58:J59"/>
    <mergeCell ref="K58:K59"/>
    <mergeCell ref="L58:L59"/>
    <mergeCell ref="A60:A61"/>
    <mergeCell ref="B60:B61"/>
    <mergeCell ref="C60:C61"/>
    <mergeCell ref="D60:D61"/>
    <mergeCell ref="E60:E61"/>
    <mergeCell ref="F60:F61"/>
    <mergeCell ref="M60:M61"/>
    <mergeCell ref="G60:G61"/>
    <mergeCell ref="H60:H61"/>
    <mergeCell ref="I60:I61"/>
    <mergeCell ref="J60:J61"/>
    <mergeCell ref="K60:K61"/>
    <mergeCell ref="L60:L61"/>
    <mergeCell ref="A56:A57"/>
    <mergeCell ref="B56:B57"/>
    <mergeCell ref="C56:C57"/>
    <mergeCell ref="D56:D57"/>
    <mergeCell ref="E56:E57"/>
    <mergeCell ref="F56:F57"/>
    <mergeCell ref="M56:M57"/>
    <mergeCell ref="G56:G57"/>
    <mergeCell ref="H56:H57"/>
    <mergeCell ref="I56:I57"/>
    <mergeCell ref="J56:J57"/>
    <mergeCell ref="K56:K57"/>
    <mergeCell ref="L56:L57"/>
    <mergeCell ref="M58:M59"/>
    <mergeCell ref="A58:A59"/>
    <mergeCell ref="B58:B59"/>
    <mergeCell ref="C58:C59"/>
    <mergeCell ref="M52:M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M54:M55"/>
    <mergeCell ref="E52:E53"/>
    <mergeCell ref="F52:F53"/>
    <mergeCell ref="J54:J55"/>
    <mergeCell ref="K54:K55"/>
    <mergeCell ref="H50:H51"/>
    <mergeCell ref="I50:I51"/>
    <mergeCell ref="J50:J51"/>
    <mergeCell ref="K50:K51"/>
    <mergeCell ref="L50:L51"/>
    <mergeCell ref="L54:L55"/>
    <mergeCell ref="M50:M51"/>
    <mergeCell ref="L47:L48"/>
    <mergeCell ref="M47:M48"/>
    <mergeCell ref="A49:B49"/>
    <mergeCell ref="A50:A51"/>
    <mergeCell ref="B50:B51"/>
    <mergeCell ref="C50:C51"/>
    <mergeCell ref="D50:D51"/>
    <mergeCell ref="E50:E51"/>
    <mergeCell ref="F50:F51"/>
    <mergeCell ref="G50:G51"/>
    <mergeCell ref="F47:F48"/>
    <mergeCell ref="G47:G48"/>
    <mergeCell ref="H47:H48"/>
    <mergeCell ref="I47:I48"/>
    <mergeCell ref="J47:J48"/>
    <mergeCell ref="K47:K48"/>
    <mergeCell ref="I45:I46"/>
    <mergeCell ref="J45:J46"/>
    <mergeCell ref="K45:K46"/>
    <mergeCell ref="L45:L46"/>
    <mergeCell ref="M45:M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G45:G46"/>
    <mergeCell ref="H45:H46"/>
    <mergeCell ref="F43:F44"/>
    <mergeCell ref="G43:G44"/>
    <mergeCell ref="H43:H44"/>
    <mergeCell ref="I41:I42"/>
    <mergeCell ref="J41:J42"/>
    <mergeCell ref="K41:K42"/>
    <mergeCell ref="L41:L42"/>
    <mergeCell ref="M41:M42"/>
    <mergeCell ref="A43:A44"/>
    <mergeCell ref="B43:B44"/>
    <mergeCell ref="C43:C44"/>
    <mergeCell ref="D43:D44"/>
    <mergeCell ref="E43:E44"/>
    <mergeCell ref="L43:L44"/>
    <mergeCell ref="M43:M44"/>
    <mergeCell ref="I43:I44"/>
    <mergeCell ref="J43:J44"/>
    <mergeCell ref="K43:K44"/>
    <mergeCell ref="A41:A42"/>
    <mergeCell ref="B41:B42"/>
    <mergeCell ref="C41:C42"/>
    <mergeCell ref="D41:D42"/>
    <mergeCell ref="E41:E42"/>
    <mergeCell ref="F41:F42"/>
    <mergeCell ref="G41:G42"/>
    <mergeCell ref="H41:H42"/>
    <mergeCell ref="F39:F40"/>
    <mergeCell ref="G39:G40"/>
    <mergeCell ref="H39:H40"/>
    <mergeCell ref="I37:I38"/>
    <mergeCell ref="J37:J38"/>
    <mergeCell ref="K37:K38"/>
    <mergeCell ref="L37:L38"/>
    <mergeCell ref="M37:M38"/>
    <mergeCell ref="A39:A40"/>
    <mergeCell ref="B39:B40"/>
    <mergeCell ref="C39:C40"/>
    <mergeCell ref="D39:D40"/>
    <mergeCell ref="E39:E40"/>
    <mergeCell ref="L39:L40"/>
    <mergeCell ref="M39:M40"/>
    <mergeCell ref="I39:I40"/>
    <mergeCell ref="J39:J40"/>
    <mergeCell ref="K39:K40"/>
    <mergeCell ref="A37:A38"/>
    <mergeCell ref="B37:B38"/>
    <mergeCell ref="C37:C38"/>
    <mergeCell ref="D37:D38"/>
    <mergeCell ref="E37:E38"/>
    <mergeCell ref="F37:F38"/>
    <mergeCell ref="G37:G38"/>
    <mergeCell ref="H37:H38"/>
    <mergeCell ref="F35:F36"/>
    <mergeCell ref="G35:G36"/>
    <mergeCell ref="H35:H36"/>
    <mergeCell ref="J32:J33"/>
    <mergeCell ref="K32:K33"/>
    <mergeCell ref="L32:L33"/>
    <mergeCell ref="M32:M33"/>
    <mergeCell ref="A34:B34"/>
    <mergeCell ref="A35:A36"/>
    <mergeCell ref="B35:B36"/>
    <mergeCell ref="C35:C36"/>
    <mergeCell ref="D35:D36"/>
    <mergeCell ref="E35:E36"/>
    <mergeCell ref="L35:L36"/>
    <mergeCell ref="M35:M36"/>
    <mergeCell ref="I35:I36"/>
    <mergeCell ref="J35:J36"/>
    <mergeCell ref="K35:K36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L24:L25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M22:M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J24:J25"/>
    <mergeCell ref="K24:K25"/>
    <mergeCell ref="H20:H21"/>
    <mergeCell ref="I20:I21"/>
    <mergeCell ref="J20:J21"/>
    <mergeCell ref="K20:K21"/>
    <mergeCell ref="L20:L21"/>
    <mergeCell ref="M20:M21"/>
    <mergeCell ref="L17:L18"/>
    <mergeCell ref="M17:M18"/>
    <mergeCell ref="A19:B19"/>
    <mergeCell ref="A20:A21"/>
    <mergeCell ref="C20:C21"/>
    <mergeCell ref="D20:D21"/>
    <mergeCell ref="E20:E21"/>
    <mergeCell ref="F20:F21"/>
    <mergeCell ref="G20:G21"/>
    <mergeCell ref="F17:F18"/>
    <mergeCell ref="G17:G18"/>
    <mergeCell ref="H17:H18"/>
    <mergeCell ref="I17:I18"/>
    <mergeCell ref="J17:J18"/>
    <mergeCell ref="K17:K18"/>
    <mergeCell ref="I15:I16"/>
    <mergeCell ref="J15:J16"/>
    <mergeCell ref="K15:K16"/>
    <mergeCell ref="L15:L16"/>
    <mergeCell ref="M15:M16"/>
    <mergeCell ref="A17:A18"/>
    <mergeCell ref="B11:B12"/>
    <mergeCell ref="C17:C18"/>
    <mergeCell ref="D17:D18"/>
    <mergeCell ref="E17:E18"/>
    <mergeCell ref="L13:L14"/>
    <mergeCell ref="M13:M14"/>
    <mergeCell ref="A15:A16"/>
    <mergeCell ref="B15:B16"/>
    <mergeCell ref="C15:C16"/>
    <mergeCell ref="D15:D16"/>
    <mergeCell ref="E15:E16"/>
    <mergeCell ref="F15:F16"/>
    <mergeCell ref="G15:G16"/>
    <mergeCell ref="H15:H16"/>
    <mergeCell ref="F13:F14"/>
    <mergeCell ref="G13:G14"/>
    <mergeCell ref="H13:H14"/>
    <mergeCell ref="I13:I14"/>
    <mergeCell ref="J13:J14"/>
    <mergeCell ref="K13:K14"/>
    <mergeCell ref="I11:I12"/>
    <mergeCell ref="J11:J12"/>
    <mergeCell ref="K11:K12"/>
    <mergeCell ref="L11:L12"/>
    <mergeCell ref="M11:M12"/>
    <mergeCell ref="A13:A14"/>
    <mergeCell ref="B13:B14"/>
    <mergeCell ref="C13:C14"/>
    <mergeCell ref="D13:D14"/>
    <mergeCell ref="E13:E14"/>
    <mergeCell ref="A11:A12"/>
    <mergeCell ref="C11:C12"/>
    <mergeCell ref="D11:D12"/>
    <mergeCell ref="E11:E12"/>
    <mergeCell ref="F11:F12"/>
    <mergeCell ref="G11:G12"/>
    <mergeCell ref="H11:H12"/>
    <mergeCell ref="F9:F10"/>
    <mergeCell ref="G9:G10"/>
    <mergeCell ref="H9:H10"/>
    <mergeCell ref="I7:I8"/>
    <mergeCell ref="J7:J8"/>
    <mergeCell ref="K7:K8"/>
    <mergeCell ref="L7:L8"/>
    <mergeCell ref="M7:M8"/>
    <mergeCell ref="A9:A10"/>
    <mergeCell ref="B9:B10"/>
    <mergeCell ref="C9:C10"/>
    <mergeCell ref="D9:D10"/>
    <mergeCell ref="E9:E10"/>
    <mergeCell ref="L9:L10"/>
    <mergeCell ref="M9:M10"/>
    <mergeCell ref="I9:I10"/>
    <mergeCell ref="J9:J10"/>
    <mergeCell ref="K9:K10"/>
    <mergeCell ref="A7:A8"/>
    <mergeCell ref="B7:B8"/>
    <mergeCell ref="C7:C8"/>
    <mergeCell ref="D7:D8"/>
    <mergeCell ref="E7:E8"/>
    <mergeCell ref="F7:F8"/>
    <mergeCell ref="G7:G8"/>
    <mergeCell ref="H7:H8"/>
    <mergeCell ref="F5:F6"/>
    <mergeCell ref="G5:G6"/>
    <mergeCell ref="H5:H6"/>
    <mergeCell ref="A4:B4"/>
    <mergeCell ref="A5:A6"/>
    <mergeCell ref="B5:B6"/>
    <mergeCell ref="C5:C6"/>
    <mergeCell ref="D5:D6"/>
    <mergeCell ref="E5:E6"/>
    <mergeCell ref="L5:L6"/>
    <mergeCell ref="M5:M6"/>
    <mergeCell ref="I5:I6"/>
    <mergeCell ref="J5:J6"/>
    <mergeCell ref="K5:K6"/>
    <mergeCell ref="A1:M1"/>
    <mergeCell ref="A2:A3"/>
    <mergeCell ref="B2:B3"/>
    <mergeCell ref="C2:G2"/>
    <mergeCell ref="H2:H3"/>
    <mergeCell ref="I2:I3"/>
    <mergeCell ref="J2:J3"/>
    <mergeCell ref="K2:K3"/>
    <mergeCell ref="L2:L3"/>
    <mergeCell ref="M2:M3"/>
  </mergeCells>
  <phoneticPr fontId="2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D9F8-AC4F-4D56-B408-37879399E650}">
  <dimension ref="A1:M75"/>
  <sheetViews>
    <sheetView tabSelected="1" zoomScale="25" zoomScaleNormal="25" workbookViewId="0">
      <selection activeCell="K52" sqref="K52:K53"/>
    </sheetView>
  </sheetViews>
  <sheetFormatPr defaultRowHeight="15" x14ac:dyDescent="0.25"/>
  <cols>
    <col min="1" max="1" width="40.140625" bestFit="1" customWidth="1"/>
    <col min="2" max="2" width="32.28515625" customWidth="1"/>
    <col min="3" max="3" width="44.85546875" hidden="1" customWidth="1"/>
    <col min="4" max="4" width="59.140625" hidden="1" customWidth="1"/>
    <col min="5" max="6" width="49.140625" hidden="1" customWidth="1"/>
    <col min="7" max="7" width="47" hidden="1" customWidth="1"/>
    <col min="8" max="9" width="54.7109375" customWidth="1"/>
    <col min="10" max="10" width="26.7109375" customWidth="1"/>
    <col min="11" max="11" width="56.5703125" customWidth="1"/>
    <col min="12" max="12" width="22.42578125" customWidth="1"/>
    <col min="13" max="13" width="100.5703125" customWidth="1"/>
  </cols>
  <sheetData>
    <row r="1" spans="1:13" ht="267" customHeight="1" x14ac:dyDescent="0.25">
      <c r="A1" s="175" t="s">
        <v>139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3" ht="45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181" t="s">
        <v>8</v>
      </c>
      <c r="K2" s="181" t="s">
        <v>9</v>
      </c>
      <c r="L2" s="182" t="s">
        <v>10</v>
      </c>
      <c r="M2" s="183" t="s">
        <v>11</v>
      </c>
    </row>
    <row r="3" spans="1:13" ht="93" customHeight="1" x14ac:dyDescent="0.25">
      <c r="A3" s="177"/>
      <c r="B3" s="177"/>
      <c r="C3" s="58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1"/>
      <c r="K3" s="181"/>
      <c r="L3" s="182"/>
      <c r="M3" s="183"/>
    </row>
    <row r="4" spans="1:13" ht="45" hidden="1" customHeight="1" x14ac:dyDescent="0.25">
      <c r="A4" s="171" t="s">
        <v>20</v>
      </c>
      <c r="B4" s="171"/>
      <c r="C4" s="52">
        <f t="shared" ref="C4:G4" si="0">SUBTOTAL(9,C5:C18)</f>
        <v>7399476</v>
      </c>
      <c r="D4" s="52">
        <f t="shared" si="0"/>
        <v>13764996</v>
      </c>
      <c r="E4" s="52">
        <f t="shared" si="0"/>
        <v>85891470</v>
      </c>
      <c r="F4" s="52">
        <f t="shared" si="0"/>
        <v>47458073</v>
      </c>
      <c r="G4" s="52">
        <f t="shared" si="0"/>
        <v>0</v>
      </c>
      <c r="H4" s="52">
        <f>SUM(H5:H18)</f>
        <v>135641300</v>
      </c>
      <c r="I4" s="52">
        <f>SUM(I5:I18)</f>
        <v>154514015</v>
      </c>
      <c r="J4" s="52">
        <f>SUM(J5:J18)</f>
        <v>95</v>
      </c>
      <c r="K4" s="52">
        <f>I4/J4</f>
        <v>1626463.3157894737</v>
      </c>
      <c r="L4" s="52">
        <f>SUM(L5:L18)</f>
        <v>46</v>
      </c>
      <c r="M4" s="55"/>
    </row>
    <row r="5" spans="1:13" ht="45" hidden="1" customHeight="1" x14ac:dyDescent="0.25">
      <c r="A5" s="162">
        <v>46054</v>
      </c>
      <c r="B5" s="185" t="s">
        <v>60</v>
      </c>
      <c r="C5" s="159"/>
      <c r="D5" s="159"/>
      <c r="E5" s="159">
        <v>10338594</v>
      </c>
      <c r="F5" s="159"/>
      <c r="G5" s="159"/>
      <c r="H5" s="159">
        <v>9066000</v>
      </c>
      <c r="I5" s="159">
        <f>SUM(C5:G5)</f>
        <v>10338594</v>
      </c>
      <c r="J5" s="159">
        <v>11</v>
      </c>
      <c r="K5" s="159">
        <f>I5/J5</f>
        <v>939872.18181818177</v>
      </c>
      <c r="L5" s="159">
        <v>6</v>
      </c>
      <c r="M5" s="165"/>
    </row>
    <row r="6" spans="1:13" ht="45" hidden="1" customHeight="1" x14ac:dyDescent="0.25">
      <c r="A6" s="162"/>
      <c r="B6" s="186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</row>
    <row r="7" spans="1:13" ht="45" hidden="1" customHeight="1" x14ac:dyDescent="0.25">
      <c r="A7" s="162">
        <v>46055</v>
      </c>
      <c r="B7" s="185" t="s">
        <v>30</v>
      </c>
      <c r="C7" s="159"/>
      <c r="D7" s="159"/>
      <c r="E7" s="159">
        <v>23194416</v>
      </c>
      <c r="F7" s="159">
        <v>38927385</v>
      </c>
      <c r="G7" s="159"/>
      <c r="H7" s="159">
        <v>54626500</v>
      </c>
      <c r="I7" s="159">
        <f>SUM(C7:G7)</f>
        <v>62121801</v>
      </c>
      <c r="J7" s="159">
        <v>23</v>
      </c>
      <c r="K7" s="159">
        <f>I7/J7</f>
        <v>2700947.8695652173</v>
      </c>
      <c r="L7" s="159">
        <v>12</v>
      </c>
      <c r="M7" s="167" t="s">
        <v>69</v>
      </c>
    </row>
    <row r="8" spans="1:13" ht="45" hidden="1" customHeight="1" x14ac:dyDescent="0.25">
      <c r="A8" s="162"/>
      <c r="B8" s="186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6"/>
    </row>
    <row r="9" spans="1:13" ht="45" hidden="1" customHeight="1" x14ac:dyDescent="0.25">
      <c r="A9" s="162">
        <v>46056</v>
      </c>
      <c r="B9" s="185" t="s">
        <v>31</v>
      </c>
      <c r="C9" s="159"/>
      <c r="D9" s="159"/>
      <c r="E9" s="159">
        <v>7945434</v>
      </c>
      <c r="F9" s="191"/>
      <c r="G9" s="159"/>
      <c r="H9" s="159">
        <v>6951000</v>
      </c>
      <c r="I9" s="159">
        <f>SUM(C9:G9)</f>
        <v>7945434</v>
      </c>
      <c r="J9" s="159">
        <v>4</v>
      </c>
      <c r="K9" s="159">
        <f>I9/J9</f>
        <v>1986358.5</v>
      </c>
      <c r="L9" s="159">
        <v>3</v>
      </c>
      <c r="M9" s="167"/>
    </row>
    <row r="10" spans="1:13" ht="45" hidden="1" customHeight="1" x14ac:dyDescent="0.25">
      <c r="A10" s="162"/>
      <c r="B10" s="186"/>
      <c r="C10" s="160"/>
      <c r="D10" s="160"/>
      <c r="E10" s="160"/>
      <c r="F10" s="192"/>
      <c r="G10" s="160"/>
      <c r="H10" s="160"/>
      <c r="I10" s="160"/>
      <c r="J10" s="160"/>
      <c r="K10" s="160"/>
      <c r="L10" s="160"/>
      <c r="M10" s="166"/>
    </row>
    <row r="11" spans="1:13" ht="45" hidden="1" customHeight="1" x14ac:dyDescent="0.25">
      <c r="A11" s="162">
        <v>46057</v>
      </c>
      <c r="B11" s="185" t="s">
        <v>32</v>
      </c>
      <c r="C11" s="159">
        <v>3673026</v>
      </c>
      <c r="D11" s="159"/>
      <c r="E11" s="159">
        <v>19580778</v>
      </c>
      <c r="F11" s="159">
        <v>4978659</v>
      </c>
      <c r="G11" s="159"/>
      <c r="H11" s="159">
        <v>24829500</v>
      </c>
      <c r="I11" s="159">
        <f>SUM(C11:G11)</f>
        <v>28232463</v>
      </c>
      <c r="J11" s="159">
        <v>23</v>
      </c>
      <c r="K11" s="159">
        <f>I11/J11</f>
        <v>1227498.3913043479</v>
      </c>
      <c r="L11" s="159">
        <v>4</v>
      </c>
      <c r="M11" s="167" t="s">
        <v>91</v>
      </c>
    </row>
    <row r="12" spans="1:13" ht="45" hidden="1" customHeight="1" x14ac:dyDescent="0.25">
      <c r="A12" s="162"/>
      <c r="B12" s="186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6"/>
    </row>
    <row r="13" spans="1:13" ht="45" hidden="1" customHeight="1" x14ac:dyDescent="0.25">
      <c r="A13" s="162">
        <v>46058</v>
      </c>
      <c r="B13" s="185" t="s">
        <v>21</v>
      </c>
      <c r="C13" s="159">
        <v>3726450</v>
      </c>
      <c r="D13" s="159">
        <v>1997100</v>
      </c>
      <c r="E13" s="159">
        <v>16535694</v>
      </c>
      <c r="F13" s="159">
        <v>3041558</v>
      </c>
      <c r="G13" s="159"/>
      <c r="H13" s="159">
        <v>22203150</v>
      </c>
      <c r="I13" s="159">
        <f>SUM(C13:G13)</f>
        <v>25300802</v>
      </c>
      <c r="J13" s="159">
        <v>23</v>
      </c>
      <c r="K13" s="159">
        <f>I13/J13</f>
        <v>1100034.8695652173</v>
      </c>
      <c r="L13" s="159">
        <v>11</v>
      </c>
      <c r="M13" s="167" t="s">
        <v>46</v>
      </c>
    </row>
    <row r="14" spans="1:13" ht="45" hidden="1" customHeight="1" x14ac:dyDescent="0.25">
      <c r="A14" s="162"/>
      <c r="B14" s="186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6"/>
    </row>
    <row r="15" spans="1:13" ht="45" hidden="1" customHeight="1" x14ac:dyDescent="0.25">
      <c r="A15" s="162">
        <v>46059</v>
      </c>
      <c r="B15" s="185" t="s">
        <v>23</v>
      </c>
      <c r="C15" s="159"/>
      <c r="D15" s="159"/>
      <c r="E15" s="159">
        <v>4301010</v>
      </c>
      <c r="F15" s="159">
        <v>510471</v>
      </c>
      <c r="G15" s="159"/>
      <c r="H15" s="159">
        <v>4225150</v>
      </c>
      <c r="I15" s="159">
        <f>SUM(C15:G15)</f>
        <v>4811481</v>
      </c>
      <c r="J15" s="159">
        <v>5</v>
      </c>
      <c r="K15" s="159">
        <f>I15/J15</f>
        <v>962296.2</v>
      </c>
      <c r="L15" s="159">
        <v>5</v>
      </c>
      <c r="M15" s="167" t="s">
        <v>127</v>
      </c>
    </row>
    <row r="16" spans="1:13" ht="45" hidden="1" customHeight="1" x14ac:dyDescent="0.25">
      <c r="A16" s="162"/>
      <c r="B16" s="186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6"/>
    </row>
    <row r="17" spans="1:13" ht="45" hidden="1" customHeight="1" x14ac:dyDescent="0.25">
      <c r="A17" s="162">
        <v>46060</v>
      </c>
      <c r="B17" s="185" t="s">
        <v>25</v>
      </c>
      <c r="C17" s="159"/>
      <c r="D17" s="161">
        <v>11767896</v>
      </c>
      <c r="E17" s="159">
        <v>3995544</v>
      </c>
      <c r="F17" s="159"/>
      <c r="G17" s="159"/>
      <c r="H17" s="159">
        <v>13740000</v>
      </c>
      <c r="I17" s="159">
        <f>SUM(C17:G17)</f>
        <v>15763440</v>
      </c>
      <c r="J17" s="159">
        <v>6</v>
      </c>
      <c r="K17" s="159">
        <f>I17/J17</f>
        <v>2627240</v>
      </c>
      <c r="L17" s="159">
        <v>5</v>
      </c>
      <c r="M17" s="167"/>
    </row>
    <row r="18" spans="1:13" ht="45" hidden="1" customHeight="1" x14ac:dyDescent="0.25">
      <c r="A18" s="162"/>
      <c r="B18" s="186"/>
      <c r="C18" s="160"/>
      <c r="D18" s="161"/>
      <c r="E18" s="160"/>
      <c r="F18" s="160"/>
      <c r="G18" s="160"/>
      <c r="H18" s="160"/>
      <c r="I18" s="160"/>
      <c r="J18" s="160"/>
      <c r="K18" s="160"/>
      <c r="L18" s="160"/>
      <c r="M18" s="166"/>
    </row>
    <row r="19" spans="1:13" ht="45" hidden="1" customHeight="1" x14ac:dyDescent="0.25">
      <c r="A19" s="171" t="s">
        <v>29</v>
      </c>
      <c r="B19" s="171"/>
      <c r="C19" s="52">
        <f t="shared" ref="C19:G19" si="1">SUBTOTAL(9,C20:C33)</f>
        <v>8883798</v>
      </c>
      <c r="D19" s="52">
        <f t="shared" si="1"/>
        <v>11868696</v>
      </c>
      <c r="E19" s="52">
        <f t="shared" si="1"/>
        <v>44209207</v>
      </c>
      <c r="F19" s="52"/>
      <c r="G19" s="52">
        <f t="shared" si="1"/>
        <v>0</v>
      </c>
      <c r="H19" s="52">
        <f>SUM(H20:H33)</f>
        <v>57000450</v>
      </c>
      <c r="I19" s="52">
        <f>SUM(I20:I33)</f>
        <v>64961701</v>
      </c>
      <c r="J19" s="52">
        <f>SUM(J20:J33)</f>
        <v>64</v>
      </c>
      <c r="K19" s="52">
        <f>I19/J19</f>
        <v>1015026.578125</v>
      </c>
      <c r="L19" s="52">
        <f>SUM(L20:L33)</f>
        <v>35</v>
      </c>
      <c r="M19" s="55"/>
    </row>
    <row r="20" spans="1:13" ht="45" hidden="1" customHeight="1" x14ac:dyDescent="0.25">
      <c r="A20" s="162">
        <v>46030</v>
      </c>
      <c r="B20" s="185" t="s">
        <v>60</v>
      </c>
      <c r="C20" s="161"/>
      <c r="D20" s="161">
        <v>1519560</v>
      </c>
      <c r="E20" s="159">
        <v>8921220</v>
      </c>
      <c r="F20" s="161"/>
      <c r="G20" s="161"/>
      <c r="H20" s="161">
        <v>9175000</v>
      </c>
      <c r="I20" s="159">
        <f>SUM(C20:G20)</f>
        <v>10440780</v>
      </c>
      <c r="J20" s="161">
        <v>9</v>
      </c>
      <c r="K20" s="159">
        <f>I20/J20</f>
        <v>1160086.6666666667</v>
      </c>
      <c r="L20" s="161">
        <v>3</v>
      </c>
      <c r="M20" s="167"/>
    </row>
    <row r="21" spans="1:13" ht="45" hidden="1" customHeight="1" x14ac:dyDescent="0.25">
      <c r="A21" s="162"/>
      <c r="B21" s="186"/>
      <c r="C21" s="161"/>
      <c r="D21" s="161"/>
      <c r="E21" s="160"/>
      <c r="F21" s="161"/>
      <c r="G21" s="161"/>
      <c r="H21" s="161"/>
      <c r="I21" s="160"/>
      <c r="J21" s="161"/>
      <c r="K21" s="160"/>
      <c r="L21" s="161"/>
      <c r="M21" s="166"/>
    </row>
    <row r="22" spans="1:13" ht="45" hidden="1" customHeight="1" x14ac:dyDescent="0.25">
      <c r="A22" s="162">
        <v>46031</v>
      </c>
      <c r="B22" s="185" t="s">
        <v>30</v>
      </c>
      <c r="C22" s="161">
        <v>5520060</v>
      </c>
      <c r="D22" s="161"/>
      <c r="E22" s="159">
        <v>1545222</v>
      </c>
      <c r="F22" s="161"/>
      <c r="G22" s="161"/>
      <c r="H22" s="161">
        <v>6163000</v>
      </c>
      <c r="I22" s="159">
        <f>SUM(C22:G22)</f>
        <v>7065282</v>
      </c>
      <c r="J22" s="161">
        <v>16</v>
      </c>
      <c r="K22" s="159">
        <f>I22/J22</f>
        <v>441580.125</v>
      </c>
      <c r="L22" s="161">
        <v>8</v>
      </c>
      <c r="M22" s="168"/>
    </row>
    <row r="23" spans="1:13" ht="45" hidden="1" customHeight="1" x14ac:dyDescent="0.25">
      <c r="A23" s="162"/>
      <c r="B23" s="186"/>
      <c r="C23" s="161"/>
      <c r="D23" s="161"/>
      <c r="E23" s="160"/>
      <c r="F23" s="161"/>
      <c r="G23" s="161"/>
      <c r="H23" s="161"/>
      <c r="I23" s="160"/>
      <c r="J23" s="161"/>
      <c r="K23" s="160"/>
      <c r="L23" s="161"/>
      <c r="M23" s="166"/>
    </row>
    <row r="24" spans="1:13" ht="45" hidden="1" customHeight="1" x14ac:dyDescent="0.25">
      <c r="A24" s="162">
        <v>46032</v>
      </c>
      <c r="B24" s="185" t="s">
        <v>31</v>
      </c>
      <c r="C24" s="161"/>
      <c r="D24" s="161"/>
      <c r="E24" s="159">
        <v>5662447</v>
      </c>
      <c r="F24" s="161"/>
      <c r="G24" s="161"/>
      <c r="H24" s="161">
        <v>4984450</v>
      </c>
      <c r="I24" s="159">
        <f>SUM(C24:G24)</f>
        <v>5662447</v>
      </c>
      <c r="J24" s="161">
        <v>5</v>
      </c>
      <c r="K24" s="159">
        <f>I24/J24</f>
        <v>1132489.3999999999</v>
      </c>
      <c r="L24" s="161">
        <v>3</v>
      </c>
      <c r="M24" s="167"/>
    </row>
    <row r="25" spans="1:13" ht="45" hidden="1" customHeight="1" x14ac:dyDescent="0.25">
      <c r="A25" s="162"/>
      <c r="B25" s="186"/>
      <c r="C25" s="161"/>
      <c r="D25" s="161"/>
      <c r="E25" s="160"/>
      <c r="F25" s="161"/>
      <c r="G25" s="161"/>
      <c r="H25" s="161"/>
      <c r="I25" s="160"/>
      <c r="J25" s="161"/>
      <c r="K25" s="160"/>
      <c r="L25" s="161"/>
      <c r="M25" s="166"/>
    </row>
    <row r="26" spans="1:13" ht="45" hidden="1" customHeight="1" x14ac:dyDescent="0.25">
      <c r="A26" s="162">
        <v>46033</v>
      </c>
      <c r="B26" s="185" t="s">
        <v>32</v>
      </c>
      <c r="C26" s="161"/>
      <c r="D26" s="161"/>
      <c r="E26" s="159"/>
      <c r="F26" s="161"/>
      <c r="G26" s="161"/>
      <c r="H26" s="161"/>
      <c r="I26" s="159"/>
      <c r="J26" s="161"/>
      <c r="K26" s="159"/>
      <c r="L26" s="161"/>
      <c r="M26" s="167"/>
    </row>
    <row r="27" spans="1:13" ht="45" hidden="1" customHeight="1" x14ac:dyDescent="0.25">
      <c r="A27" s="162"/>
      <c r="B27" s="186"/>
      <c r="C27" s="161"/>
      <c r="D27" s="161"/>
      <c r="E27" s="160"/>
      <c r="F27" s="161"/>
      <c r="G27" s="161"/>
      <c r="H27" s="161"/>
      <c r="I27" s="160"/>
      <c r="J27" s="161"/>
      <c r="K27" s="160"/>
      <c r="L27" s="161"/>
      <c r="M27" s="166"/>
    </row>
    <row r="28" spans="1:13" ht="45" hidden="1" customHeight="1" x14ac:dyDescent="0.25">
      <c r="A28" s="162">
        <v>46034</v>
      </c>
      <c r="B28" s="185" t="s">
        <v>21</v>
      </c>
      <c r="C28" s="173">
        <v>3363738</v>
      </c>
      <c r="D28" s="161">
        <v>8483706</v>
      </c>
      <c r="E28" s="159">
        <v>20274786</v>
      </c>
      <c r="F28" s="161"/>
      <c r="G28" s="161"/>
      <c r="H28" s="159">
        <v>28205000</v>
      </c>
      <c r="I28" s="159">
        <f>SUM(C28:G28)</f>
        <v>32122230</v>
      </c>
      <c r="J28" s="161">
        <v>24</v>
      </c>
      <c r="K28" s="159">
        <f>I28/J28</f>
        <v>1338426.25</v>
      </c>
      <c r="L28" s="161">
        <v>11</v>
      </c>
      <c r="M28" s="167"/>
    </row>
    <row r="29" spans="1:13" ht="45" hidden="1" customHeight="1" x14ac:dyDescent="0.25">
      <c r="A29" s="162"/>
      <c r="B29" s="186"/>
      <c r="C29" s="161"/>
      <c r="D29" s="161"/>
      <c r="E29" s="160"/>
      <c r="F29" s="161"/>
      <c r="G29" s="161"/>
      <c r="H29" s="160"/>
      <c r="I29" s="160"/>
      <c r="J29" s="161"/>
      <c r="K29" s="160"/>
      <c r="L29" s="161"/>
      <c r="M29" s="166"/>
    </row>
    <row r="30" spans="1:13" ht="45" hidden="1" customHeight="1" x14ac:dyDescent="0.25">
      <c r="A30" s="162">
        <v>46035</v>
      </c>
      <c r="B30" s="185" t="s">
        <v>23</v>
      </c>
      <c r="C30" s="161"/>
      <c r="D30" s="161"/>
      <c r="E30" s="159">
        <v>2948274</v>
      </c>
      <c r="F30" s="161"/>
      <c r="G30" s="161"/>
      <c r="H30" s="159">
        <v>2576000</v>
      </c>
      <c r="I30" s="159">
        <f>SUM(C30:G30)</f>
        <v>2948274</v>
      </c>
      <c r="J30" s="161">
        <v>4</v>
      </c>
      <c r="K30" s="159">
        <f>I30/J30</f>
        <v>737068.5</v>
      </c>
      <c r="L30" s="161">
        <v>4</v>
      </c>
      <c r="M30" s="167"/>
    </row>
    <row r="31" spans="1:13" ht="45" hidden="1" customHeight="1" x14ac:dyDescent="0.25">
      <c r="A31" s="162"/>
      <c r="B31" s="186"/>
      <c r="C31" s="161"/>
      <c r="D31" s="161"/>
      <c r="E31" s="160"/>
      <c r="F31" s="161"/>
      <c r="G31" s="161"/>
      <c r="H31" s="160"/>
      <c r="I31" s="160"/>
      <c r="J31" s="161"/>
      <c r="K31" s="160"/>
      <c r="L31" s="161"/>
      <c r="M31" s="166"/>
    </row>
    <row r="32" spans="1:13" ht="45" hidden="1" customHeight="1" x14ac:dyDescent="0.25">
      <c r="A32" s="162">
        <v>46036</v>
      </c>
      <c r="B32" s="185" t="s">
        <v>25</v>
      </c>
      <c r="C32" s="161"/>
      <c r="D32" s="161">
        <v>1865430</v>
      </c>
      <c r="E32" s="159">
        <v>4857258</v>
      </c>
      <c r="F32" s="161"/>
      <c r="G32" s="161"/>
      <c r="H32" s="159">
        <v>5897000</v>
      </c>
      <c r="I32" s="159">
        <f>SUM(C32:G32)</f>
        <v>6722688</v>
      </c>
      <c r="J32" s="161">
        <v>6</v>
      </c>
      <c r="K32" s="159">
        <f>I32/J32</f>
        <v>1120448</v>
      </c>
      <c r="L32" s="161">
        <v>6</v>
      </c>
      <c r="M32" s="167"/>
    </row>
    <row r="33" spans="1:13" ht="45" hidden="1" customHeight="1" x14ac:dyDescent="0.25">
      <c r="A33" s="162"/>
      <c r="B33" s="186"/>
      <c r="C33" s="161"/>
      <c r="D33" s="161"/>
      <c r="E33" s="160"/>
      <c r="F33" s="161"/>
      <c r="G33" s="161"/>
      <c r="H33" s="160"/>
      <c r="I33" s="160"/>
      <c r="J33" s="161"/>
      <c r="K33" s="160"/>
      <c r="L33" s="161"/>
      <c r="M33" s="167"/>
    </row>
    <row r="34" spans="1:13" ht="45" hidden="1" customHeight="1" x14ac:dyDescent="0.25">
      <c r="A34" s="193" t="s">
        <v>34</v>
      </c>
      <c r="B34" s="171"/>
      <c r="C34" s="52">
        <f t="shared" ref="C34:E34" si="2">SUBTOTAL(9,C35:C48)</f>
        <v>0</v>
      </c>
      <c r="D34" s="52">
        <f t="shared" si="2"/>
        <v>0</v>
      </c>
      <c r="E34" s="52">
        <f t="shared" si="2"/>
        <v>0</v>
      </c>
      <c r="F34" s="52"/>
      <c r="G34" s="52"/>
      <c r="H34" s="52">
        <f>SUM(H35:H48)</f>
        <v>0</v>
      </c>
      <c r="I34" s="52">
        <f>SUM(I35:I48)</f>
        <v>0</v>
      </c>
      <c r="J34" s="52">
        <f>SUM(J35:J51)</f>
        <v>65</v>
      </c>
      <c r="K34" s="52">
        <f>I34/J34</f>
        <v>0</v>
      </c>
      <c r="L34" s="52">
        <f>SUM(L35:L51)</f>
        <v>20</v>
      </c>
      <c r="M34" s="55"/>
    </row>
    <row r="35" spans="1:13" ht="45" hidden="1" customHeight="1" x14ac:dyDescent="0.25">
      <c r="A35" s="162">
        <v>46037</v>
      </c>
      <c r="B35" s="185" t="s">
        <v>60</v>
      </c>
      <c r="C35" s="161"/>
      <c r="D35" s="161"/>
      <c r="E35" s="161"/>
      <c r="F35" s="161"/>
      <c r="G35" s="161"/>
      <c r="H35" s="161"/>
      <c r="I35" s="161"/>
      <c r="J35" s="161"/>
      <c r="K35" s="159"/>
      <c r="L35" s="161"/>
      <c r="M35" s="168"/>
    </row>
    <row r="36" spans="1:13" ht="45" hidden="1" customHeight="1" x14ac:dyDescent="0.25">
      <c r="A36" s="162"/>
      <c r="B36" s="186"/>
      <c r="C36" s="161"/>
      <c r="D36" s="161"/>
      <c r="E36" s="161"/>
      <c r="F36" s="161"/>
      <c r="G36" s="161"/>
      <c r="H36" s="161"/>
      <c r="I36" s="161"/>
      <c r="J36" s="161"/>
      <c r="K36" s="160"/>
      <c r="L36" s="161"/>
      <c r="M36" s="166"/>
    </row>
    <row r="37" spans="1:13" ht="45" hidden="1" customHeight="1" x14ac:dyDescent="0.25">
      <c r="A37" s="162">
        <v>46038</v>
      </c>
      <c r="B37" s="185" t="s">
        <v>30</v>
      </c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7"/>
    </row>
    <row r="38" spans="1:13" ht="45" hidden="1" customHeight="1" x14ac:dyDescent="0.25">
      <c r="A38" s="162"/>
      <c r="B38" s="186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6"/>
    </row>
    <row r="39" spans="1:13" ht="45" hidden="1" customHeight="1" x14ac:dyDescent="0.25">
      <c r="A39" s="162">
        <v>46039</v>
      </c>
      <c r="B39" s="185" t="s">
        <v>31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7"/>
    </row>
    <row r="40" spans="1:13" ht="45" hidden="1" customHeight="1" x14ac:dyDescent="0.25">
      <c r="A40" s="162"/>
      <c r="B40" s="186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6"/>
    </row>
    <row r="41" spans="1:13" ht="45" hidden="1" customHeight="1" x14ac:dyDescent="0.25">
      <c r="A41" s="162">
        <v>46040</v>
      </c>
      <c r="B41" s="185" t="s">
        <v>32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74"/>
    </row>
    <row r="42" spans="1:13" ht="45" hidden="1" customHeight="1" x14ac:dyDescent="0.25">
      <c r="A42" s="162"/>
      <c r="B42" s="186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70"/>
    </row>
    <row r="43" spans="1:13" ht="45" hidden="1" customHeight="1" x14ac:dyDescent="0.25">
      <c r="A43" s="162">
        <v>46041</v>
      </c>
      <c r="B43" s="185" t="s">
        <v>21</v>
      </c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7"/>
    </row>
    <row r="44" spans="1:13" ht="45" hidden="1" customHeight="1" x14ac:dyDescent="0.25">
      <c r="A44" s="162"/>
      <c r="B44" s="186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6"/>
    </row>
    <row r="45" spans="1:13" ht="45" hidden="1" customHeight="1" x14ac:dyDescent="0.25">
      <c r="A45" s="162">
        <v>46042</v>
      </c>
      <c r="B45" s="185" t="s">
        <v>23</v>
      </c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8"/>
    </row>
    <row r="46" spans="1:13" ht="45" hidden="1" customHeight="1" x14ac:dyDescent="0.25">
      <c r="A46" s="162"/>
      <c r="B46" s="186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6"/>
    </row>
    <row r="47" spans="1:13" ht="45" hidden="1" customHeight="1" x14ac:dyDescent="0.25">
      <c r="A47" s="162">
        <v>46043</v>
      </c>
      <c r="B47" s="185" t="s">
        <v>25</v>
      </c>
      <c r="C47" s="161"/>
      <c r="D47" s="161"/>
      <c r="E47" s="161"/>
      <c r="G47" s="161"/>
      <c r="H47" s="161"/>
      <c r="I47" s="161">
        <f>SUM(C47:G47)</f>
        <v>0</v>
      </c>
      <c r="K47" s="159">
        <f>I47/J50</f>
        <v>0</v>
      </c>
      <c r="M47" s="168"/>
    </row>
    <row r="48" spans="1:13" ht="45" hidden="1" customHeight="1" x14ac:dyDescent="0.25">
      <c r="A48" s="162"/>
      <c r="B48" s="186"/>
      <c r="C48" s="161"/>
      <c r="D48" s="161"/>
      <c r="E48" s="161"/>
      <c r="G48" s="161"/>
      <c r="H48" s="161"/>
      <c r="I48" s="161"/>
      <c r="K48" s="160"/>
      <c r="M48" s="166"/>
    </row>
    <row r="49" spans="1:13" ht="45" customHeight="1" x14ac:dyDescent="0.25">
      <c r="A49" s="171" t="s">
        <v>36</v>
      </c>
      <c r="B49" s="171"/>
      <c r="C49" s="52">
        <f t="shared" ref="C49:H49" si="3">SUM(C50:C63)</f>
        <v>693000</v>
      </c>
      <c r="D49" s="52">
        <f t="shared" si="3"/>
        <v>0</v>
      </c>
      <c r="E49" s="52">
        <f t="shared" si="3"/>
        <v>35028042</v>
      </c>
      <c r="F49" s="52">
        <f>SUM(F50:F63)</f>
        <v>51730526</v>
      </c>
      <c r="G49" s="52">
        <f t="shared" si="3"/>
        <v>0</v>
      </c>
      <c r="H49" s="52">
        <f t="shared" si="3"/>
        <v>76483600</v>
      </c>
      <c r="I49" s="52">
        <f>SUM(I50:I63)</f>
        <v>87451568</v>
      </c>
      <c r="J49" s="52">
        <f>SUM(J50:J63)</f>
        <v>54</v>
      </c>
      <c r="K49" s="52">
        <f>I49/J49</f>
        <v>1619473.4814814816</v>
      </c>
      <c r="L49" s="52">
        <f>SUM(L50:L63)</f>
        <v>18</v>
      </c>
      <c r="M49" s="52">
        <f ca="1">SUM(M49:M61)</f>
        <v>0</v>
      </c>
    </row>
    <row r="50" spans="1:13" ht="45" customHeight="1" x14ac:dyDescent="0.25">
      <c r="A50" s="162">
        <v>46044</v>
      </c>
      <c r="B50" s="185" t="s">
        <v>60</v>
      </c>
      <c r="C50" s="161"/>
      <c r="D50" s="161"/>
      <c r="E50" s="161"/>
      <c r="F50" s="161">
        <v>40773608</v>
      </c>
      <c r="G50" s="161"/>
      <c r="H50" s="161">
        <v>35952600</v>
      </c>
      <c r="I50" s="159">
        <f>SUM(C50:G50)</f>
        <v>40773608</v>
      </c>
      <c r="J50" s="161">
        <v>11</v>
      </c>
      <c r="K50" s="159">
        <f>I50/J50</f>
        <v>3706691.6363636362</v>
      </c>
      <c r="L50" s="161">
        <v>2</v>
      </c>
      <c r="M50" s="187" t="s">
        <v>134</v>
      </c>
    </row>
    <row r="51" spans="1:13" ht="45" customHeight="1" x14ac:dyDescent="0.25">
      <c r="A51" s="162"/>
      <c r="B51" s="186"/>
      <c r="C51" s="161"/>
      <c r="D51" s="161"/>
      <c r="E51" s="161"/>
      <c r="F51" s="161"/>
      <c r="G51" s="161"/>
      <c r="H51" s="161"/>
      <c r="I51" s="160"/>
      <c r="J51" s="161"/>
      <c r="K51" s="160"/>
      <c r="L51" s="161"/>
      <c r="M51" s="188"/>
    </row>
    <row r="52" spans="1:13" ht="45" customHeight="1" x14ac:dyDescent="0.25">
      <c r="A52" s="162">
        <v>46045</v>
      </c>
      <c r="B52" s="185" t="s">
        <v>30</v>
      </c>
      <c r="C52" s="161"/>
      <c r="D52" s="191"/>
      <c r="E52" s="161">
        <v>3702888</v>
      </c>
      <c r="F52" s="161"/>
      <c r="G52" s="161"/>
      <c r="H52" s="161">
        <v>3217000</v>
      </c>
      <c r="I52" s="159">
        <f>SUM(C52:G52)</f>
        <v>3702888</v>
      </c>
      <c r="J52" s="161">
        <v>2</v>
      </c>
      <c r="K52" s="159">
        <f>I52/J52</f>
        <v>1851444</v>
      </c>
      <c r="L52" s="161">
        <v>2</v>
      </c>
      <c r="M52" s="167"/>
    </row>
    <row r="53" spans="1:13" ht="45" customHeight="1" x14ac:dyDescent="0.25">
      <c r="A53" s="162"/>
      <c r="B53" s="186"/>
      <c r="C53" s="161"/>
      <c r="D53" s="192"/>
      <c r="E53" s="161"/>
      <c r="F53" s="161"/>
      <c r="G53" s="161"/>
      <c r="H53" s="161"/>
      <c r="I53" s="160"/>
      <c r="J53" s="161"/>
      <c r="K53" s="160"/>
      <c r="L53" s="161"/>
      <c r="M53" s="166"/>
    </row>
    <row r="54" spans="1:13" ht="45" customHeight="1" x14ac:dyDescent="0.25">
      <c r="A54" s="162">
        <v>46046</v>
      </c>
      <c r="B54" s="185" t="s">
        <v>31</v>
      </c>
      <c r="C54" s="161"/>
      <c r="D54" s="161"/>
      <c r="E54" s="161">
        <v>522816</v>
      </c>
      <c r="F54" s="161"/>
      <c r="G54" s="161"/>
      <c r="H54" s="161">
        <v>459000</v>
      </c>
      <c r="I54" s="159">
        <f>SUM(C54:G54)</f>
        <v>522816</v>
      </c>
      <c r="J54" s="161">
        <v>2</v>
      </c>
      <c r="K54" s="159">
        <f>I54/J54</f>
        <v>261408</v>
      </c>
      <c r="L54" s="161">
        <v>2</v>
      </c>
      <c r="M54" s="167"/>
    </row>
    <row r="55" spans="1:13" ht="45" customHeight="1" x14ac:dyDescent="0.25">
      <c r="A55" s="162"/>
      <c r="B55" s="186"/>
      <c r="C55" s="161"/>
      <c r="D55" s="161"/>
      <c r="E55" s="161"/>
      <c r="F55" s="161"/>
      <c r="G55" s="161"/>
      <c r="H55" s="161"/>
      <c r="I55" s="160"/>
      <c r="J55" s="161"/>
      <c r="K55" s="160"/>
      <c r="L55" s="161"/>
      <c r="M55" s="166"/>
    </row>
    <row r="56" spans="1:13" ht="45" customHeight="1" x14ac:dyDescent="0.25">
      <c r="A56" s="162">
        <v>46047</v>
      </c>
      <c r="B56" s="185" t="s">
        <v>32</v>
      </c>
      <c r="C56" s="161">
        <v>693000</v>
      </c>
      <c r="D56" s="161"/>
      <c r="E56" s="161">
        <v>27908622</v>
      </c>
      <c r="F56" s="161"/>
      <c r="G56" s="161"/>
      <c r="H56" s="161">
        <v>25108000</v>
      </c>
      <c r="I56" s="159">
        <f>SUM(C56:G56)</f>
        <v>28601622</v>
      </c>
      <c r="J56" s="161">
        <v>18</v>
      </c>
      <c r="K56" s="159">
        <f>I56/J56</f>
        <v>1588979</v>
      </c>
      <c r="L56" s="161">
        <v>7</v>
      </c>
      <c r="M56" s="167"/>
    </row>
    <row r="57" spans="1:13" ht="45" customHeight="1" x14ac:dyDescent="0.25">
      <c r="A57" s="162"/>
      <c r="B57" s="186"/>
      <c r="C57" s="161"/>
      <c r="D57" s="161"/>
      <c r="E57" s="161"/>
      <c r="F57" s="161"/>
      <c r="G57" s="161"/>
      <c r="H57" s="161"/>
      <c r="I57" s="160"/>
      <c r="J57" s="161"/>
      <c r="K57" s="160"/>
      <c r="L57" s="161"/>
      <c r="M57" s="166"/>
    </row>
    <row r="58" spans="1:13" ht="45" customHeight="1" x14ac:dyDescent="0.25">
      <c r="A58" s="162">
        <v>46048</v>
      </c>
      <c r="B58" s="185" t="s">
        <v>21</v>
      </c>
      <c r="C58" s="161"/>
      <c r="D58" s="161"/>
      <c r="E58" s="161">
        <v>2668050</v>
      </c>
      <c r="F58" s="161">
        <v>5279295</v>
      </c>
      <c r="G58" s="161"/>
      <c r="H58" s="161">
        <v>6962500</v>
      </c>
      <c r="I58" s="159">
        <f>SUM(C58:G58)</f>
        <v>7947345</v>
      </c>
      <c r="J58" s="161">
        <v>15</v>
      </c>
      <c r="K58" s="159">
        <f>I58/J58</f>
        <v>529823</v>
      </c>
      <c r="L58" s="161">
        <v>3</v>
      </c>
      <c r="M58" s="167" t="s">
        <v>91</v>
      </c>
    </row>
    <row r="59" spans="1:13" ht="45" customHeight="1" x14ac:dyDescent="0.25">
      <c r="A59" s="162"/>
      <c r="B59" s="186"/>
      <c r="C59" s="161"/>
      <c r="D59" s="161"/>
      <c r="E59" s="161"/>
      <c r="F59" s="161"/>
      <c r="G59" s="161"/>
      <c r="H59" s="161"/>
      <c r="I59" s="160"/>
      <c r="J59" s="161"/>
      <c r="K59" s="160"/>
      <c r="L59" s="161"/>
      <c r="M59" s="166"/>
    </row>
    <row r="60" spans="1:13" ht="45" customHeight="1" x14ac:dyDescent="0.25">
      <c r="A60" s="162">
        <v>46049</v>
      </c>
      <c r="B60" s="185" t="s">
        <v>23</v>
      </c>
      <c r="C60" s="161"/>
      <c r="D60" s="161"/>
      <c r="E60" s="161"/>
      <c r="F60" s="161"/>
      <c r="G60" s="161"/>
      <c r="H60" s="161">
        <v>0</v>
      </c>
      <c r="I60" s="161">
        <v>0</v>
      </c>
      <c r="J60" s="161"/>
      <c r="K60" s="161"/>
      <c r="L60" s="161"/>
      <c r="M60" s="167"/>
    </row>
    <row r="61" spans="1:13" ht="45" customHeight="1" x14ac:dyDescent="0.25">
      <c r="A61" s="162"/>
      <c r="B61" s="186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6"/>
    </row>
    <row r="62" spans="1:13" ht="45" customHeight="1" x14ac:dyDescent="0.25">
      <c r="A62" s="162">
        <v>46050</v>
      </c>
      <c r="B62" s="185" t="s">
        <v>25</v>
      </c>
      <c r="C62" s="161"/>
      <c r="D62" s="161"/>
      <c r="E62" s="161">
        <v>225666</v>
      </c>
      <c r="F62" s="161">
        <v>5677623</v>
      </c>
      <c r="G62" s="161"/>
      <c r="H62" s="161">
        <v>4784500</v>
      </c>
      <c r="I62" s="159">
        <f>SUM(C62:G62)</f>
        <v>5903289</v>
      </c>
      <c r="J62" s="161">
        <v>6</v>
      </c>
      <c r="K62" s="159">
        <f>I62/J62</f>
        <v>983881.5</v>
      </c>
      <c r="L62" s="161">
        <v>2</v>
      </c>
      <c r="M62" s="167" t="s">
        <v>91</v>
      </c>
    </row>
    <row r="63" spans="1:13" ht="45" customHeight="1" x14ac:dyDescent="0.25">
      <c r="A63" s="162"/>
      <c r="B63" s="186"/>
      <c r="C63" s="161"/>
      <c r="D63" s="161"/>
      <c r="E63" s="161"/>
      <c r="F63" s="161"/>
      <c r="G63" s="161"/>
      <c r="H63" s="161"/>
      <c r="I63" s="160"/>
      <c r="J63" s="161"/>
      <c r="K63" s="160"/>
      <c r="L63" s="161"/>
      <c r="M63" s="166"/>
    </row>
    <row r="64" spans="1:13" ht="45" customHeight="1" x14ac:dyDescent="0.25">
      <c r="A64" s="158" t="s">
        <v>40</v>
      </c>
      <c r="B64" s="158"/>
      <c r="C64" s="54">
        <f t="shared" ref="C64:H64" si="4">C34+C19+C4+C49</f>
        <v>16976274</v>
      </c>
      <c r="D64" s="54">
        <f t="shared" si="4"/>
        <v>25633692</v>
      </c>
      <c r="E64" s="54">
        <f t="shared" si="4"/>
        <v>165128719</v>
      </c>
      <c r="F64" s="54">
        <f t="shared" si="4"/>
        <v>99188599</v>
      </c>
      <c r="G64" s="54">
        <f t="shared" si="4"/>
        <v>0</v>
      </c>
      <c r="H64" s="54">
        <f t="shared" si="4"/>
        <v>269125350</v>
      </c>
      <c r="I64" s="54">
        <f>I34+I19+I4+I49</f>
        <v>306927284</v>
      </c>
      <c r="J64" s="54">
        <f>J34+J19+J49+J4</f>
        <v>278</v>
      </c>
      <c r="K64" s="54">
        <f>I64/J64</f>
        <v>1104054.9784172662</v>
      </c>
      <c r="L64" s="54">
        <f>L34+L19+L49+L4</f>
        <v>119</v>
      </c>
      <c r="M64" s="54"/>
    </row>
    <row r="75" spans="7:8" x14ac:dyDescent="0.25">
      <c r="G75" t="s">
        <v>140</v>
      </c>
      <c r="H75" t="s">
        <v>140</v>
      </c>
    </row>
  </sheetData>
  <mergeCells count="376">
    <mergeCell ref="L5:L6"/>
    <mergeCell ref="M5:M6"/>
    <mergeCell ref="I5:I6"/>
    <mergeCell ref="J5:J6"/>
    <mergeCell ref="K5:K6"/>
    <mergeCell ref="A1:M1"/>
    <mergeCell ref="A2:A3"/>
    <mergeCell ref="B2:B3"/>
    <mergeCell ref="C2:G2"/>
    <mergeCell ref="H2:H3"/>
    <mergeCell ref="I2:I3"/>
    <mergeCell ref="J2:J3"/>
    <mergeCell ref="K2:K3"/>
    <mergeCell ref="L2:L3"/>
    <mergeCell ref="M2:M3"/>
    <mergeCell ref="F5:F6"/>
    <mergeCell ref="G5:G6"/>
    <mergeCell ref="H5:H6"/>
    <mergeCell ref="A4:B4"/>
    <mergeCell ref="A5:A6"/>
    <mergeCell ref="B5:B6"/>
    <mergeCell ref="C5:C6"/>
    <mergeCell ref="D5:D6"/>
    <mergeCell ref="E5:E6"/>
    <mergeCell ref="L7:L8"/>
    <mergeCell ref="M7:M8"/>
    <mergeCell ref="A9:A10"/>
    <mergeCell ref="B9:B10"/>
    <mergeCell ref="C9:C10"/>
    <mergeCell ref="D9:D10"/>
    <mergeCell ref="E9:E10"/>
    <mergeCell ref="L9:L10"/>
    <mergeCell ref="M9:M10"/>
    <mergeCell ref="I9:I10"/>
    <mergeCell ref="J9:J10"/>
    <mergeCell ref="K9:K10"/>
    <mergeCell ref="A7:A8"/>
    <mergeCell ref="B7:B8"/>
    <mergeCell ref="C7:C8"/>
    <mergeCell ref="D7:D8"/>
    <mergeCell ref="E7:E8"/>
    <mergeCell ref="G7:G8"/>
    <mergeCell ref="H7:H8"/>
    <mergeCell ref="G11:G12"/>
    <mergeCell ref="H11:H12"/>
    <mergeCell ref="F7:F8"/>
    <mergeCell ref="G9:G10"/>
    <mergeCell ref="H9:H10"/>
    <mergeCell ref="F9:F10"/>
    <mergeCell ref="I7:I8"/>
    <mergeCell ref="J7:J8"/>
    <mergeCell ref="K7:K8"/>
    <mergeCell ref="F13:F14"/>
    <mergeCell ref="G13:G14"/>
    <mergeCell ref="H13:H14"/>
    <mergeCell ref="I11:I12"/>
    <mergeCell ref="J11:J12"/>
    <mergeCell ref="K11:K12"/>
    <mergeCell ref="L11:L12"/>
    <mergeCell ref="M11:M12"/>
    <mergeCell ref="A13:A14"/>
    <mergeCell ref="B13:B14"/>
    <mergeCell ref="C13:C14"/>
    <mergeCell ref="D13:D14"/>
    <mergeCell ref="E13:E14"/>
    <mergeCell ref="L13:L14"/>
    <mergeCell ref="M13:M14"/>
    <mergeCell ref="I13:I14"/>
    <mergeCell ref="J13:J14"/>
    <mergeCell ref="K13:K14"/>
    <mergeCell ref="A11:A12"/>
    <mergeCell ref="B11:B12"/>
    <mergeCell ref="C11:C12"/>
    <mergeCell ref="D11:D12"/>
    <mergeCell ref="E11:E12"/>
    <mergeCell ref="F11:F12"/>
    <mergeCell ref="I15:I16"/>
    <mergeCell ref="J15:J16"/>
    <mergeCell ref="K15:K16"/>
    <mergeCell ref="L15:L16"/>
    <mergeCell ref="M15:M16"/>
    <mergeCell ref="A17:A18"/>
    <mergeCell ref="B17:B18"/>
    <mergeCell ref="C17:C18"/>
    <mergeCell ref="D17:D18"/>
    <mergeCell ref="E17:E18"/>
    <mergeCell ref="L17:L18"/>
    <mergeCell ref="M17:M18"/>
    <mergeCell ref="I17:I18"/>
    <mergeCell ref="J17:J18"/>
    <mergeCell ref="K17:K18"/>
    <mergeCell ref="A15:A16"/>
    <mergeCell ref="B15:B16"/>
    <mergeCell ref="C15:C16"/>
    <mergeCell ref="D15:D16"/>
    <mergeCell ref="E15:E16"/>
    <mergeCell ref="F15:F16"/>
    <mergeCell ref="G15:G16"/>
    <mergeCell ref="H15:H16"/>
    <mergeCell ref="A19:B19"/>
    <mergeCell ref="A20:A21"/>
    <mergeCell ref="C20:C21"/>
    <mergeCell ref="D20:D21"/>
    <mergeCell ref="E20:E21"/>
    <mergeCell ref="F20:F21"/>
    <mergeCell ref="G20:G21"/>
    <mergeCell ref="H20:H21"/>
    <mergeCell ref="F17:F18"/>
    <mergeCell ref="G17:G18"/>
    <mergeCell ref="H17:H18"/>
    <mergeCell ref="F22:F23"/>
    <mergeCell ref="G22:G23"/>
    <mergeCell ref="H22:H23"/>
    <mergeCell ref="I20:I21"/>
    <mergeCell ref="J20:J21"/>
    <mergeCell ref="K20:K21"/>
    <mergeCell ref="L20:L21"/>
    <mergeCell ref="M20:M21"/>
    <mergeCell ref="A22:A23"/>
    <mergeCell ref="B22:B23"/>
    <mergeCell ref="C22:C23"/>
    <mergeCell ref="D22:D23"/>
    <mergeCell ref="E22:E23"/>
    <mergeCell ref="L22:L23"/>
    <mergeCell ref="M22:M23"/>
    <mergeCell ref="I22:I23"/>
    <mergeCell ref="J22:J23"/>
    <mergeCell ref="K22:K23"/>
    <mergeCell ref="M24:M25"/>
    <mergeCell ref="A26:A27"/>
    <mergeCell ref="B26:B27"/>
    <mergeCell ref="C26:C27"/>
    <mergeCell ref="D26:D27"/>
    <mergeCell ref="E26:E27"/>
    <mergeCell ref="L26:L27"/>
    <mergeCell ref="M26:M27"/>
    <mergeCell ref="I26:I27"/>
    <mergeCell ref="J26:J27"/>
    <mergeCell ref="K26:K27"/>
    <mergeCell ref="A24:A25"/>
    <mergeCell ref="B24:B25"/>
    <mergeCell ref="C24:C25"/>
    <mergeCell ref="D24:D25"/>
    <mergeCell ref="E24:E25"/>
    <mergeCell ref="F24:F25"/>
    <mergeCell ref="G24:G25"/>
    <mergeCell ref="H24:H25"/>
    <mergeCell ref="J30:J31"/>
    <mergeCell ref="K30:K31"/>
    <mergeCell ref="F26:F27"/>
    <mergeCell ref="G26:G27"/>
    <mergeCell ref="H26:H27"/>
    <mergeCell ref="I24:I25"/>
    <mergeCell ref="J24:J25"/>
    <mergeCell ref="K24:K25"/>
    <mergeCell ref="L24:L25"/>
    <mergeCell ref="F30:F31"/>
    <mergeCell ref="G30:G31"/>
    <mergeCell ref="H30:H31"/>
    <mergeCell ref="I28:I29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A28:A29"/>
    <mergeCell ref="B28:B29"/>
    <mergeCell ref="C28:C29"/>
    <mergeCell ref="D28:D29"/>
    <mergeCell ref="E28:E29"/>
    <mergeCell ref="F28:F29"/>
    <mergeCell ref="G28:G29"/>
    <mergeCell ref="H28:H29"/>
    <mergeCell ref="L30:L31"/>
    <mergeCell ref="M30:M31"/>
    <mergeCell ref="I30:I31"/>
    <mergeCell ref="F35:F36"/>
    <mergeCell ref="J37:J38"/>
    <mergeCell ref="K37:K38"/>
    <mergeCell ref="I32:I33"/>
    <mergeCell ref="J32:J33"/>
    <mergeCell ref="K32:K33"/>
    <mergeCell ref="L32:L33"/>
    <mergeCell ref="M32:M33"/>
    <mergeCell ref="A34:B34"/>
    <mergeCell ref="L37:L38"/>
    <mergeCell ref="M37:M38"/>
    <mergeCell ref="A32:A33"/>
    <mergeCell ref="B32:B33"/>
    <mergeCell ref="C32:C33"/>
    <mergeCell ref="D32:D33"/>
    <mergeCell ref="E32:E33"/>
    <mergeCell ref="F32:F33"/>
    <mergeCell ref="G32:G33"/>
    <mergeCell ref="H32:H33"/>
    <mergeCell ref="A41:A42"/>
    <mergeCell ref="B41:B42"/>
    <mergeCell ref="C41:C42"/>
    <mergeCell ref="M35:M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A39:A40"/>
    <mergeCell ref="B39:B40"/>
    <mergeCell ref="C39:C40"/>
    <mergeCell ref="D39:D40"/>
    <mergeCell ref="E39:E40"/>
    <mergeCell ref="F39:F40"/>
    <mergeCell ref="M39:M40"/>
    <mergeCell ref="G39:G40"/>
    <mergeCell ref="H39:H40"/>
    <mergeCell ref="I39:I40"/>
    <mergeCell ref="J39:J40"/>
    <mergeCell ref="K39:K40"/>
    <mergeCell ref="L39:L40"/>
    <mergeCell ref="M43:M44"/>
    <mergeCell ref="G43:G44"/>
    <mergeCell ref="H43:H44"/>
    <mergeCell ref="I43:I44"/>
    <mergeCell ref="J43:J44"/>
    <mergeCell ref="K43:K44"/>
    <mergeCell ref="L43:L44"/>
    <mergeCell ref="H41:H42"/>
    <mergeCell ref="I41:I42"/>
    <mergeCell ref="J41:J42"/>
    <mergeCell ref="K41:K42"/>
    <mergeCell ref="L41:L42"/>
    <mergeCell ref="M41:M42"/>
    <mergeCell ref="D41:D42"/>
    <mergeCell ref="E41:E42"/>
    <mergeCell ref="F41:F42"/>
    <mergeCell ref="G41:G42"/>
    <mergeCell ref="K45:K46"/>
    <mergeCell ref="L45:L46"/>
    <mergeCell ref="M45:M46"/>
    <mergeCell ref="A47:A48"/>
    <mergeCell ref="B47:B48"/>
    <mergeCell ref="C47:C48"/>
    <mergeCell ref="D47:D48"/>
    <mergeCell ref="E47:E48"/>
    <mergeCell ref="H45:H46"/>
    <mergeCell ref="I45:I46"/>
    <mergeCell ref="M47:M48"/>
    <mergeCell ref="G47:G48"/>
    <mergeCell ref="H47:H48"/>
    <mergeCell ref="I47:I48"/>
    <mergeCell ref="A43:A44"/>
    <mergeCell ref="B43:B44"/>
    <mergeCell ref="C43:C44"/>
    <mergeCell ref="D43:D44"/>
    <mergeCell ref="E43:E44"/>
    <mergeCell ref="F43:F44"/>
    <mergeCell ref="K47:K48"/>
    <mergeCell ref="L50:L51"/>
    <mergeCell ref="A45:A46"/>
    <mergeCell ref="B45:B46"/>
    <mergeCell ref="C45:C46"/>
    <mergeCell ref="D45:D46"/>
    <mergeCell ref="E45:E46"/>
    <mergeCell ref="F45:F46"/>
    <mergeCell ref="G45:G46"/>
    <mergeCell ref="A49:B49"/>
    <mergeCell ref="A50:A51"/>
    <mergeCell ref="B50:B51"/>
    <mergeCell ref="C50:C51"/>
    <mergeCell ref="D50:D51"/>
    <mergeCell ref="E50:E51"/>
    <mergeCell ref="G50:G51"/>
    <mergeCell ref="H50:H51"/>
    <mergeCell ref="I50:I51"/>
    <mergeCell ref="J45:J46"/>
    <mergeCell ref="K50:K51"/>
    <mergeCell ref="M50:M51"/>
    <mergeCell ref="A52:A53"/>
    <mergeCell ref="B52:B53"/>
    <mergeCell ref="C52:C53"/>
    <mergeCell ref="E52:E53"/>
    <mergeCell ref="F52:F53"/>
    <mergeCell ref="M52:M53"/>
    <mergeCell ref="G52:G53"/>
    <mergeCell ref="H52:H53"/>
    <mergeCell ref="I52:I53"/>
    <mergeCell ref="J52:J53"/>
    <mergeCell ref="K52:K53"/>
    <mergeCell ref="L52:L53"/>
    <mergeCell ref="D52:D53"/>
    <mergeCell ref="F50:F51"/>
    <mergeCell ref="J50:J51"/>
    <mergeCell ref="J54:J55"/>
    <mergeCell ref="K54:K55"/>
    <mergeCell ref="L54:L55"/>
    <mergeCell ref="M54:M55"/>
    <mergeCell ref="A56:A57"/>
    <mergeCell ref="B56:B57"/>
    <mergeCell ref="C56:C57"/>
    <mergeCell ref="D56:D57"/>
    <mergeCell ref="E56:E57"/>
    <mergeCell ref="F56:F57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L58:L59"/>
    <mergeCell ref="M58:M59"/>
    <mergeCell ref="A60:A61"/>
    <mergeCell ref="B60:B61"/>
    <mergeCell ref="C60:C61"/>
    <mergeCell ref="D60:D61"/>
    <mergeCell ref="E60:E61"/>
    <mergeCell ref="F60:F61"/>
    <mergeCell ref="M56:M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G56:G57"/>
    <mergeCell ref="H56:H57"/>
    <mergeCell ref="I56:I57"/>
    <mergeCell ref="J56:J57"/>
    <mergeCell ref="K56:K57"/>
    <mergeCell ref="L56:L57"/>
    <mergeCell ref="A64:B64"/>
    <mergeCell ref="B20:B21"/>
    <mergeCell ref="J62:J63"/>
    <mergeCell ref="K62:K63"/>
    <mergeCell ref="L62:L63"/>
    <mergeCell ref="M62:M63"/>
    <mergeCell ref="M60:M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G60:G61"/>
    <mergeCell ref="H60:H61"/>
    <mergeCell ref="I60:I61"/>
    <mergeCell ref="J60:J61"/>
    <mergeCell ref="K60:K61"/>
    <mergeCell ref="L60:L61"/>
    <mergeCell ref="J58:J59"/>
    <mergeCell ref="K58:K59"/>
  </mergeCells>
  <phoneticPr fontId="26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08E4-AAB6-4615-AF0E-D3C4E8E819A9}">
  <dimension ref="A1:O70"/>
  <sheetViews>
    <sheetView zoomScale="18" zoomScaleNormal="25" workbookViewId="0">
      <selection activeCell="I56" sqref="I56:I57"/>
    </sheetView>
  </sheetViews>
  <sheetFormatPr defaultColWidth="9.140625" defaultRowHeight="15" x14ac:dyDescent="0.25"/>
  <cols>
    <col min="1" max="1" width="41.28515625" bestFit="1" customWidth="1"/>
    <col min="2" max="2" width="32.28515625" bestFit="1" customWidth="1"/>
    <col min="3" max="3" width="52.7109375" hidden="1" customWidth="1"/>
    <col min="4" max="4" width="72.28515625" hidden="1" customWidth="1"/>
    <col min="5" max="5" width="57.28515625" hidden="1" customWidth="1"/>
    <col min="6" max="6" width="52.5703125" hidden="1" customWidth="1"/>
    <col min="7" max="7" width="65.28515625" hidden="1" customWidth="1"/>
    <col min="8" max="8" width="75.7109375" customWidth="1"/>
    <col min="9" max="9" width="73.85546875" customWidth="1"/>
    <col min="10" max="11" width="17.7109375" hidden="1" customWidth="1"/>
    <col min="12" max="12" width="22.42578125" customWidth="1"/>
    <col min="13" max="13" width="50.85546875" customWidth="1"/>
    <col min="14" max="14" width="28.7109375" customWidth="1"/>
    <col min="15" max="15" width="97.5703125" style="57" bestFit="1" customWidth="1"/>
  </cols>
  <sheetData>
    <row r="1" spans="1:15" ht="311.25" customHeight="1" x14ac:dyDescent="0.25">
      <c r="A1" s="176" t="s">
        <v>99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15" ht="60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49"/>
      <c r="K2" s="49"/>
      <c r="L2" s="181" t="s">
        <v>8</v>
      </c>
      <c r="M2" s="181" t="s">
        <v>9</v>
      </c>
      <c r="N2" s="182" t="s">
        <v>10</v>
      </c>
      <c r="O2" s="183" t="s">
        <v>11</v>
      </c>
    </row>
    <row r="3" spans="1:15" ht="110.25" customHeight="1" x14ac:dyDescent="0.25">
      <c r="A3" s="177"/>
      <c r="B3" s="177"/>
      <c r="C3" s="50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4" t="s">
        <v>7</v>
      </c>
      <c r="K3" s="184"/>
      <c r="L3" s="181"/>
      <c r="M3" s="181"/>
      <c r="N3" s="182"/>
      <c r="O3" s="183"/>
    </row>
    <row r="4" spans="1:15" ht="48" hidden="1" customHeight="1" x14ac:dyDescent="0.25">
      <c r="A4" s="171" t="s">
        <v>20</v>
      </c>
      <c r="B4" s="171"/>
      <c r="C4" s="52">
        <f t="shared" ref="C4:H4" si="0">SUBTOTAL(9,C5:C18)</f>
        <v>2115666</v>
      </c>
      <c r="D4" s="52">
        <f t="shared" si="0"/>
        <v>4092522</v>
      </c>
      <c r="E4" s="52">
        <f t="shared" si="0"/>
        <v>84542166</v>
      </c>
      <c r="F4" s="52">
        <f t="shared" si="0"/>
        <v>76234999</v>
      </c>
      <c r="G4" s="52">
        <f t="shared" si="0"/>
        <v>0</v>
      </c>
      <c r="H4" s="52">
        <f t="shared" si="0"/>
        <v>144630719.9134199</v>
      </c>
      <c r="I4" s="52">
        <f>SUM(I5:K18)</f>
        <v>166985353</v>
      </c>
      <c r="J4" s="52">
        <f>SUBTOTAL(9,J5:J18)</f>
        <v>0</v>
      </c>
      <c r="K4" s="52">
        <f>SUBTOTAL(9,K5:K18)</f>
        <v>0</v>
      </c>
      <c r="L4" s="52">
        <f>SUBTOTAL(9,L5:L18)</f>
        <v>132</v>
      </c>
      <c r="M4" s="52">
        <f>I4/L4</f>
        <v>1265040.553030303</v>
      </c>
      <c r="N4" s="52">
        <f>SUBTOTAL(9,N5:N18)</f>
        <v>51</v>
      </c>
      <c r="O4" s="55"/>
    </row>
    <row r="5" spans="1:15" ht="27" hidden="1" customHeight="1" x14ac:dyDescent="0.25">
      <c r="A5" s="162">
        <v>45870</v>
      </c>
      <c r="B5" s="163" t="s">
        <v>23</v>
      </c>
      <c r="C5" s="159"/>
      <c r="D5" s="159"/>
      <c r="E5" s="159">
        <v>7599396</v>
      </c>
      <c r="F5" s="159">
        <v>23275067</v>
      </c>
      <c r="G5" s="159"/>
      <c r="H5" s="159">
        <f>I5/1.155</f>
        <v>26731136.796536796</v>
      </c>
      <c r="I5" s="161">
        <f>SUM(C5:G6)</f>
        <v>30874463</v>
      </c>
      <c r="J5" s="159"/>
      <c r="K5" s="159"/>
      <c r="L5" s="159">
        <v>12</v>
      </c>
      <c r="M5" s="159">
        <f>I5/L5</f>
        <v>2572871.9166666665</v>
      </c>
      <c r="N5" s="159">
        <v>6</v>
      </c>
      <c r="O5" s="165"/>
    </row>
    <row r="6" spans="1:15" ht="27.75" hidden="1" customHeight="1" x14ac:dyDescent="0.25">
      <c r="A6" s="162"/>
      <c r="B6" s="164"/>
      <c r="C6" s="160"/>
      <c r="D6" s="160"/>
      <c r="E6" s="160"/>
      <c r="F6" s="160"/>
      <c r="G6" s="160"/>
      <c r="H6" s="160"/>
      <c r="I6" s="161"/>
      <c r="J6" s="160"/>
      <c r="K6" s="160"/>
      <c r="L6" s="160"/>
      <c r="M6" s="160"/>
      <c r="N6" s="160"/>
      <c r="O6" s="166"/>
    </row>
    <row r="7" spans="1:15" ht="27" hidden="1" customHeight="1" x14ac:dyDescent="0.25">
      <c r="A7" s="162">
        <v>45871</v>
      </c>
      <c r="B7" s="163" t="s">
        <v>25</v>
      </c>
      <c r="C7" s="161">
        <v>424116</v>
      </c>
      <c r="D7" s="161">
        <f>25632653-23275067</f>
        <v>2357586</v>
      </c>
      <c r="E7" s="161">
        <v>23810262</v>
      </c>
      <c r="F7" s="161">
        <v>9204678</v>
      </c>
      <c r="G7" s="161"/>
      <c r="H7" s="159">
        <f>I7/1.155</f>
        <v>30992763.636363637</v>
      </c>
      <c r="I7" s="161">
        <f>SUM(C7:G8)</f>
        <v>35796642</v>
      </c>
      <c r="J7" s="161"/>
      <c r="K7" s="161"/>
      <c r="L7" s="161">
        <v>29</v>
      </c>
      <c r="M7" s="159">
        <f>I7/L7</f>
        <v>1234366.9655172413</v>
      </c>
      <c r="N7" s="161">
        <v>11</v>
      </c>
      <c r="O7" s="165" t="s">
        <v>59</v>
      </c>
    </row>
    <row r="8" spans="1:15" ht="27" hidden="1" customHeight="1" x14ac:dyDescent="0.25">
      <c r="A8" s="162"/>
      <c r="B8" s="164"/>
      <c r="C8" s="161"/>
      <c r="D8" s="161"/>
      <c r="E8" s="161"/>
      <c r="F8" s="161"/>
      <c r="G8" s="161"/>
      <c r="H8" s="160"/>
      <c r="I8" s="161"/>
      <c r="J8" s="161"/>
      <c r="K8" s="161"/>
      <c r="L8" s="161"/>
      <c r="M8" s="160"/>
      <c r="N8" s="161"/>
      <c r="O8" s="166"/>
    </row>
    <row r="9" spans="1:15" ht="27" hidden="1" customHeight="1" x14ac:dyDescent="0.25">
      <c r="A9" s="162">
        <v>45872</v>
      </c>
      <c r="B9" s="163" t="s">
        <v>27</v>
      </c>
      <c r="C9" s="161">
        <v>515550</v>
      </c>
      <c r="D9" s="161">
        <v>1734936</v>
      </c>
      <c r="E9" s="161">
        <v>7837536</v>
      </c>
      <c r="F9" s="161">
        <f>2658436+453600</f>
        <v>3112036</v>
      </c>
      <c r="G9" s="161"/>
      <c r="H9" s="159">
        <f>I9/1.155</f>
        <v>11428621.645021645</v>
      </c>
      <c r="I9" s="161">
        <f>SUM(C9:G10)</f>
        <v>13200058</v>
      </c>
      <c r="J9" s="161"/>
      <c r="K9" s="161"/>
      <c r="L9" s="161">
        <v>16</v>
      </c>
      <c r="M9" s="159">
        <f>I9/L9</f>
        <v>825003.625</v>
      </c>
      <c r="N9" s="161">
        <v>9</v>
      </c>
      <c r="O9" s="165"/>
    </row>
    <row r="10" spans="1:15" ht="27" hidden="1" customHeight="1" x14ac:dyDescent="0.25">
      <c r="A10" s="162"/>
      <c r="B10" s="164"/>
      <c r="C10" s="161"/>
      <c r="D10" s="161"/>
      <c r="E10" s="161"/>
      <c r="F10" s="161"/>
      <c r="G10" s="161"/>
      <c r="H10" s="160"/>
      <c r="I10" s="161"/>
      <c r="J10" s="161"/>
      <c r="K10" s="161"/>
      <c r="L10" s="161"/>
      <c r="M10" s="160"/>
      <c r="N10" s="161"/>
      <c r="O10" s="166"/>
    </row>
    <row r="11" spans="1:15" ht="27" hidden="1" customHeight="1" x14ac:dyDescent="0.25">
      <c r="A11" s="162">
        <v>45873</v>
      </c>
      <c r="B11" s="163" t="s">
        <v>30</v>
      </c>
      <c r="C11" s="161"/>
      <c r="D11" s="161"/>
      <c r="E11" s="161">
        <v>6420784</v>
      </c>
      <c r="F11" s="161">
        <v>28762300</v>
      </c>
      <c r="G11" s="161"/>
      <c r="H11" s="159">
        <f>I11/1.155</f>
        <v>30461544.588744588</v>
      </c>
      <c r="I11" s="161">
        <f>SUM(C11:G12)</f>
        <v>35183084</v>
      </c>
      <c r="J11" s="161"/>
      <c r="K11" s="161"/>
      <c r="L11" s="161">
        <v>23</v>
      </c>
      <c r="M11" s="159">
        <f>I11/L11</f>
        <v>1529699.3043478262</v>
      </c>
      <c r="N11" s="161">
        <v>5</v>
      </c>
      <c r="O11" s="165" t="s">
        <v>98</v>
      </c>
    </row>
    <row r="12" spans="1:15" ht="27" hidden="1" customHeight="1" x14ac:dyDescent="0.25">
      <c r="A12" s="162"/>
      <c r="B12" s="164"/>
      <c r="C12" s="161"/>
      <c r="D12" s="161"/>
      <c r="E12" s="161"/>
      <c r="F12" s="161"/>
      <c r="G12" s="161"/>
      <c r="H12" s="160"/>
      <c r="I12" s="161"/>
      <c r="J12" s="161"/>
      <c r="K12" s="161"/>
      <c r="L12" s="161"/>
      <c r="M12" s="160"/>
      <c r="N12" s="161"/>
      <c r="O12" s="166"/>
    </row>
    <row r="13" spans="1:15" ht="27" hidden="1" customHeight="1" x14ac:dyDescent="0.25">
      <c r="A13" s="162">
        <v>45874</v>
      </c>
      <c r="B13" s="163" t="s">
        <v>31</v>
      </c>
      <c r="C13" s="161"/>
      <c r="D13" s="161"/>
      <c r="E13" s="161">
        <v>26078657</v>
      </c>
      <c r="F13" s="161">
        <v>11880918</v>
      </c>
      <c r="G13" s="161"/>
      <c r="H13" s="159">
        <f>I13/1.155</f>
        <v>32865432.9004329</v>
      </c>
      <c r="I13" s="161">
        <f>SUM(C13:G14)</f>
        <v>37959575</v>
      </c>
      <c r="J13" s="161"/>
      <c r="K13" s="161"/>
      <c r="L13" s="161">
        <v>32</v>
      </c>
      <c r="M13" s="159">
        <f>I13/L13</f>
        <v>1186236.71875</v>
      </c>
      <c r="N13" s="161">
        <v>9</v>
      </c>
      <c r="O13" s="165" t="s">
        <v>59</v>
      </c>
    </row>
    <row r="14" spans="1:15" ht="27" hidden="1" customHeight="1" x14ac:dyDescent="0.25">
      <c r="A14" s="162"/>
      <c r="B14" s="164"/>
      <c r="C14" s="161"/>
      <c r="D14" s="161"/>
      <c r="E14" s="161"/>
      <c r="F14" s="161"/>
      <c r="G14" s="161"/>
      <c r="H14" s="160"/>
      <c r="I14" s="161"/>
      <c r="J14" s="161"/>
      <c r="K14" s="161"/>
      <c r="L14" s="161"/>
      <c r="M14" s="160"/>
      <c r="N14" s="161"/>
      <c r="O14" s="166"/>
    </row>
    <row r="15" spans="1:15" ht="27" hidden="1" customHeight="1" x14ac:dyDescent="0.25">
      <c r="A15" s="162">
        <v>45875</v>
      </c>
      <c r="B15" s="163" t="s">
        <v>32</v>
      </c>
      <c r="C15" s="161">
        <v>881160</v>
      </c>
      <c r="D15" s="161"/>
      <c r="E15" s="161">
        <v>9127054</v>
      </c>
      <c r="F15" s="161"/>
      <c r="G15" s="161"/>
      <c r="H15" s="159">
        <f>I15/1.155</f>
        <v>8665120.346320346</v>
      </c>
      <c r="I15" s="161">
        <f>SUM(C15:G16)</f>
        <v>10008214</v>
      </c>
      <c r="J15" s="161"/>
      <c r="K15" s="161"/>
      <c r="L15" s="161">
        <v>16</v>
      </c>
      <c r="M15" s="159">
        <f>I15/L15</f>
        <v>625513.375</v>
      </c>
      <c r="N15" s="161">
        <v>6</v>
      </c>
      <c r="O15" s="165"/>
    </row>
    <row r="16" spans="1:15" ht="27" hidden="1" customHeight="1" x14ac:dyDescent="0.25">
      <c r="A16" s="162"/>
      <c r="B16" s="164"/>
      <c r="C16" s="161"/>
      <c r="D16" s="161"/>
      <c r="E16" s="161"/>
      <c r="F16" s="161"/>
      <c r="G16" s="161"/>
      <c r="H16" s="160"/>
      <c r="I16" s="161"/>
      <c r="J16" s="161"/>
      <c r="K16" s="161"/>
      <c r="L16" s="161"/>
      <c r="M16" s="160"/>
      <c r="N16" s="161"/>
      <c r="O16" s="166"/>
    </row>
    <row r="17" spans="1:15" ht="27" hidden="1" customHeight="1" x14ac:dyDescent="0.25">
      <c r="A17" s="162">
        <v>45876</v>
      </c>
      <c r="B17" s="163" t="s">
        <v>21</v>
      </c>
      <c r="C17" s="161">
        <v>294840</v>
      </c>
      <c r="D17" s="161"/>
      <c r="E17" s="161">
        <v>3668477</v>
      </c>
      <c r="F17" s="161"/>
      <c r="G17" s="161"/>
      <c r="H17" s="161">
        <f>3796000-309900</f>
        <v>3486100</v>
      </c>
      <c r="I17" s="161">
        <f>SUM(C17:G18)</f>
        <v>3963317</v>
      </c>
      <c r="J17" s="161"/>
      <c r="K17" s="161"/>
      <c r="L17" s="161">
        <v>4</v>
      </c>
      <c r="M17" s="159">
        <f>I17/L17</f>
        <v>990829.25</v>
      </c>
      <c r="N17" s="161">
        <v>5</v>
      </c>
      <c r="O17" s="165"/>
    </row>
    <row r="18" spans="1:15" ht="80.25" hidden="1" customHeight="1" x14ac:dyDescent="0.25">
      <c r="A18" s="162"/>
      <c r="B18" s="164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0"/>
      <c r="N18" s="161"/>
      <c r="O18" s="166"/>
    </row>
    <row r="19" spans="1:15" ht="45" hidden="1" x14ac:dyDescent="0.25">
      <c r="A19" s="171" t="s">
        <v>29</v>
      </c>
      <c r="B19" s="171"/>
      <c r="C19" s="52">
        <f t="shared" ref="C19:H19" si="1">SUBTOTAL(9,C20:C33)</f>
        <v>16048578</v>
      </c>
      <c r="D19" s="52">
        <f t="shared" si="1"/>
        <v>112434882</v>
      </c>
      <c r="E19" s="52">
        <f t="shared" si="1"/>
        <v>60320946</v>
      </c>
      <c r="F19" s="52">
        <f t="shared" si="1"/>
        <v>146746040</v>
      </c>
      <c r="G19" s="52">
        <f t="shared" si="1"/>
        <v>0</v>
      </c>
      <c r="H19" s="52">
        <f t="shared" si="1"/>
        <v>294835014.06926405</v>
      </c>
      <c r="I19" s="52">
        <f>SUM(I20:K33)</f>
        <v>335550446</v>
      </c>
      <c r="J19" s="52">
        <f>SUBTOTAL(9,J20:J33)</f>
        <v>0</v>
      </c>
      <c r="K19" s="52">
        <f>SUBTOTAL(9,K20:K33)</f>
        <v>0</v>
      </c>
      <c r="L19" s="52">
        <f>SUBTOTAL(9,L20:L33)</f>
        <v>236</v>
      </c>
      <c r="M19" s="52">
        <f>I19/L19</f>
        <v>1421823.9237288137</v>
      </c>
      <c r="N19" s="52">
        <f>SUBTOTAL(9,N20:N33)</f>
        <v>37</v>
      </c>
      <c r="O19" s="55"/>
    </row>
    <row r="20" spans="1:15" ht="27" hidden="1" customHeight="1" x14ac:dyDescent="0.25">
      <c r="A20" s="162">
        <v>45877</v>
      </c>
      <c r="B20" s="163" t="s">
        <v>23</v>
      </c>
      <c r="C20" s="161"/>
      <c r="D20" s="161">
        <v>103194000</v>
      </c>
      <c r="E20" s="161"/>
      <c r="F20" s="161">
        <v>130963602</v>
      </c>
      <c r="G20" s="161"/>
      <c r="H20" s="161">
        <v>206303000</v>
      </c>
      <c r="I20" s="161">
        <f>SUM(D20:G21)</f>
        <v>234157602</v>
      </c>
      <c r="J20" s="161"/>
      <c r="K20" s="161"/>
      <c r="L20" s="161">
        <v>150</v>
      </c>
      <c r="M20" s="161">
        <f>I20/L20</f>
        <v>1561050.68</v>
      </c>
      <c r="N20" s="161">
        <v>2</v>
      </c>
      <c r="O20" s="166"/>
    </row>
    <row r="21" spans="1:15" ht="27" hidden="1" customHeight="1" x14ac:dyDescent="0.25">
      <c r="A21" s="162"/>
      <c r="B21" s="164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6"/>
    </row>
    <row r="22" spans="1:15" ht="27" hidden="1" customHeight="1" x14ac:dyDescent="0.25">
      <c r="A22" s="162">
        <v>45878</v>
      </c>
      <c r="B22" s="163" t="s">
        <v>25</v>
      </c>
      <c r="C22" s="161">
        <v>13010592</v>
      </c>
      <c r="D22" s="161">
        <v>3273858</v>
      </c>
      <c r="E22" s="161">
        <v>5554878</v>
      </c>
      <c r="F22" s="161"/>
      <c r="G22" s="161"/>
      <c r="H22" s="161">
        <v>19217000</v>
      </c>
      <c r="I22" s="161">
        <f>SUM(C22:G23)</f>
        <v>21839328</v>
      </c>
      <c r="J22" s="161"/>
      <c r="K22" s="161"/>
      <c r="L22" s="161">
        <v>14</v>
      </c>
      <c r="M22" s="161">
        <f>I22/L22</f>
        <v>1559952</v>
      </c>
      <c r="N22" s="161">
        <v>7</v>
      </c>
      <c r="O22" s="166"/>
    </row>
    <row r="23" spans="1:15" ht="27" hidden="1" customHeight="1" x14ac:dyDescent="0.25">
      <c r="A23" s="162"/>
      <c r="B23" s="16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6"/>
    </row>
    <row r="24" spans="1:15" ht="81" hidden="1" customHeight="1" x14ac:dyDescent="0.25">
      <c r="A24" s="162">
        <v>45879</v>
      </c>
      <c r="B24" s="163" t="s">
        <v>27</v>
      </c>
      <c r="C24" s="161">
        <v>3037986</v>
      </c>
      <c r="D24" s="161"/>
      <c r="E24" s="161">
        <v>10145016</v>
      </c>
      <c r="F24" s="161">
        <f>7230989+3691464</f>
        <v>10922453</v>
      </c>
      <c r="G24" s="161"/>
      <c r="H24" s="159">
        <f>I24/1.155</f>
        <v>20870523.80952381</v>
      </c>
      <c r="I24" s="161">
        <f>SUM(C24:G25)</f>
        <v>24105455</v>
      </c>
      <c r="J24" s="161"/>
      <c r="K24" s="161"/>
      <c r="L24" s="161">
        <v>26</v>
      </c>
      <c r="M24" s="161">
        <f>I24/L24</f>
        <v>927132.88461538462</v>
      </c>
      <c r="N24" s="161">
        <v>6</v>
      </c>
      <c r="O24" s="165" t="s">
        <v>100</v>
      </c>
    </row>
    <row r="25" spans="1:15" ht="27" hidden="1" customHeight="1" x14ac:dyDescent="0.25">
      <c r="A25" s="162"/>
      <c r="B25" s="164"/>
      <c r="C25" s="161"/>
      <c r="D25" s="161"/>
      <c r="E25" s="161"/>
      <c r="F25" s="161"/>
      <c r="G25" s="161"/>
      <c r="H25" s="160"/>
      <c r="I25" s="161"/>
      <c r="J25" s="161"/>
      <c r="K25" s="161"/>
      <c r="L25" s="161"/>
      <c r="M25" s="161"/>
      <c r="N25" s="161"/>
      <c r="O25" s="166"/>
    </row>
    <row r="26" spans="1:15" ht="27" hidden="1" customHeight="1" x14ac:dyDescent="0.25">
      <c r="A26" s="162">
        <v>45880</v>
      </c>
      <c r="B26" s="163" t="s">
        <v>30</v>
      </c>
      <c r="C26" s="161"/>
      <c r="D26" s="161">
        <v>5967024</v>
      </c>
      <c r="E26" s="161">
        <v>1098846</v>
      </c>
      <c r="F26" s="161">
        <v>3607878</v>
      </c>
      <c r="G26" s="161"/>
      <c r="H26" s="159">
        <f>I26/1.155</f>
        <v>9241340.2597402595</v>
      </c>
      <c r="I26" s="161">
        <f>SUM(C26:G27)</f>
        <v>10673748</v>
      </c>
      <c r="J26" s="161"/>
      <c r="K26" s="161"/>
      <c r="L26" s="161">
        <v>17</v>
      </c>
      <c r="M26" s="161">
        <f>I26/L26</f>
        <v>627867.5294117647</v>
      </c>
      <c r="N26" s="161">
        <v>6</v>
      </c>
      <c r="O26" s="166" t="s">
        <v>61</v>
      </c>
    </row>
    <row r="27" spans="1:15" ht="27" hidden="1" customHeight="1" x14ac:dyDescent="0.25">
      <c r="A27" s="162"/>
      <c r="B27" s="164"/>
      <c r="C27" s="161"/>
      <c r="D27" s="161"/>
      <c r="E27" s="161"/>
      <c r="F27" s="161"/>
      <c r="G27" s="161"/>
      <c r="H27" s="160"/>
      <c r="I27" s="161"/>
      <c r="J27" s="161"/>
      <c r="K27" s="161"/>
      <c r="L27" s="161"/>
      <c r="M27" s="161"/>
      <c r="N27" s="161"/>
      <c r="O27" s="166"/>
    </row>
    <row r="28" spans="1:15" ht="27" hidden="1" customHeight="1" x14ac:dyDescent="0.25">
      <c r="A28" s="162">
        <v>45881</v>
      </c>
      <c r="B28" s="163" t="s">
        <v>31</v>
      </c>
      <c r="C28" s="161"/>
      <c r="D28" s="161"/>
      <c r="E28" s="161">
        <v>27692406</v>
      </c>
      <c r="F28" s="161"/>
      <c r="G28" s="161"/>
      <c r="H28" s="161">
        <v>24194000</v>
      </c>
      <c r="I28" s="161">
        <f>SUM(C28:G29)</f>
        <v>27692406</v>
      </c>
      <c r="J28" s="161"/>
      <c r="K28" s="161"/>
      <c r="L28" s="161">
        <v>15</v>
      </c>
      <c r="M28" s="161">
        <f>I28/L28</f>
        <v>1846160.4</v>
      </c>
      <c r="N28" s="161">
        <v>4</v>
      </c>
      <c r="O28" s="166"/>
    </row>
    <row r="29" spans="1:15" ht="42" hidden="1" customHeight="1" x14ac:dyDescent="0.25">
      <c r="A29" s="162"/>
      <c r="B29" s="16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6"/>
    </row>
    <row r="30" spans="1:15" ht="27" hidden="1" customHeight="1" x14ac:dyDescent="0.25">
      <c r="A30" s="162">
        <v>45882</v>
      </c>
      <c r="B30" s="163" t="s">
        <v>32</v>
      </c>
      <c r="C30" s="161"/>
      <c r="D30" s="161"/>
      <c r="E30" s="161">
        <v>7150290</v>
      </c>
      <c r="F30" s="161"/>
      <c r="G30" s="161"/>
      <c r="H30" s="161">
        <v>6280000</v>
      </c>
      <c r="I30" s="161">
        <f>SUM(C30:G31)</f>
        <v>7150290</v>
      </c>
      <c r="J30" s="161"/>
      <c r="K30" s="161"/>
      <c r="L30" s="161">
        <v>10</v>
      </c>
      <c r="M30" s="161">
        <f>I30/L30</f>
        <v>715029</v>
      </c>
      <c r="N30" s="161">
        <v>5</v>
      </c>
      <c r="O30" s="165"/>
    </row>
    <row r="31" spans="1:15" ht="51" hidden="1" customHeight="1" x14ac:dyDescent="0.25">
      <c r="A31" s="162"/>
      <c r="B31" s="164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6"/>
    </row>
    <row r="32" spans="1:15" ht="60.75" hidden="1" customHeight="1" x14ac:dyDescent="0.25">
      <c r="A32" s="162">
        <v>45883</v>
      </c>
      <c r="B32" s="163" t="s">
        <v>21</v>
      </c>
      <c r="C32" s="161"/>
      <c r="D32" s="161"/>
      <c r="E32" s="161">
        <v>8679510</v>
      </c>
      <c r="F32" s="161">
        <v>1252107</v>
      </c>
      <c r="G32" s="161"/>
      <c r="H32" s="161">
        <f>8924000-194850</f>
        <v>8729150</v>
      </c>
      <c r="I32" s="161">
        <f>SUM(C32:G33)</f>
        <v>9931617</v>
      </c>
      <c r="J32" s="161"/>
      <c r="K32" s="161"/>
      <c r="L32" s="161">
        <v>4</v>
      </c>
      <c r="M32" s="161">
        <f>I32/L32</f>
        <v>2482904.25</v>
      </c>
      <c r="N32" s="161">
        <v>7</v>
      </c>
      <c r="O32" s="169" t="s">
        <v>61</v>
      </c>
    </row>
    <row r="33" spans="1:15" ht="27" hidden="1" customHeight="1" x14ac:dyDescent="0.25">
      <c r="A33" s="162"/>
      <c r="B33" s="16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70"/>
    </row>
    <row r="34" spans="1:15" ht="45" hidden="1" x14ac:dyDescent="0.25">
      <c r="A34" s="171" t="s">
        <v>34</v>
      </c>
      <c r="B34" s="171"/>
      <c r="C34" s="52">
        <f>SUM(C35:C54)</f>
        <v>184800</v>
      </c>
      <c r="D34" s="52">
        <f t="shared" ref="D34:H34" si="2">SUM(D35:D54)</f>
        <v>262828571</v>
      </c>
      <c r="E34" s="52">
        <f t="shared" si="2"/>
        <v>85190085</v>
      </c>
      <c r="F34" s="52">
        <f t="shared" si="2"/>
        <v>82446998</v>
      </c>
      <c r="G34" s="52">
        <f t="shared" si="2"/>
        <v>25360027</v>
      </c>
      <c r="H34" s="52">
        <f t="shared" si="2"/>
        <v>412921349.78354979</v>
      </c>
      <c r="I34" s="52">
        <f>SUM(I35:I54)</f>
        <v>456010481</v>
      </c>
      <c r="J34" s="52">
        <f>SUM(J35:J48)</f>
        <v>0</v>
      </c>
      <c r="K34" s="52">
        <f>SUM(K35:K48)</f>
        <v>0</v>
      </c>
      <c r="L34" s="52">
        <f>SUM(L35:L48)</f>
        <v>120</v>
      </c>
      <c r="M34" s="52">
        <f>I34/L34</f>
        <v>3800087.3416666668</v>
      </c>
      <c r="N34" s="52">
        <f>SUM(N35:N48)</f>
        <v>48</v>
      </c>
      <c r="O34" s="55"/>
    </row>
    <row r="35" spans="1:15" ht="27" hidden="1" customHeight="1" x14ac:dyDescent="0.25">
      <c r="A35" s="162">
        <v>45884</v>
      </c>
      <c r="B35" s="163" t="s">
        <v>23</v>
      </c>
      <c r="C35" s="161"/>
      <c r="D35" s="161">
        <v>9458971</v>
      </c>
      <c r="E35" s="161">
        <v>23489382</v>
      </c>
      <c r="F35" s="161"/>
      <c r="G35" s="161"/>
      <c r="H35" s="161">
        <f>29249000-469200</f>
        <v>28779800</v>
      </c>
      <c r="I35" s="161">
        <f>SUM(C35:G36)</f>
        <v>32948353</v>
      </c>
      <c r="J35" s="161"/>
      <c r="K35" s="161"/>
      <c r="L35" s="161">
        <v>18</v>
      </c>
      <c r="M35" s="161">
        <f>I35/L35</f>
        <v>1830464.0555555555</v>
      </c>
      <c r="N35" s="161">
        <v>8</v>
      </c>
      <c r="O35" s="166"/>
    </row>
    <row r="36" spans="1:15" ht="27" hidden="1" customHeight="1" x14ac:dyDescent="0.25">
      <c r="A36" s="162"/>
      <c r="B36" s="16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6"/>
    </row>
    <row r="37" spans="1:15" ht="27" hidden="1" customHeight="1" x14ac:dyDescent="0.25">
      <c r="A37" s="162">
        <v>45885</v>
      </c>
      <c r="B37" s="163" t="s">
        <v>25</v>
      </c>
      <c r="C37" s="161"/>
      <c r="D37" s="161"/>
      <c r="E37" s="161">
        <v>14396088</v>
      </c>
      <c r="F37" s="161"/>
      <c r="G37" s="161"/>
      <c r="H37" s="161">
        <v>12647000</v>
      </c>
      <c r="I37" s="161">
        <f>SUM(C37:G38)</f>
        <v>14396088</v>
      </c>
      <c r="J37" s="161"/>
      <c r="K37" s="161"/>
      <c r="L37" s="161">
        <v>7</v>
      </c>
      <c r="M37" s="161">
        <f>I37/L37</f>
        <v>2056584</v>
      </c>
      <c r="N37" s="161">
        <v>5</v>
      </c>
      <c r="O37" s="166"/>
    </row>
    <row r="38" spans="1:15" ht="27" hidden="1" customHeight="1" x14ac:dyDescent="0.25">
      <c r="A38" s="162"/>
      <c r="B38" s="16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6"/>
    </row>
    <row r="39" spans="1:15" ht="27" hidden="1" customHeight="1" x14ac:dyDescent="0.25">
      <c r="A39" s="162">
        <v>45886</v>
      </c>
      <c r="B39" s="163" t="s">
        <v>27</v>
      </c>
      <c r="C39" s="161"/>
      <c r="D39" s="161">
        <v>9398989</v>
      </c>
      <c r="E39" s="161">
        <v>3831390</v>
      </c>
      <c r="F39" s="159"/>
      <c r="G39" s="161"/>
      <c r="H39" s="161">
        <f>13338000-1671000</f>
        <v>11667000</v>
      </c>
      <c r="I39" s="161">
        <f>SUM(C39:G40)</f>
        <v>13230379</v>
      </c>
      <c r="J39" s="161"/>
      <c r="K39" s="161"/>
      <c r="L39" s="161">
        <v>8</v>
      </c>
      <c r="M39" s="161">
        <f>I39/L39</f>
        <v>1653797.375</v>
      </c>
      <c r="N39" s="161">
        <v>3</v>
      </c>
      <c r="O39" s="165"/>
    </row>
    <row r="40" spans="1:15" ht="27" hidden="1" customHeight="1" x14ac:dyDescent="0.25">
      <c r="A40" s="162"/>
      <c r="B40" s="164"/>
      <c r="C40" s="161"/>
      <c r="D40" s="161"/>
      <c r="E40" s="161"/>
      <c r="F40" s="160"/>
      <c r="G40" s="161"/>
      <c r="H40" s="161"/>
      <c r="I40" s="161"/>
      <c r="J40" s="161"/>
      <c r="K40" s="161"/>
      <c r="L40" s="161"/>
      <c r="M40" s="161"/>
      <c r="N40" s="161"/>
      <c r="O40" s="166"/>
    </row>
    <row r="41" spans="1:15" ht="27" hidden="1" customHeight="1" x14ac:dyDescent="0.25">
      <c r="A41" s="162">
        <v>45887</v>
      </c>
      <c r="B41" s="163" t="s">
        <v>30</v>
      </c>
      <c r="C41" s="161"/>
      <c r="D41" s="161">
        <v>799074</v>
      </c>
      <c r="E41" s="161">
        <v>5798100</v>
      </c>
      <c r="F41" s="161"/>
      <c r="G41" s="161">
        <v>19626478</v>
      </c>
      <c r="H41" s="161">
        <v>23387000</v>
      </c>
      <c r="I41" s="161">
        <f>SUM(C41:G42)</f>
        <v>26223652</v>
      </c>
      <c r="J41" s="161"/>
      <c r="K41" s="161"/>
      <c r="L41" s="161">
        <v>12</v>
      </c>
      <c r="M41" s="161">
        <f>I41/L41</f>
        <v>2185304.3333333335</v>
      </c>
      <c r="N41" s="161">
        <v>8</v>
      </c>
      <c r="O41" s="166"/>
    </row>
    <row r="42" spans="1:15" ht="27" hidden="1" customHeight="1" x14ac:dyDescent="0.25">
      <c r="A42" s="162"/>
      <c r="B42" s="16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6"/>
    </row>
    <row r="43" spans="1:15" ht="27" hidden="1" customHeight="1" x14ac:dyDescent="0.25">
      <c r="A43" s="162">
        <v>45888</v>
      </c>
      <c r="B43" s="163" t="s">
        <v>31</v>
      </c>
      <c r="C43" s="161">
        <v>184800</v>
      </c>
      <c r="D43" s="161">
        <v>19919172</v>
      </c>
      <c r="E43" s="161">
        <v>2032170</v>
      </c>
      <c r="F43" s="161">
        <v>15950277</v>
      </c>
      <c r="G43" s="161">
        <v>2909175</v>
      </c>
      <c r="H43" s="161">
        <f>I43/1.155</f>
        <v>35494020.779220775</v>
      </c>
      <c r="I43" s="161">
        <f>SUM(C43:G44)</f>
        <v>40995594</v>
      </c>
      <c r="J43" s="161"/>
      <c r="K43" s="161"/>
      <c r="L43" s="161">
        <v>21</v>
      </c>
      <c r="M43" s="161">
        <f>I43/L43</f>
        <v>1952171.142857143</v>
      </c>
      <c r="N43" s="161">
        <v>9</v>
      </c>
      <c r="O43" s="165"/>
    </row>
    <row r="44" spans="1:15" ht="27" hidden="1" customHeight="1" x14ac:dyDescent="0.25">
      <c r="A44" s="162"/>
      <c r="B44" s="16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6"/>
    </row>
    <row r="45" spans="1:15" ht="27" hidden="1" customHeight="1" x14ac:dyDescent="0.25">
      <c r="A45" s="162">
        <v>45889</v>
      </c>
      <c r="B45" s="163" t="s">
        <v>32</v>
      </c>
      <c r="C45" s="161"/>
      <c r="D45" s="161">
        <f>41641026-15950277</f>
        <v>25690749</v>
      </c>
      <c r="E45" s="161">
        <v>17559583</v>
      </c>
      <c r="F45" s="161">
        <v>65986421</v>
      </c>
      <c r="G45" s="161"/>
      <c r="H45" s="161">
        <f>I45/1.155</f>
        <v>94577275.324675322</v>
      </c>
      <c r="I45" s="161">
        <f>SUM(C45:G46)</f>
        <v>109236753</v>
      </c>
      <c r="J45" s="161"/>
      <c r="K45" s="161"/>
      <c r="L45" s="161">
        <v>45</v>
      </c>
      <c r="M45" s="161">
        <f>I45/L45</f>
        <v>2427483.4</v>
      </c>
      <c r="N45" s="161">
        <v>7</v>
      </c>
      <c r="O45" s="165"/>
    </row>
    <row r="46" spans="1:15" ht="27" hidden="1" customHeight="1" x14ac:dyDescent="0.25">
      <c r="A46" s="162"/>
      <c r="B46" s="164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6"/>
    </row>
    <row r="47" spans="1:15" ht="34.5" hidden="1" customHeight="1" x14ac:dyDescent="0.25">
      <c r="A47" s="162">
        <v>45890</v>
      </c>
      <c r="B47" s="163" t="s">
        <v>21</v>
      </c>
      <c r="C47" s="161"/>
      <c r="D47" s="161"/>
      <c r="E47" s="161">
        <v>13200788</v>
      </c>
      <c r="F47" s="161"/>
      <c r="G47" s="161"/>
      <c r="H47" s="161">
        <f>I47/1.155</f>
        <v>11429253.67965368</v>
      </c>
      <c r="I47" s="161">
        <f>SUM(C47:G48)</f>
        <v>13200788</v>
      </c>
      <c r="J47" s="161"/>
      <c r="K47" s="161"/>
      <c r="L47" s="161">
        <v>9</v>
      </c>
      <c r="M47" s="161">
        <f>I47/L47</f>
        <v>1466754.2222222222</v>
      </c>
      <c r="N47" s="161">
        <v>8</v>
      </c>
      <c r="O47" s="169"/>
    </row>
    <row r="48" spans="1:15" ht="27" hidden="1" customHeight="1" x14ac:dyDescent="0.25">
      <c r="A48" s="162"/>
      <c r="B48" s="16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70"/>
    </row>
    <row r="49" spans="1:15" ht="27" hidden="1" customHeight="1" x14ac:dyDescent="0.25">
      <c r="A49" s="162">
        <v>45891</v>
      </c>
      <c r="B49" s="163" t="s">
        <v>23</v>
      </c>
      <c r="C49" s="161"/>
      <c r="D49" s="161">
        <v>5753916</v>
      </c>
      <c r="E49" s="161"/>
      <c r="F49" s="161">
        <v>510300</v>
      </c>
      <c r="G49" s="161"/>
      <c r="H49" s="161">
        <v>5524000</v>
      </c>
      <c r="I49" s="161">
        <v>6264216</v>
      </c>
      <c r="J49" s="161"/>
      <c r="K49" s="161"/>
      <c r="L49" s="161">
        <v>3</v>
      </c>
      <c r="M49" s="161">
        <f>I49/L49</f>
        <v>2088072</v>
      </c>
      <c r="N49" s="161">
        <v>8</v>
      </c>
      <c r="O49" s="167" t="s">
        <v>101</v>
      </c>
    </row>
    <row r="50" spans="1:15" ht="27" hidden="1" customHeight="1" x14ac:dyDescent="0.25">
      <c r="A50" s="162"/>
      <c r="B50" s="164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6"/>
    </row>
    <row r="51" spans="1:15" ht="40.5" hidden="1" customHeight="1" x14ac:dyDescent="0.25">
      <c r="A51" s="162">
        <v>45892</v>
      </c>
      <c r="B51" s="163" t="s">
        <v>25</v>
      </c>
      <c r="C51" s="161"/>
      <c r="D51" s="161">
        <v>191807700</v>
      </c>
      <c r="E51" s="161"/>
      <c r="F51" s="161"/>
      <c r="G51" s="161"/>
      <c r="H51" s="161">
        <f>191807700/1.05</f>
        <v>182674000</v>
      </c>
      <c r="I51" s="161">
        <v>191807700</v>
      </c>
      <c r="J51" s="161"/>
      <c r="K51" s="161"/>
      <c r="L51" s="161">
        <v>107</v>
      </c>
      <c r="M51" s="161">
        <f>I51/L51</f>
        <v>1792595.3271028036</v>
      </c>
      <c r="N51" s="161">
        <v>1</v>
      </c>
      <c r="O51" s="165"/>
    </row>
    <row r="52" spans="1:15" ht="27" hidden="1" customHeight="1" x14ac:dyDescent="0.25">
      <c r="A52" s="162"/>
      <c r="B52" s="164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6"/>
    </row>
    <row r="53" spans="1:15" ht="27" hidden="1" customHeight="1" x14ac:dyDescent="0.25">
      <c r="A53" s="162">
        <v>45893</v>
      </c>
      <c r="B53" s="163" t="s">
        <v>27</v>
      </c>
      <c r="C53" s="161"/>
      <c r="D53" s="161"/>
      <c r="E53" s="161">
        <v>4882584</v>
      </c>
      <c r="F53" s="161"/>
      <c r="G53" s="161">
        <v>2824374</v>
      </c>
      <c r="H53" s="161">
        <f>6991000-249000</f>
        <v>6742000</v>
      </c>
      <c r="I53" s="161">
        <f>SUM(C53:G54)</f>
        <v>7706958</v>
      </c>
      <c r="J53" s="161"/>
      <c r="K53" s="161"/>
      <c r="L53" s="161">
        <v>6</v>
      </c>
      <c r="M53" s="161">
        <f>I53/L53</f>
        <v>1284493</v>
      </c>
      <c r="N53" s="161">
        <v>4</v>
      </c>
      <c r="O53" s="165"/>
    </row>
    <row r="54" spans="1:15" ht="27" hidden="1" customHeight="1" x14ac:dyDescent="0.25">
      <c r="A54" s="162"/>
      <c r="B54" s="164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6"/>
    </row>
    <row r="55" spans="1:15" ht="45" x14ac:dyDescent="0.25">
      <c r="A55" s="171" t="s">
        <v>36</v>
      </c>
      <c r="B55" s="171"/>
      <c r="C55" s="52">
        <f>SUM(C56:C69)</f>
        <v>2788506</v>
      </c>
      <c r="D55" s="52">
        <f t="shared" ref="D55:L55" si="3">SUM(D56:D69)</f>
        <v>0</v>
      </c>
      <c r="E55" s="52">
        <f t="shared" si="3"/>
        <v>78096035</v>
      </c>
      <c r="F55" s="52">
        <f t="shared" si="3"/>
        <v>85045988</v>
      </c>
      <c r="G55" s="52">
        <f t="shared" si="3"/>
        <v>2236440</v>
      </c>
      <c r="H55" s="52">
        <f t="shared" si="3"/>
        <v>145988238.09523809</v>
      </c>
      <c r="I55" s="52">
        <f t="shared" si="3"/>
        <v>165378463</v>
      </c>
      <c r="J55" s="52">
        <f t="shared" si="3"/>
        <v>0</v>
      </c>
      <c r="K55" s="52">
        <f t="shared" si="3"/>
        <v>0</v>
      </c>
      <c r="L55" s="52">
        <f t="shared" si="3"/>
        <v>97</v>
      </c>
      <c r="M55" s="52">
        <f>I55/L55</f>
        <v>1704932.6082474226</v>
      </c>
      <c r="N55" s="52">
        <f ca="1">SUM(N49:N67)</f>
        <v>0</v>
      </c>
      <c r="O55" s="52">
        <f ca="1">SUM(O49:O67)</f>
        <v>0</v>
      </c>
    </row>
    <row r="56" spans="1:15" ht="64.5" customHeight="1" x14ac:dyDescent="0.25">
      <c r="A56" s="162">
        <v>45894</v>
      </c>
      <c r="B56" s="163" t="s">
        <v>30</v>
      </c>
      <c r="C56" s="161"/>
      <c r="D56" s="161"/>
      <c r="E56" s="161">
        <v>9838290</v>
      </c>
      <c r="F56" s="161">
        <v>37418136</v>
      </c>
      <c r="G56" s="161"/>
      <c r="H56" s="161">
        <f>I56/1.155</f>
        <v>40914654.545454547</v>
      </c>
      <c r="I56" s="161">
        <f>F56+E56</f>
        <v>47256426</v>
      </c>
      <c r="J56" s="161"/>
      <c r="K56" s="161"/>
      <c r="L56" s="161">
        <v>18</v>
      </c>
      <c r="M56" s="161">
        <f>I56/L56</f>
        <v>2625357</v>
      </c>
      <c r="N56" s="161">
        <v>5</v>
      </c>
      <c r="O56" s="167" t="s">
        <v>102</v>
      </c>
    </row>
    <row r="57" spans="1:15" ht="51.75" customHeight="1" x14ac:dyDescent="0.25">
      <c r="A57" s="162"/>
      <c r="B57" s="16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6"/>
    </row>
    <row r="58" spans="1:15" ht="27" customHeight="1" x14ac:dyDescent="0.25">
      <c r="A58" s="162">
        <v>45895</v>
      </c>
      <c r="B58" s="163" t="s">
        <v>31</v>
      </c>
      <c r="C58" s="161"/>
      <c r="D58" s="161"/>
      <c r="E58" s="161">
        <v>5599751</v>
      </c>
      <c r="F58" s="161">
        <v>2840614</v>
      </c>
      <c r="G58" s="161"/>
      <c r="H58" s="161">
        <f>I58/1.155</f>
        <v>7307675.3246753244</v>
      </c>
      <c r="I58" s="161">
        <f>F58+E58</f>
        <v>8440365</v>
      </c>
      <c r="J58" s="161"/>
      <c r="K58" s="161"/>
      <c r="L58" s="161">
        <v>14</v>
      </c>
      <c r="M58" s="161">
        <f>I58/L58</f>
        <v>602883.21428571432</v>
      </c>
      <c r="N58" s="161">
        <v>6</v>
      </c>
      <c r="O58" s="167" t="s">
        <v>61</v>
      </c>
    </row>
    <row r="59" spans="1:15" ht="27" customHeight="1" x14ac:dyDescent="0.25">
      <c r="A59" s="162"/>
      <c r="B59" s="16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6"/>
    </row>
    <row r="60" spans="1:15" ht="27" customHeight="1" x14ac:dyDescent="0.25">
      <c r="A60" s="162">
        <v>45896</v>
      </c>
      <c r="B60" s="163" t="s">
        <v>32</v>
      </c>
      <c r="C60" s="161"/>
      <c r="D60" s="159"/>
      <c r="E60" s="159">
        <v>1882860</v>
      </c>
      <c r="F60" s="159">
        <v>31169351</v>
      </c>
      <c r="G60" s="159"/>
      <c r="H60" s="161">
        <f>I60/1.155</f>
        <v>28616632.9004329</v>
      </c>
      <c r="I60" s="161">
        <f>F60+E60</f>
        <v>33052211</v>
      </c>
      <c r="J60" s="159"/>
      <c r="K60" s="159"/>
      <c r="L60" s="159">
        <v>10</v>
      </c>
      <c r="M60" s="161">
        <f>I60/L60</f>
        <v>3305221.1</v>
      </c>
      <c r="N60" s="159">
        <v>3</v>
      </c>
      <c r="O60" s="168" t="s">
        <v>103</v>
      </c>
    </row>
    <row r="61" spans="1:15" ht="27" customHeight="1" x14ac:dyDescent="0.25">
      <c r="A61" s="162"/>
      <c r="B61" s="164"/>
      <c r="C61" s="161"/>
      <c r="D61" s="160"/>
      <c r="E61" s="160"/>
      <c r="F61" s="160"/>
      <c r="G61" s="160"/>
      <c r="H61" s="161"/>
      <c r="I61" s="161"/>
      <c r="J61" s="160"/>
      <c r="K61" s="160"/>
      <c r="L61" s="160"/>
      <c r="M61" s="161"/>
      <c r="N61" s="160"/>
      <c r="O61" s="166"/>
    </row>
    <row r="62" spans="1:15" ht="27" customHeight="1" x14ac:dyDescent="0.25">
      <c r="A62" s="162">
        <v>45897</v>
      </c>
      <c r="B62" s="163" t="s">
        <v>21</v>
      </c>
      <c r="C62" s="161">
        <v>2788506</v>
      </c>
      <c r="D62" s="159"/>
      <c r="E62" s="159">
        <v>34569024</v>
      </c>
      <c r="F62" s="159">
        <v>8314715</v>
      </c>
      <c r="G62" s="159"/>
      <c r="H62" s="161">
        <v>39932200</v>
      </c>
      <c r="I62" s="161">
        <v>42883739</v>
      </c>
      <c r="J62" s="159"/>
      <c r="K62" s="159"/>
      <c r="L62" s="159">
        <v>23</v>
      </c>
      <c r="M62" s="161">
        <f t="shared" ref="M62" si="4">I62/L62</f>
        <v>1864510.3913043479</v>
      </c>
      <c r="N62" s="159">
        <v>5</v>
      </c>
      <c r="O62" s="167" t="s">
        <v>105</v>
      </c>
    </row>
    <row r="63" spans="1:15" ht="64.5" customHeight="1" x14ac:dyDescent="0.25">
      <c r="A63" s="162"/>
      <c r="B63" s="164"/>
      <c r="C63" s="161"/>
      <c r="D63" s="160"/>
      <c r="E63" s="160"/>
      <c r="F63" s="160"/>
      <c r="G63" s="160"/>
      <c r="H63" s="161"/>
      <c r="I63" s="161"/>
      <c r="J63" s="160"/>
      <c r="K63" s="160"/>
      <c r="L63" s="160"/>
      <c r="M63" s="161"/>
      <c r="N63" s="160"/>
      <c r="O63" s="166"/>
    </row>
    <row r="64" spans="1:15" ht="27" customHeight="1" x14ac:dyDescent="0.25">
      <c r="A64" s="162">
        <v>45898</v>
      </c>
      <c r="B64" s="163" t="s">
        <v>23</v>
      </c>
      <c r="C64" s="161"/>
      <c r="D64" s="159"/>
      <c r="E64" s="159">
        <v>13650840</v>
      </c>
      <c r="F64" s="159">
        <v>5303172</v>
      </c>
      <c r="G64" s="159"/>
      <c r="H64" s="161">
        <f>I64/1.155</f>
        <v>16410400</v>
      </c>
      <c r="I64" s="161">
        <f>F64+E64</f>
        <v>18954012</v>
      </c>
      <c r="J64" s="159"/>
      <c r="K64" s="159"/>
      <c r="L64" s="159">
        <v>20</v>
      </c>
      <c r="M64" s="161">
        <f t="shared" ref="M64:M68" si="5">I64/L64</f>
        <v>947700.6</v>
      </c>
      <c r="N64" s="159">
        <v>7</v>
      </c>
      <c r="O64" s="167" t="s">
        <v>104</v>
      </c>
    </row>
    <row r="65" spans="1:15" ht="27" customHeight="1" x14ac:dyDescent="0.25">
      <c r="A65" s="162"/>
      <c r="B65" s="164"/>
      <c r="C65" s="161"/>
      <c r="D65" s="160"/>
      <c r="E65" s="160"/>
      <c r="F65" s="160"/>
      <c r="G65" s="160"/>
      <c r="H65" s="161"/>
      <c r="I65" s="161"/>
      <c r="J65" s="160"/>
      <c r="K65" s="160"/>
      <c r="L65" s="160"/>
      <c r="M65" s="161"/>
      <c r="N65" s="160"/>
      <c r="O65" s="166"/>
    </row>
    <row r="66" spans="1:15" ht="51.75" customHeight="1" x14ac:dyDescent="0.25">
      <c r="A66" s="162">
        <v>45899</v>
      </c>
      <c r="B66" s="163" t="s">
        <v>25</v>
      </c>
      <c r="C66" s="161"/>
      <c r="D66" s="159"/>
      <c r="E66" s="159">
        <v>5128998</v>
      </c>
      <c r="F66" s="159"/>
      <c r="G66" s="159"/>
      <c r="H66" s="161">
        <f>I66/1.155</f>
        <v>4440690.9090909092</v>
      </c>
      <c r="I66" s="161">
        <f>SUM(C66:G67)</f>
        <v>5128998</v>
      </c>
      <c r="J66" s="159"/>
      <c r="K66" s="159"/>
      <c r="L66" s="159">
        <v>6</v>
      </c>
      <c r="M66" s="159">
        <f t="shared" si="5"/>
        <v>854833</v>
      </c>
      <c r="N66" s="159">
        <v>3</v>
      </c>
      <c r="O66" s="165"/>
    </row>
    <row r="67" spans="1:15" ht="13.5" customHeight="1" x14ac:dyDescent="0.25">
      <c r="A67" s="162"/>
      <c r="B67" s="164"/>
      <c r="C67" s="161"/>
      <c r="D67" s="160"/>
      <c r="E67" s="160"/>
      <c r="F67" s="160"/>
      <c r="G67" s="160"/>
      <c r="H67" s="161"/>
      <c r="I67" s="161"/>
      <c r="J67" s="160"/>
      <c r="K67" s="160"/>
      <c r="L67" s="160"/>
      <c r="M67" s="160"/>
      <c r="N67" s="160"/>
      <c r="O67" s="166"/>
    </row>
    <row r="68" spans="1:15" ht="17.25" customHeight="1" x14ac:dyDescent="0.25">
      <c r="A68" s="162">
        <v>45900</v>
      </c>
      <c r="B68" s="163" t="s">
        <v>27</v>
      </c>
      <c r="C68" s="161"/>
      <c r="D68" s="159"/>
      <c r="E68" s="159">
        <v>7426272</v>
      </c>
      <c r="F68" s="159"/>
      <c r="G68" s="159">
        <v>2236440</v>
      </c>
      <c r="H68" s="161">
        <f>I68/1.155</f>
        <v>8365984.4155844152</v>
      </c>
      <c r="I68" s="161">
        <f>SUM(C68:G69)</f>
        <v>9662712</v>
      </c>
      <c r="J68" s="159"/>
      <c r="K68" s="159"/>
      <c r="L68" s="159">
        <v>6</v>
      </c>
      <c r="M68" s="159">
        <f t="shared" si="5"/>
        <v>1610452</v>
      </c>
      <c r="N68" s="159">
        <v>3</v>
      </c>
      <c r="O68" s="165"/>
    </row>
    <row r="69" spans="1:15" ht="38.25" customHeight="1" x14ac:dyDescent="0.25">
      <c r="A69" s="162"/>
      <c r="B69" s="164"/>
      <c r="C69" s="161"/>
      <c r="D69" s="160"/>
      <c r="E69" s="160"/>
      <c r="F69" s="160"/>
      <c r="G69" s="160"/>
      <c r="H69" s="161"/>
      <c r="I69" s="161"/>
      <c r="J69" s="160"/>
      <c r="K69" s="160"/>
      <c r="L69" s="160"/>
      <c r="M69" s="160"/>
      <c r="N69" s="160"/>
      <c r="O69" s="166"/>
    </row>
    <row r="70" spans="1:15" ht="45" x14ac:dyDescent="0.25">
      <c r="A70" s="158" t="s">
        <v>40</v>
      </c>
      <c r="B70" s="158"/>
      <c r="C70" s="54">
        <f>C34+C19+C4</f>
        <v>18349044</v>
      </c>
      <c r="D70" s="54">
        <f t="shared" ref="D70:N70" si="6">D34+D19+D4</f>
        <v>379355975</v>
      </c>
      <c r="E70" s="54">
        <f t="shared" si="6"/>
        <v>230053197</v>
      </c>
      <c r="F70" s="54">
        <f t="shared" si="6"/>
        <v>305428037</v>
      </c>
      <c r="G70" s="54">
        <f t="shared" si="6"/>
        <v>25360027</v>
      </c>
      <c r="H70" s="54">
        <f>H34+H19+H4+H55</f>
        <v>998375321.86147177</v>
      </c>
      <c r="I70" s="54">
        <f>I34+I19+I4+I55</f>
        <v>1123924743</v>
      </c>
      <c r="J70" s="54">
        <f t="shared" si="6"/>
        <v>0</v>
      </c>
      <c r="K70" s="54">
        <f t="shared" si="6"/>
        <v>0</v>
      </c>
      <c r="L70" s="54">
        <f t="shared" si="6"/>
        <v>488</v>
      </c>
      <c r="M70" s="54">
        <f>I70/L70</f>
        <v>2303124.4733606558</v>
      </c>
      <c r="N70" s="54">
        <f t="shared" si="6"/>
        <v>136</v>
      </c>
      <c r="O70" s="54"/>
    </row>
  </sheetData>
  <mergeCells count="481">
    <mergeCell ref="G66:G67"/>
    <mergeCell ref="H66:H67"/>
    <mergeCell ref="A66:A67"/>
    <mergeCell ref="B66:B67"/>
    <mergeCell ref="C66:C67"/>
    <mergeCell ref="D66:D67"/>
    <mergeCell ref="E66:E67"/>
    <mergeCell ref="F66:F67"/>
    <mergeCell ref="O68:O69"/>
    <mergeCell ref="G68:G69"/>
    <mergeCell ref="H68:H69"/>
    <mergeCell ref="I68:I69"/>
    <mergeCell ref="J68:J69"/>
    <mergeCell ref="K68:K69"/>
    <mergeCell ref="L68:L69"/>
    <mergeCell ref="M66:M67"/>
    <mergeCell ref="N66:N67"/>
    <mergeCell ref="O66:O67"/>
    <mergeCell ref="I66:I67"/>
    <mergeCell ref="J66:J67"/>
    <mergeCell ref="K66:K67"/>
    <mergeCell ref="L66:L67"/>
    <mergeCell ref="M68:M69"/>
    <mergeCell ref="N68:N69"/>
    <mergeCell ref="C62:C63"/>
    <mergeCell ref="D62:D63"/>
    <mergeCell ref="E62:E63"/>
    <mergeCell ref="F62:F63"/>
    <mergeCell ref="A70:B70"/>
    <mergeCell ref="A68:A69"/>
    <mergeCell ref="B68:B69"/>
    <mergeCell ref="C68:C69"/>
    <mergeCell ref="D68:D69"/>
    <mergeCell ref="E68:E69"/>
    <mergeCell ref="F68:F69"/>
    <mergeCell ref="J64:J65"/>
    <mergeCell ref="K64:K65"/>
    <mergeCell ref="L64:L65"/>
    <mergeCell ref="M64:M65"/>
    <mergeCell ref="N64:N65"/>
    <mergeCell ref="O64:O65"/>
    <mergeCell ref="O62:O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62:I63"/>
    <mergeCell ref="J62:J63"/>
    <mergeCell ref="K62:K63"/>
    <mergeCell ref="L62:L63"/>
    <mergeCell ref="M62:M63"/>
    <mergeCell ref="N62:N63"/>
    <mergeCell ref="A62:A63"/>
    <mergeCell ref="B62:B63"/>
    <mergeCell ref="G62:G63"/>
    <mergeCell ref="H62:H63"/>
    <mergeCell ref="H60:H61"/>
    <mergeCell ref="M58:M59"/>
    <mergeCell ref="N58:N59"/>
    <mergeCell ref="O58:O59"/>
    <mergeCell ref="A60:A61"/>
    <mergeCell ref="B60:B61"/>
    <mergeCell ref="C60:C61"/>
    <mergeCell ref="D60:D61"/>
    <mergeCell ref="E60:E61"/>
    <mergeCell ref="F60:F61"/>
    <mergeCell ref="G60:G61"/>
    <mergeCell ref="G58:G59"/>
    <mergeCell ref="H58:H59"/>
    <mergeCell ref="I58:I59"/>
    <mergeCell ref="J58:J59"/>
    <mergeCell ref="K58:K59"/>
    <mergeCell ref="L58:L59"/>
    <mergeCell ref="A58:A59"/>
    <mergeCell ref="B58:B59"/>
    <mergeCell ref="C58:C59"/>
    <mergeCell ref="D58:D59"/>
    <mergeCell ref="E58:E59"/>
    <mergeCell ref="G53:G54"/>
    <mergeCell ref="H53:H54"/>
    <mergeCell ref="F58:F59"/>
    <mergeCell ref="N60:N61"/>
    <mergeCell ref="O60:O61"/>
    <mergeCell ref="J56:J57"/>
    <mergeCell ref="K56:K57"/>
    <mergeCell ref="L56:L57"/>
    <mergeCell ref="M56:M57"/>
    <mergeCell ref="N56:N57"/>
    <mergeCell ref="O56:O57"/>
    <mergeCell ref="I60:I61"/>
    <mergeCell ref="J60:J61"/>
    <mergeCell ref="K60:K61"/>
    <mergeCell ref="L60:L61"/>
    <mergeCell ref="M60:M61"/>
    <mergeCell ref="L51:L52"/>
    <mergeCell ref="M51:M52"/>
    <mergeCell ref="O53:O54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I53:I54"/>
    <mergeCell ref="J53:J54"/>
    <mergeCell ref="K53:K54"/>
    <mergeCell ref="L53:L54"/>
    <mergeCell ref="M53:M54"/>
    <mergeCell ref="N53:N54"/>
    <mergeCell ref="A53:A54"/>
    <mergeCell ref="B53:B54"/>
    <mergeCell ref="C53:C54"/>
    <mergeCell ref="D53:D54"/>
    <mergeCell ref="E53:E54"/>
    <mergeCell ref="F53:F54"/>
    <mergeCell ref="E47:E48"/>
    <mergeCell ref="F47:F48"/>
    <mergeCell ref="M49:M50"/>
    <mergeCell ref="N49:N50"/>
    <mergeCell ref="H51:H52"/>
    <mergeCell ref="O49:O50"/>
    <mergeCell ref="A51:A52"/>
    <mergeCell ref="B51:B52"/>
    <mergeCell ref="C51:C52"/>
    <mergeCell ref="D51:D52"/>
    <mergeCell ref="E51:E52"/>
    <mergeCell ref="F51:F52"/>
    <mergeCell ref="G51:G52"/>
    <mergeCell ref="G49:G50"/>
    <mergeCell ref="H49:H50"/>
    <mergeCell ref="I49:I50"/>
    <mergeCell ref="J49:J50"/>
    <mergeCell ref="K49:K50"/>
    <mergeCell ref="L49:L50"/>
    <mergeCell ref="N51:N52"/>
    <mergeCell ref="O51:O52"/>
    <mergeCell ref="I51:I52"/>
    <mergeCell ref="J51:J52"/>
    <mergeCell ref="K51:K52"/>
    <mergeCell ref="C43:C44"/>
    <mergeCell ref="D43:D44"/>
    <mergeCell ref="E43:E44"/>
    <mergeCell ref="F43:F44"/>
    <mergeCell ref="M47:M48"/>
    <mergeCell ref="N47:N48"/>
    <mergeCell ref="O47:O48"/>
    <mergeCell ref="A55:B55"/>
    <mergeCell ref="A49:A50"/>
    <mergeCell ref="B49:B50"/>
    <mergeCell ref="C49:C50"/>
    <mergeCell ref="D49:D50"/>
    <mergeCell ref="E49:E50"/>
    <mergeCell ref="F49:F50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J45:J46"/>
    <mergeCell ref="K45:K46"/>
    <mergeCell ref="L45:L46"/>
    <mergeCell ref="M45:M46"/>
    <mergeCell ref="N45:N46"/>
    <mergeCell ref="O45:O46"/>
    <mergeCell ref="O43:O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M43:M44"/>
    <mergeCell ref="N43:N44"/>
    <mergeCell ref="A43:A44"/>
    <mergeCell ref="B43:B44"/>
    <mergeCell ref="G43:G44"/>
    <mergeCell ref="H43:H44"/>
    <mergeCell ref="H41:H42"/>
    <mergeCell ref="M39:M40"/>
    <mergeCell ref="N39:N40"/>
    <mergeCell ref="O39:O40"/>
    <mergeCell ref="A41:A42"/>
    <mergeCell ref="B41:B42"/>
    <mergeCell ref="C41:C42"/>
    <mergeCell ref="D41:D42"/>
    <mergeCell ref="E41:E42"/>
    <mergeCell ref="F41:F42"/>
    <mergeCell ref="G41:G42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N41:N42"/>
    <mergeCell ref="O41:O42"/>
    <mergeCell ref="J37:J38"/>
    <mergeCell ref="K37:K38"/>
    <mergeCell ref="L37:L38"/>
    <mergeCell ref="M37:M38"/>
    <mergeCell ref="N37:N38"/>
    <mergeCell ref="O37:O38"/>
    <mergeCell ref="I41:I42"/>
    <mergeCell ref="J41:J42"/>
    <mergeCell ref="K41:K42"/>
    <mergeCell ref="L41:L42"/>
    <mergeCell ref="M41:M42"/>
    <mergeCell ref="O35:O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A36"/>
    <mergeCell ref="B35:B36"/>
    <mergeCell ref="C35:C36"/>
    <mergeCell ref="D35:D36"/>
    <mergeCell ref="E35:E36"/>
    <mergeCell ref="F35:F36"/>
    <mergeCell ref="G35:G36"/>
    <mergeCell ref="H35:H36"/>
    <mergeCell ref="A34:B34"/>
    <mergeCell ref="M28:M29"/>
    <mergeCell ref="G28:G29"/>
    <mergeCell ref="H28:H29"/>
    <mergeCell ref="A28:A29"/>
    <mergeCell ref="B28:B29"/>
    <mergeCell ref="C28:C29"/>
    <mergeCell ref="D28:D29"/>
    <mergeCell ref="E28:E29"/>
    <mergeCell ref="F28:F29"/>
    <mergeCell ref="N28:N29"/>
    <mergeCell ref="O28:O29"/>
    <mergeCell ref="I28:I29"/>
    <mergeCell ref="J28:J29"/>
    <mergeCell ref="K28:K29"/>
    <mergeCell ref="L28:L29"/>
    <mergeCell ref="N30:N31"/>
    <mergeCell ref="O30:O31"/>
    <mergeCell ref="I30:I31"/>
    <mergeCell ref="J30:J31"/>
    <mergeCell ref="K30:K31"/>
    <mergeCell ref="L30:L31"/>
    <mergeCell ref="M30:M31"/>
    <mergeCell ref="O32:O33"/>
    <mergeCell ref="I32:I33"/>
    <mergeCell ref="J32:J33"/>
    <mergeCell ref="K32:K33"/>
    <mergeCell ref="A30:A31"/>
    <mergeCell ref="B30:B31"/>
    <mergeCell ref="C30:C31"/>
    <mergeCell ref="D30:D31"/>
    <mergeCell ref="E30:E31"/>
    <mergeCell ref="F30:F31"/>
    <mergeCell ref="G30:G31"/>
    <mergeCell ref="H30:H31"/>
    <mergeCell ref="L32:L33"/>
    <mergeCell ref="M32:M33"/>
    <mergeCell ref="N32:N33"/>
    <mergeCell ref="A32:A33"/>
    <mergeCell ref="D32:D33"/>
    <mergeCell ref="E32:E33"/>
    <mergeCell ref="F32:F33"/>
    <mergeCell ref="G32:G33"/>
    <mergeCell ref="H32:H33"/>
    <mergeCell ref="B32:B33"/>
    <mergeCell ref="C32:C33"/>
    <mergeCell ref="J26:J27"/>
    <mergeCell ref="K26:K27"/>
    <mergeCell ref="L26:L27"/>
    <mergeCell ref="M26:M27"/>
    <mergeCell ref="N26:N27"/>
    <mergeCell ref="O26:O27"/>
    <mergeCell ref="O24:O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I24:I25"/>
    <mergeCell ref="J24:J25"/>
    <mergeCell ref="K24:K25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G24:G25"/>
    <mergeCell ref="H24:H25"/>
    <mergeCell ref="H22:H23"/>
    <mergeCell ref="O20:O21"/>
    <mergeCell ref="A22:A23"/>
    <mergeCell ref="B22:B23"/>
    <mergeCell ref="C22:C23"/>
    <mergeCell ref="D22:D23"/>
    <mergeCell ref="E22:E23"/>
    <mergeCell ref="F22:F23"/>
    <mergeCell ref="G22:G23"/>
    <mergeCell ref="G20:G21"/>
    <mergeCell ref="H20:H21"/>
    <mergeCell ref="I20:I21"/>
    <mergeCell ref="J20:J21"/>
    <mergeCell ref="K20:K21"/>
    <mergeCell ref="L20:L21"/>
    <mergeCell ref="N22:N23"/>
    <mergeCell ref="O22:O23"/>
    <mergeCell ref="I22:I23"/>
    <mergeCell ref="J22:J23"/>
    <mergeCell ref="K22:K23"/>
    <mergeCell ref="L22:L23"/>
    <mergeCell ref="M22:M23"/>
    <mergeCell ref="M17:M18"/>
    <mergeCell ref="N17:N18"/>
    <mergeCell ref="O17:O18"/>
    <mergeCell ref="A19:B19"/>
    <mergeCell ref="A20:A21"/>
    <mergeCell ref="B20:B21"/>
    <mergeCell ref="C20:C21"/>
    <mergeCell ref="D20:D21"/>
    <mergeCell ref="E20:E21"/>
    <mergeCell ref="F20:F21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O15:O16"/>
    <mergeCell ref="O13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A13:A14"/>
    <mergeCell ref="B13:B14"/>
    <mergeCell ref="J15:J16"/>
    <mergeCell ref="K15:K16"/>
    <mergeCell ref="L15:L16"/>
    <mergeCell ref="M15:M16"/>
    <mergeCell ref="F17:F18"/>
    <mergeCell ref="M20:M21"/>
    <mergeCell ref="N20:N21"/>
    <mergeCell ref="N15:N16"/>
    <mergeCell ref="C13:C14"/>
    <mergeCell ref="D13:D14"/>
    <mergeCell ref="E13:E14"/>
    <mergeCell ref="F13:F14"/>
    <mergeCell ref="G13:G14"/>
    <mergeCell ref="H13:H14"/>
    <mergeCell ref="E17:E18"/>
    <mergeCell ref="M9:M10"/>
    <mergeCell ref="N9:N10"/>
    <mergeCell ref="I11:I12"/>
    <mergeCell ref="J11:J12"/>
    <mergeCell ref="K11:K12"/>
    <mergeCell ref="L11:L12"/>
    <mergeCell ref="M11:M12"/>
    <mergeCell ref="O9:O10"/>
    <mergeCell ref="I9:I10"/>
    <mergeCell ref="J9:J10"/>
    <mergeCell ref="K9:K10"/>
    <mergeCell ref="L9:L10"/>
    <mergeCell ref="N11:N12"/>
    <mergeCell ref="O11:O12"/>
    <mergeCell ref="A11:A12"/>
    <mergeCell ref="B11:B12"/>
    <mergeCell ref="C11:C12"/>
    <mergeCell ref="D11:D12"/>
    <mergeCell ref="E11:E12"/>
    <mergeCell ref="F11:F12"/>
    <mergeCell ref="G11:G12"/>
    <mergeCell ref="G9:G10"/>
    <mergeCell ref="H9:H10"/>
    <mergeCell ref="A9:A10"/>
    <mergeCell ref="B9:B10"/>
    <mergeCell ref="C9:C10"/>
    <mergeCell ref="D9:D10"/>
    <mergeCell ref="E9:E10"/>
    <mergeCell ref="F9:F10"/>
    <mergeCell ref="H11:H12"/>
    <mergeCell ref="M7:M8"/>
    <mergeCell ref="N7:N8"/>
    <mergeCell ref="O7:O8"/>
    <mergeCell ref="O5:O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J7:J8"/>
    <mergeCell ref="K7:K8"/>
    <mergeCell ref="L7:L8"/>
    <mergeCell ref="A1:O1"/>
    <mergeCell ref="A2:A3"/>
    <mergeCell ref="B2:B3"/>
    <mergeCell ref="C2:G2"/>
    <mergeCell ref="H2:H3"/>
    <mergeCell ref="I2:I3"/>
    <mergeCell ref="L2:L3"/>
    <mergeCell ref="M2:M3"/>
    <mergeCell ref="N2:N3"/>
    <mergeCell ref="O2:O3"/>
    <mergeCell ref="J3:K3"/>
    <mergeCell ref="A4:B4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paperSize="122" orientation="portrait" horizontalDpi="18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F9C8-6B1A-48EE-8743-AE5DDE323840}">
  <dimension ref="A1:O68"/>
  <sheetViews>
    <sheetView zoomScale="18" zoomScaleNormal="25" workbookViewId="0">
      <selection activeCell="O58" sqref="O58:O59"/>
    </sheetView>
  </sheetViews>
  <sheetFormatPr defaultColWidth="9.140625" defaultRowHeight="15" x14ac:dyDescent="0.25"/>
  <cols>
    <col min="1" max="1" width="41.28515625" bestFit="1" customWidth="1"/>
    <col min="2" max="2" width="32.28515625" bestFit="1" customWidth="1"/>
    <col min="3" max="3" width="52.7109375" hidden="1" customWidth="1"/>
    <col min="4" max="4" width="72.28515625" hidden="1" customWidth="1"/>
    <col min="5" max="5" width="57.28515625" hidden="1" customWidth="1"/>
    <col min="6" max="6" width="52.5703125" hidden="1" customWidth="1"/>
    <col min="7" max="7" width="65.28515625" hidden="1" customWidth="1"/>
    <col min="8" max="8" width="75.7109375" customWidth="1"/>
    <col min="9" max="9" width="73.85546875" customWidth="1"/>
    <col min="10" max="11" width="17.7109375" hidden="1" customWidth="1"/>
    <col min="12" max="12" width="22.42578125" customWidth="1"/>
    <col min="13" max="13" width="50.85546875" customWidth="1"/>
    <col min="14" max="14" width="28.7109375" customWidth="1"/>
    <col min="15" max="15" width="97.5703125" style="57" bestFit="1" customWidth="1"/>
  </cols>
  <sheetData>
    <row r="1" spans="1:15" ht="311.25" customHeight="1" x14ac:dyDescent="0.25">
      <c r="A1" s="176" t="s">
        <v>90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15" ht="60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49"/>
      <c r="K2" s="49"/>
      <c r="L2" s="181" t="s">
        <v>8</v>
      </c>
      <c r="M2" s="181" t="s">
        <v>9</v>
      </c>
      <c r="N2" s="182" t="s">
        <v>10</v>
      </c>
      <c r="O2" s="183" t="s">
        <v>11</v>
      </c>
    </row>
    <row r="3" spans="1:15" ht="60" customHeight="1" x14ac:dyDescent="0.25">
      <c r="A3" s="177"/>
      <c r="B3" s="177"/>
      <c r="C3" s="50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4" t="s">
        <v>7</v>
      </c>
      <c r="K3" s="184"/>
      <c r="L3" s="181"/>
      <c r="M3" s="181"/>
      <c r="N3" s="182"/>
      <c r="O3" s="183"/>
    </row>
    <row r="4" spans="1:15" ht="48" hidden="1" customHeight="1" x14ac:dyDescent="0.25">
      <c r="A4" s="171" t="s">
        <v>20</v>
      </c>
      <c r="B4" s="171"/>
      <c r="C4" s="52">
        <f t="shared" ref="C4:H4" si="0">SUBTOTAL(9,C5:C18)</f>
        <v>44886341</v>
      </c>
      <c r="D4" s="52">
        <f t="shared" si="0"/>
        <v>16033760</v>
      </c>
      <c r="E4" s="52">
        <f t="shared" si="0"/>
        <v>55578662</v>
      </c>
      <c r="F4" s="52">
        <f t="shared" si="0"/>
        <v>109008802</v>
      </c>
      <c r="G4" s="52">
        <f t="shared" si="0"/>
        <v>22737638</v>
      </c>
      <c r="H4" s="52">
        <f t="shared" si="0"/>
        <v>216596485.37662336</v>
      </c>
      <c r="I4" s="52">
        <f>SUM(I5:K18)</f>
        <v>248245203</v>
      </c>
      <c r="J4" s="52">
        <f>SUBTOTAL(9,J5:J18)</f>
        <v>0</v>
      </c>
      <c r="K4" s="52">
        <f>SUBTOTAL(9,K5:K18)</f>
        <v>0</v>
      </c>
      <c r="L4" s="52">
        <f>SUBTOTAL(9,L5:L18)</f>
        <v>132</v>
      </c>
      <c r="M4" s="52">
        <f>I4/L4</f>
        <v>1880645.4772727273</v>
      </c>
      <c r="N4" s="52">
        <f>SUBTOTAL(9,N5:N18)</f>
        <v>53</v>
      </c>
      <c r="O4" s="55"/>
    </row>
    <row r="5" spans="1:15" ht="27" hidden="1" customHeight="1" x14ac:dyDescent="0.25">
      <c r="A5" s="162">
        <v>45839</v>
      </c>
      <c r="B5" s="163" t="s">
        <v>31</v>
      </c>
      <c r="C5" s="159">
        <f>882899+15184428</f>
        <v>16067327</v>
      </c>
      <c r="D5" s="159">
        <v>2402526</v>
      </c>
      <c r="E5" s="159">
        <v>1106742</v>
      </c>
      <c r="F5" s="159">
        <f>5385310+14884926</f>
        <v>20270236</v>
      </c>
      <c r="G5" s="159"/>
      <c r="H5" s="159">
        <f>I5/1.155</f>
        <v>34499420.779220775</v>
      </c>
      <c r="I5" s="161">
        <f>SUM(C5:G6)</f>
        <v>39846831</v>
      </c>
      <c r="J5" s="159"/>
      <c r="K5" s="159"/>
      <c r="L5" s="159">
        <v>24</v>
      </c>
      <c r="M5" s="159">
        <f>I5/L5</f>
        <v>1660284.625</v>
      </c>
      <c r="N5" s="159">
        <v>5</v>
      </c>
      <c r="O5" s="165" t="s">
        <v>92</v>
      </c>
    </row>
    <row r="6" spans="1:15" ht="27.75" hidden="1" customHeight="1" x14ac:dyDescent="0.25">
      <c r="A6" s="162"/>
      <c r="B6" s="164"/>
      <c r="C6" s="160"/>
      <c r="D6" s="160"/>
      <c r="E6" s="160"/>
      <c r="F6" s="160"/>
      <c r="G6" s="160"/>
      <c r="H6" s="160"/>
      <c r="I6" s="161"/>
      <c r="J6" s="160"/>
      <c r="K6" s="160"/>
      <c r="L6" s="160"/>
      <c r="M6" s="160"/>
      <c r="N6" s="160"/>
      <c r="O6" s="166"/>
    </row>
    <row r="7" spans="1:15" ht="27" hidden="1" customHeight="1" x14ac:dyDescent="0.25">
      <c r="A7" s="162">
        <v>45840</v>
      </c>
      <c r="B7" s="163" t="s">
        <v>32</v>
      </c>
      <c r="C7" s="161">
        <v>2049054</v>
      </c>
      <c r="D7" s="161"/>
      <c r="E7" s="161">
        <f>2927988+4512354</f>
        <v>7440342</v>
      </c>
      <c r="F7" s="161"/>
      <c r="G7" s="161">
        <v>5062914</v>
      </c>
      <c r="H7" s="161">
        <f>I7/1.155</f>
        <v>12599402.597402597</v>
      </c>
      <c r="I7" s="161">
        <f>SUM(C7:G8)</f>
        <v>14552310</v>
      </c>
      <c r="J7" s="161"/>
      <c r="K7" s="161"/>
      <c r="L7" s="161">
        <v>14</v>
      </c>
      <c r="M7" s="159">
        <f>I7/L7</f>
        <v>1039450.7142857143</v>
      </c>
      <c r="N7" s="161">
        <v>10</v>
      </c>
      <c r="O7" s="165"/>
    </row>
    <row r="8" spans="1:15" ht="27" hidden="1" customHeight="1" x14ac:dyDescent="0.25">
      <c r="A8" s="162"/>
      <c r="B8" s="164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0"/>
      <c r="N8" s="161"/>
      <c r="O8" s="166"/>
    </row>
    <row r="9" spans="1:15" ht="27" hidden="1" customHeight="1" x14ac:dyDescent="0.25">
      <c r="A9" s="162">
        <v>45841</v>
      </c>
      <c r="B9" s="163" t="s">
        <v>21</v>
      </c>
      <c r="C9" s="161"/>
      <c r="D9" s="161">
        <f>12722836-5385310</f>
        <v>7337526</v>
      </c>
      <c r="E9" s="161"/>
      <c r="F9" s="161">
        <v>385560</v>
      </c>
      <c r="G9" s="161">
        <v>4295138</v>
      </c>
      <c r="H9" s="161">
        <f>11265000-728400</f>
        <v>10536600</v>
      </c>
      <c r="I9" s="161">
        <f>SUM(C9:G10)</f>
        <v>12018224</v>
      </c>
      <c r="J9" s="161"/>
      <c r="K9" s="161"/>
      <c r="L9" s="161">
        <v>6</v>
      </c>
      <c r="M9" s="159">
        <f>I9/L9</f>
        <v>2003037.3333333333</v>
      </c>
      <c r="N9" s="161">
        <v>3</v>
      </c>
      <c r="O9" s="165" t="s">
        <v>91</v>
      </c>
    </row>
    <row r="10" spans="1:15" ht="27" hidden="1" customHeight="1" x14ac:dyDescent="0.25">
      <c r="A10" s="162"/>
      <c r="B10" s="164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0"/>
      <c r="N10" s="161"/>
      <c r="O10" s="166"/>
    </row>
    <row r="11" spans="1:15" ht="27" hidden="1" customHeight="1" x14ac:dyDescent="0.25">
      <c r="A11" s="162">
        <v>45842</v>
      </c>
      <c r="B11" s="163" t="s">
        <v>23</v>
      </c>
      <c r="C11" s="161"/>
      <c r="D11" s="161">
        <v>4759448</v>
      </c>
      <c r="E11" s="161">
        <v>8281594</v>
      </c>
      <c r="F11" s="161">
        <v>11471374</v>
      </c>
      <c r="G11" s="161">
        <f>17674724-G9</f>
        <v>13379586</v>
      </c>
      <c r="H11" s="161">
        <f>28166000+11901000-1786150-1137750-G9</f>
        <v>32847962</v>
      </c>
      <c r="I11" s="161">
        <f>SUM(C11:G12)</f>
        <v>37892002</v>
      </c>
      <c r="J11" s="161"/>
      <c r="K11" s="161"/>
      <c r="L11" s="161">
        <v>30</v>
      </c>
      <c r="M11" s="159">
        <f>I11/L11</f>
        <v>1263066.7333333334</v>
      </c>
      <c r="N11" s="161">
        <v>11</v>
      </c>
      <c r="O11" s="165" t="s">
        <v>92</v>
      </c>
    </row>
    <row r="12" spans="1:15" ht="27" hidden="1" customHeight="1" x14ac:dyDescent="0.25">
      <c r="A12" s="162"/>
      <c r="B12" s="164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0"/>
      <c r="N12" s="161"/>
      <c r="O12" s="166"/>
    </row>
    <row r="13" spans="1:15" ht="27" hidden="1" customHeight="1" x14ac:dyDescent="0.25">
      <c r="A13" s="162">
        <v>45843</v>
      </c>
      <c r="B13" s="163" t="s">
        <v>25</v>
      </c>
      <c r="C13" s="161">
        <v>11811870</v>
      </c>
      <c r="D13" s="161"/>
      <c r="E13" s="161">
        <v>21886540</v>
      </c>
      <c r="F13" s="161">
        <v>62080494</v>
      </c>
      <c r="G13" s="161"/>
      <c r="H13" s="161">
        <f>54291000+31385000-1829700</f>
        <v>83846300</v>
      </c>
      <c r="I13" s="161">
        <f>SUM(C13:G14)</f>
        <v>95778904</v>
      </c>
      <c r="J13" s="161"/>
      <c r="K13" s="161"/>
      <c r="L13" s="161">
        <v>28</v>
      </c>
      <c r="M13" s="159">
        <f>I13/L13</f>
        <v>3420675.1428571427</v>
      </c>
      <c r="N13" s="161">
        <v>11</v>
      </c>
      <c r="O13" s="165"/>
    </row>
    <row r="14" spans="1:15" ht="27" hidden="1" customHeight="1" x14ac:dyDescent="0.25">
      <c r="A14" s="162"/>
      <c r="B14" s="164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0"/>
      <c r="N14" s="161"/>
      <c r="O14" s="166"/>
    </row>
    <row r="15" spans="1:15" ht="27" hidden="1" customHeight="1" x14ac:dyDescent="0.25">
      <c r="A15" s="162">
        <v>45844</v>
      </c>
      <c r="B15" s="163" t="s">
        <v>27</v>
      </c>
      <c r="C15" s="161">
        <v>5875758</v>
      </c>
      <c r="D15" s="161"/>
      <c r="E15" s="161">
        <v>3946530</v>
      </c>
      <c r="F15" s="161"/>
      <c r="G15" s="161"/>
      <c r="H15" s="161">
        <f>62898000-54291000</f>
        <v>8607000</v>
      </c>
      <c r="I15" s="161">
        <f>SUM(C15:G16)</f>
        <v>9822288</v>
      </c>
      <c r="J15" s="161"/>
      <c r="K15" s="161"/>
      <c r="L15" s="161">
        <v>5</v>
      </c>
      <c r="M15" s="159">
        <f>I15/L15</f>
        <v>1964457.6</v>
      </c>
      <c r="N15" s="161">
        <v>4</v>
      </c>
      <c r="O15" s="165"/>
    </row>
    <row r="16" spans="1:15" ht="27" hidden="1" customHeight="1" x14ac:dyDescent="0.25">
      <c r="A16" s="162"/>
      <c r="B16" s="164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0"/>
      <c r="N16" s="161"/>
      <c r="O16" s="166"/>
    </row>
    <row r="17" spans="1:15" ht="27" hidden="1" customHeight="1" x14ac:dyDescent="0.25">
      <c r="A17" s="162">
        <v>45845</v>
      </c>
      <c r="B17" s="163" t="s">
        <v>30</v>
      </c>
      <c r="C17" s="161">
        <v>9082332</v>
      </c>
      <c r="D17" s="161">
        <v>1534260</v>
      </c>
      <c r="E17" s="161">
        <v>12916914</v>
      </c>
      <c r="F17" s="161">
        <f>13289743+1511395</f>
        <v>14801138</v>
      </c>
      <c r="G17" s="161"/>
      <c r="H17" s="161">
        <f>1568000-235200+13611000-1891650+20756000-148350</f>
        <v>33659800</v>
      </c>
      <c r="I17" s="161">
        <f>SUM(C17:G18)</f>
        <v>38334644</v>
      </c>
      <c r="J17" s="161"/>
      <c r="K17" s="161"/>
      <c r="L17" s="161">
        <v>25</v>
      </c>
      <c r="M17" s="159">
        <f>I17/L17</f>
        <v>1533385.76</v>
      </c>
      <c r="N17" s="161">
        <v>9</v>
      </c>
      <c r="O17" s="165" t="s">
        <v>93</v>
      </c>
    </row>
    <row r="18" spans="1:15" ht="80.25" hidden="1" customHeight="1" x14ac:dyDescent="0.25">
      <c r="A18" s="162"/>
      <c r="B18" s="164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0"/>
      <c r="N18" s="161"/>
      <c r="O18" s="166"/>
    </row>
    <row r="19" spans="1:15" ht="45" hidden="1" x14ac:dyDescent="0.25">
      <c r="A19" s="171" t="s">
        <v>29</v>
      </c>
      <c r="B19" s="171"/>
      <c r="C19" s="52">
        <f t="shared" ref="C19:H19" si="1">SUBTOTAL(9,C20:C33)</f>
        <v>5997306</v>
      </c>
      <c r="D19" s="52">
        <f t="shared" si="1"/>
        <v>111675446</v>
      </c>
      <c r="E19" s="52">
        <f t="shared" si="1"/>
        <v>103019546</v>
      </c>
      <c r="F19" s="52">
        <f t="shared" si="1"/>
        <v>41447915</v>
      </c>
      <c r="G19" s="52">
        <f t="shared" si="1"/>
        <v>0</v>
      </c>
      <c r="H19" s="52">
        <f t="shared" si="1"/>
        <v>220029704.58008659</v>
      </c>
      <c r="I19" s="52">
        <f>SUM(I20:K33)</f>
        <v>262140213</v>
      </c>
      <c r="J19" s="52">
        <f>SUBTOTAL(9,J20:J33)</f>
        <v>0</v>
      </c>
      <c r="K19" s="52">
        <f>SUBTOTAL(9,K20:K33)</f>
        <v>0</v>
      </c>
      <c r="L19" s="52">
        <f>SUBTOTAL(9,L20:L33)</f>
        <v>152</v>
      </c>
      <c r="M19" s="52">
        <f>I19/L19</f>
        <v>1724606.6644736843</v>
      </c>
      <c r="N19" s="52">
        <f>SUBTOTAL(9,N20:N33)</f>
        <v>47</v>
      </c>
      <c r="O19" s="55"/>
    </row>
    <row r="20" spans="1:15" ht="27" hidden="1" customHeight="1" x14ac:dyDescent="0.25">
      <c r="A20" s="162">
        <v>45846</v>
      </c>
      <c r="B20" s="163" t="s">
        <v>31</v>
      </c>
      <c r="C20" s="161"/>
      <c r="D20" s="161">
        <v>1511395</v>
      </c>
      <c r="E20" s="161">
        <f>14774004+29427471</f>
        <v>44201475</v>
      </c>
      <c r="F20" s="161"/>
      <c r="G20" s="161"/>
      <c r="H20" s="161">
        <f>31399000-1244850-4840000+15210000-871200</f>
        <v>39652950</v>
      </c>
      <c r="I20" s="161">
        <f>SUM(C20:G21)</f>
        <v>45712870</v>
      </c>
      <c r="J20" s="161"/>
      <c r="K20" s="161"/>
      <c r="L20" s="161">
        <v>24</v>
      </c>
      <c r="M20" s="161">
        <f>I20/L20</f>
        <v>1904702.9166666667</v>
      </c>
      <c r="N20" s="161">
        <v>9</v>
      </c>
      <c r="O20" s="166"/>
    </row>
    <row r="21" spans="1:15" ht="27" hidden="1" customHeight="1" x14ac:dyDescent="0.25">
      <c r="A21" s="162"/>
      <c r="B21" s="164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6"/>
    </row>
    <row r="22" spans="1:15" ht="27" hidden="1" customHeight="1" x14ac:dyDescent="0.25">
      <c r="A22" s="162">
        <v>45847</v>
      </c>
      <c r="B22" s="163" t="s">
        <v>32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6"/>
    </row>
    <row r="23" spans="1:15" ht="27" hidden="1" customHeight="1" x14ac:dyDescent="0.25">
      <c r="A23" s="162"/>
      <c r="B23" s="16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6"/>
    </row>
    <row r="24" spans="1:15" ht="27" hidden="1" customHeight="1" x14ac:dyDescent="0.25">
      <c r="A24" s="162">
        <v>45848</v>
      </c>
      <c r="B24" s="163" t="s">
        <v>21</v>
      </c>
      <c r="C24" s="161">
        <v>646800</v>
      </c>
      <c r="D24" s="161">
        <v>105796110</v>
      </c>
      <c r="E24" s="161">
        <v>11134872</v>
      </c>
      <c r="F24" s="161"/>
      <c r="G24" s="161"/>
      <c r="H24" s="161">
        <v>94459868</v>
      </c>
      <c r="I24" s="161">
        <f>SUM(C24:G25)</f>
        <v>117577782</v>
      </c>
      <c r="J24" s="161"/>
      <c r="K24" s="161"/>
      <c r="L24" s="161">
        <v>53</v>
      </c>
      <c r="M24" s="161">
        <f>I24/L24</f>
        <v>2218448.716981132</v>
      </c>
      <c r="N24" s="161">
        <v>9</v>
      </c>
      <c r="O24" s="166"/>
    </row>
    <row r="25" spans="1:15" ht="27" hidden="1" customHeight="1" x14ac:dyDescent="0.25">
      <c r="A25" s="162"/>
      <c r="B25" s="164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6"/>
    </row>
    <row r="26" spans="1:15" ht="27" hidden="1" customHeight="1" x14ac:dyDescent="0.25">
      <c r="A26" s="162">
        <v>45849</v>
      </c>
      <c r="B26" s="163" t="s">
        <v>23</v>
      </c>
      <c r="C26" s="161"/>
      <c r="D26" s="161"/>
      <c r="E26" s="161">
        <f>6701898+10657605</f>
        <v>17359503</v>
      </c>
      <c r="F26" s="161">
        <v>6548283</v>
      </c>
      <c r="G26" s="161"/>
      <c r="H26" s="161">
        <f>7600000+1950000-292500+11441000-5720500+5847000</f>
        <v>20825000</v>
      </c>
      <c r="I26" s="161">
        <f>SUM(C26:G27)</f>
        <v>23907786</v>
      </c>
      <c r="J26" s="161"/>
      <c r="K26" s="161"/>
      <c r="L26" s="161">
        <v>19</v>
      </c>
      <c r="M26" s="161">
        <f>I26/L26</f>
        <v>1258304.5263157894</v>
      </c>
      <c r="N26" s="161">
        <v>6</v>
      </c>
      <c r="O26" s="166" t="s">
        <v>94</v>
      </c>
    </row>
    <row r="27" spans="1:15" ht="27" hidden="1" customHeight="1" x14ac:dyDescent="0.25">
      <c r="A27" s="162"/>
      <c r="B27" s="16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6"/>
    </row>
    <row r="28" spans="1:15" ht="27" hidden="1" customHeight="1" x14ac:dyDescent="0.25">
      <c r="A28" s="162">
        <v>45850</v>
      </c>
      <c r="B28" s="163" t="s">
        <v>25</v>
      </c>
      <c r="C28" s="161"/>
      <c r="D28" s="161"/>
      <c r="E28" s="161">
        <f>1097250+3967320</f>
        <v>5064570</v>
      </c>
      <c r="F28" s="161"/>
      <c r="G28" s="161"/>
      <c r="H28" s="161">
        <f>3480000+950000</f>
        <v>4430000</v>
      </c>
      <c r="I28" s="161">
        <f>SUM(C28:G29)</f>
        <v>5064570</v>
      </c>
      <c r="J28" s="161"/>
      <c r="K28" s="161"/>
      <c r="L28" s="161">
        <v>7</v>
      </c>
      <c r="M28" s="161">
        <f>I28/L28</f>
        <v>723510</v>
      </c>
      <c r="N28" s="161">
        <v>5</v>
      </c>
      <c r="O28" s="166"/>
    </row>
    <row r="29" spans="1:15" ht="27" hidden="1" customHeight="1" x14ac:dyDescent="0.25">
      <c r="A29" s="162"/>
      <c r="B29" s="16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6"/>
    </row>
    <row r="30" spans="1:15" ht="27" hidden="1" customHeight="1" x14ac:dyDescent="0.25">
      <c r="A30" s="162">
        <v>45851</v>
      </c>
      <c r="B30" s="163" t="s">
        <v>27</v>
      </c>
      <c r="C30" s="161">
        <v>486486</v>
      </c>
      <c r="D30" s="161">
        <v>4367941</v>
      </c>
      <c r="E30" s="161">
        <v>7880208</v>
      </c>
      <c r="F30" s="161"/>
      <c r="G30" s="161"/>
      <c r="H30" s="161">
        <f>11682000-494200</f>
        <v>11187800</v>
      </c>
      <c r="I30" s="161">
        <f>SUM(C30:G31)</f>
        <v>12734635</v>
      </c>
      <c r="J30" s="161"/>
      <c r="K30" s="161"/>
      <c r="L30" s="161">
        <v>15</v>
      </c>
      <c r="M30" s="161">
        <f>I30/L30</f>
        <v>848975.66666666663</v>
      </c>
      <c r="N30" s="161">
        <v>8</v>
      </c>
      <c r="O30" s="165" t="s">
        <v>94</v>
      </c>
    </row>
    <row r="31" spans="1:15" ht="27" hidden="1" customHeight="1" x14ac:dyDescent="0.25">
      <c r="A31" s="162"/>
      <c r="B31" s="164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6"/>
    </row>
    <row r="32" spans="1:15" ht="60.75" hidden="1" customHeight="1" x14ac:dyDescent="0.25">
      <c r="A32" s="162">
        <v>45852</v>
      </c>
      <c r="B32" s="163" t="s">
        <v>30</v>
      </c>
      <c r="C32" s="161">
        <v>4864020</v>
      </c>
      <c r="D32" s="161"/>
      <c r="E32" s="161">
        <f>17378918</f>
        <v>17378918</v>
      </c>
      <c r="F32" s="161">
        <f>19926220+14973412</f>
        <v>34899632</v>
      </c>
      <c r="G32" s="161"/>
      <c r="H32" s="161">
        <f>I32/1.155</f>
        <v>49474086.580086581</v>
      </c>
      <c r="I32" s="161">
        <f>SUM(C32:G33)</f>
        <v>57142570</v>
      </c>
      <c r="J32" s="161"/>
      <c r="K32" s="161"/>
      <c r="L32" s="161">
        <v>34</v>
      </c>
      <c r="M32" s="161">
        <f>I32/L32</f>
        <v>1680663.8235294118</v>
      </c>
      <c r="N32" s="161">
        <v>10</v>
      </c>
      <c r="O32" s="169" t="s">
        <v>95</v>
      </c>
    </row>
    <row r="33" spans="1:15" ht="27" hidden="1" customHeight="1" x14ac:dyDescent="0.25">
      <c r="A33" s="162"/>
      <c r="B33" s="16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70"/>
    </row>
    <row r="34" spans="1:15" ht="45" hidden="1" x14ac:dyDescent="0.25">
      <c r="A34" s="171" t="s">
        <v>34</v>
      </c>
      <c r="B34" s="171"/>
      <c r="C34" s="52">
        <f>SUM(C35:C48)</f>
        <v>7662253</v>
      </c>
      <c r="D34" s="52">
        <f t="shared" ref="D34:N34" si="2">SUM(D35:D48)</f>
        <v>51892888</v>
      </c>
      <c r="E34" s="52">
        <f t="shared" si="2"/>
        <v>92757837</v>
      </c>
      <c r="F34" s="52">
        <f t="shared" si="2"/>
        <v>65048327</v>
      </c>
      <c r="G34" s="52">
        <f t="shared" si="2"/>
        <v>19592893</v>
      </c>
      <c r="H34" s="52">
        <f t="shared" si="2"/>
        <v>204611572.07792208</v>
      </c>
      <c r="I34" s="52">
        <f t="shared" si="2"/>
        <v>236954198</v>
      </c>
      <c r="J34" s="52">
        <f t="shared" si="2"/>
        <v>0</v>
      </c>
      <c r="K34" s="52">
        <f t="shared" si="2"/>
        <v>0</v>
      </c>
      <c r="L34" s="52">
        <f t="shared" si="2"/>
        <v>179</v>
      </c>
      <c r="M34" s="52">
        <f>I34/L34</f>
        <v>1323766.469273743</v>
      </c>
      <c r="N34" s="52">
        <f t="shared" si="2"/>
        <v>48</v>
      </c>
      <c r="O34" s="55"/>
    </row>
    <row r="35" spans="1:15" ht="27" hidden="1" customHeight="1" x14ac:dyDescent="0.25">
      <c r="A35" s="162">
        <v>45853</v>
      </c>
      <c r="B35" s="163" t="s">
        <v>31</v>
      </c>
      <c r="C35" s="161"/>
      <c r="D35" s="161"/>
      <c r="E35" s="161">
        <v>9675960</v>
      </c>
      <c r="F35" s="161">
        <v>17183446</v>
      </c>
      <c r="G35" s="161"/>
      <c r="H35" s="161">
        <v>23602950</v>
      </c>
      <c r="I35" s="161">
        <f>SUM(C35:G36)</f>
        <v>26859406</v>
      </c>
      <c r="J35" s="161"/>
      <c r="K35" s="161"/>
      <c r="L35" s="161">
        <v>16</v>
      </c>
      <c r="M35" s="161">
        <f>I35/L35</f>
        <v>1678712.875</v>
      </c>
      <c r="N35" s="161">
        <v>6</v>
      </c>
      <c r="O35" s="166"/>
    </row>
    <row r="36" spans="1:15" ht="27" hidden="1" customHeight="1" x14ac:dyDescent="0.25">
      <c r="A36" s="162"/>
      <c r="B36" s="16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6"/>
    </row>
    <row r="37" spans="1:15" ht="27" hidden="1" customHeight="1" x14ac:dyDescent="0.25">
      <c r="A37" s="162">
        <v>45854</v>
      </c>
      <c r="B37" s="163" t="s">
        <v>32</v>
      </c>
      <c r="C37" s="161">
        <v>3563280</v>
      </c>
      <c r="D37" s="161"/>
      <c r="E37" s="161">
        <v>5732580</v>
      </c>
      <c r="F37" s="161">
        <v>1593327</v>
      </c>
      <c r="G37" s="161">
        <v>1713247</v>
      </c>
      <c r="H37" s="161">
        <f>25703000-15727000-869250+1653000</f>
        <v>10759750</v>
      </c>
      <c r="I37" s="161">
        <f>SUM(C37:G38)</f>
        <v>12602434</v>
      </c>
      <c r="J37" s="161"/>
      <c r="K37" s="161"/>
      <c r="L37" s="161">
        <v>16</v>
      </c>
      <c r="M37" s="161">
        <f>I37/L37</f>
        <v>787652.125</v>
      </c>
      <c r="N37" s="161">
        <v>10</v>
      </c>
      <c r="O37" s="166" t="s">
        <v>66</v>
      </c>
    </row>
    <row r="38" spans="1:15" ht="27" hidden="1" customHeight="1" x14ac:dyDescent="0.25">
      <c r="A38" s="162"/>
      <c r="B38" s="16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6"/>
    </row>
    <row r="39" spans="1:15" ht="27" hidden="1" customHeight="1" x14ac:dyDescent="0.25">
      <c r="A39" s="162">
        <v>45855</v>
      </c>
      <c r="B39" s="163" t="s">
        <v>21</v>
      </c>
      <c r="C39" s="161">
        <f>750750+990906</f>
        <v>1741656</v>
      </c>
      <c r="D39" s="161">
        <v>7211736</v>
      </c>
      <c r="E39" s="161">
        <v>13910796</v>
      </c>
      <c r="F39" s="159"/>
      <c r="G39" s="161">
        <v>12101236</v>
      </c>
      <c r="H39" s="161">
        <f>30761000-659700</f>
        <v>30101300</v>
      </c>
      <c r="I39" s="161">
        <f>SUM(C39:G40)</f>
        <v>34965424</v>
      </c>
      <c r="J39" s="161"/>
      <c r="K39" s="161"/>
      <c r="L39" s="161">
        <v>20</v>
      </c>
      <c r="M39" s="161">
        <f>I39/L39</f>
        <v>1748271.2</v>
      </c>
      <c r="N39" s="161">
        <v>6</v>
      </c>
      <c r="O39" s="165"/>
    </row>
    <row r="40" spans="1:15" ht="27" hidden="1" customHeight="1" x14ac:dyDescent="0.25">
      <c r="A40" s="162"/>
      <c r="B40" s="164"/>
      <c r="C40" s="161"/>
      <c r="D40" s="161"/>
      <c r="E40" s="161"/>
      <c r="F40" s="160"/>
      <c r="G40" s="161"/>
      <c r="H40" s="161"/>
      <c r="I40" s="161"/>
      <c r="J40" s="161"/>
      <c r="K40" s="161"/>
      <c r="L40" s="161"/>
      <c r="M40" s="161"/>
      <c r="N40" s="161"/>
      <c r="O40" s="166"/>
    </row>
    <row r="41" spans="1:15" ht="27" hidden="1" customHeight="1" x14ac:dyDescent="0.25">
      <c r="A41" s="162">
        <v>45856</v>
      </c>
      <c r="B41" s="163" t="s">
        <v>23</v>
      </c>
      <c r="C41" s="161"/>
      <c r="D41" s="161">
        <v>40577500</v>
      </c>
      <c r="E41" s="161">
        <f>1602510+404250</f>
        <v>2006760</v>
      </c>
      <c r="F41" s="161">
        <v>28600375</v>
      </c>
      <c r="G41" s="161">
        <v>5778410</v>
      </c>
      <c r="H41" s="161">
        <f>74691000-8758650</f>
        <v>65932350</v>
      </c>
      <c r="I41" s="161">
        <f>SUM(C41:G42)</f>
        <v>76963045</v>
      </c>
      <c r="J41" s="161"/>
      <c r="K41" s="161"/>
      <c r="L41" s="161">
        <v>84</v>
      </c>
      <c r="M41" s="161">
        <f>I41/L41</f>
        <v>916226.72619047621</v>
      </c>
      <c r="N41" s="161">
        <v>9</v>
      </c>
      <c r="O41" s="166" t="s">
        <v>66</v>
      </c>
    </row>
    <row r="42" spans="1:15" ht="27" hidden="1" customHeight="1" x14ac:dyDescent="0.25">
      <c r="A42" s="162"/>
      <c r="B42" s="16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6"/>
    </row>
    <row r="43" spans="1:15" ht="27" hidden="1" customHeight="1" x14ac:dyDescent="0.25">
      <c r="A43" s="162">
        <v>45857</v>
      </c>
      <c r="B43" s="163" t="s">
        <v>25</v>
      </c>
      <c r="C43" s="161">
        <v>2357317</v>
      </c>
      <c r="D43" s="161">
        <v>2992332</v>
      </c>
      <c r="E43" s="161">
        <v>10762836</v>
      </c>
      <c r="F43" s="161"/>
      <c r="G43" s="161"/>
      <c r="H43" s="161">
        <f>14175000-97200</f>
        <v>14077800</v>
      </c>
      <c r="I43" s="161">
        <f>SUM(C43:G44)</f>
        <v>16112485</v>
      </c>
      <c r="J43" s="161"/>
      <c r="K43" s="161"/>
      <c r="L43" s="161">
        <v>16</v>
      </c>
      <c r="M43" s="161">
        <f>I43/L43</f>
        <v>1007030.3125</v>
      </c>
      <c r="N43" s="161">
        <v>10</v>
      </c>
      <c r="O43" s="165"/>
    </row>
    <row r="44" spans="1:15" ht="27" hidden="1" customHeight="1" x14ac:dyDescent="0.25">
      <c r="A44" s="162"/>
      <c r="B44" s="16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6"/>
    </row>
    <row r="45" spans="1:15" ht="27" hidden="1" customHeight="1" x14ac:dyDescent="0.25">
      <c r="A45" s="162">
        <v>45858</v>
      </c>
      <c r="B45" s="163" t="s">
        <v>27</v>
      </c>
      <c r="C45" s="161"/>
      <c r="D45" s="161"/>
      <c r="E45" s="161">
        <v>395199</v>
      </c>
      <c r="F45" s="161"/>
      <c r="G45" s="161"/>
      <c r="H45" s="161">
        <f>410000-61500</f>
        <v>348500</v>
      </c>
      <c r="I45" s="161">
        <f>SUM(C45:G46)</f>
        <v>395199</v>
      </c>
      <c r="J45" s="161"/>
      <c r="K45" s="161"/>
      <c r="L45" s="161">
        <v>1</v>
      </c>
      <c r="M45" s="161">
        <f>I45/L45</f>
        <v>395199</v>
      </c>
      <c r="N45" s="161">
        <v>1</v>
      </c>
      <c r="O45" s="165"/>
    </row>
    <row r="46" spans="1:15" ht="27" hidden="1" customHeight="1" x14ac:dyDescent="0.25">
      <c r="A46" s="162"/>
      <c r="B46" s="164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6"/>
    </row>
    <row r="47" spans="1:15" ht="76.5" hidden="1" customHeight="1" x14ac:dyDescent="0.25">
      <c r="A47" s="162">
        <v>45859</v>
      </c>
      <c r="B47" s="163" t="s">
        <v>30</v>
      </c>
      <c r="C47" s="161"/>
      <c r="D47" s="161">
        <v>1111320</v>
      </c>
      <c r="E47" s="161">
        <v>50273706</v>
      </c>
      <c r="F47" s="161">
        <f>12807340+4863839</f>
        <v>17671179</v>
      </c>
      <c r="G47" s="161"/>
      <c r="H47" s="161">
        <f>I47/1.155</f>
        <v>59788922.077922076</v>
      </c>
      <c r="I47" s="161">
        <f>SUM(C47:G48)</f>
        <v>69056205</v>
      </c>
      <c r="J47" s="161"/>
      <c r="K47" s="161"/>
      <c r="L47" s="161">
        <v>26</v>
      </c>
      <c r="M47" s="161">
        <f>I47/L47</f>
        <v>2656007.8846153845</v>
      </c>
      <c r="N47" s="161">
        <v>6</v>
      </c>
      <c r="O47" s="169" t="s">
        <v>96</v>
      </c>
    </row>
    <row r="48" spans="1:15" ht="27" hidden="1" customHeight="1" x14ac:dyDescent="0.25">
      <c r="A48" s="162"/>
      <c r="B48" s="16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70"/>
    </row>
    <row r="49" spans="1:15" ht="45" x14ac:dyDescent="0.25">
      <c r="A49" s="171" t="s">
        <v>36</v>
      </c>
      <c r="B49" s="171"/>
      <c r="C49" s="52">
        <f>SUM(C50:C67)</f>
        <v>2258305</v>
      </c>
      <c r="D49" s="52">
        <f t="shared" ref="D49:O49" si="3">SUM(D50:D67)</f>
        <v>21624708</v>
      </c>
      <c r="E49" s="52">
        <f t="shared" si="3"/>
        <v>122901726</v>
      </c>
      <c r="F49" s="52">
        <f t="shared" si="3"/>
        <v>66841455</v>
      </c>
      <c r="G49" s="52">
        <f t="shared" si="3"/>
        <v>9053699</v>
      </c>
      <c r="H49" s="52">
        <f t="shared" si="3"/>
        <v>192945825.97402596</v>
      </c>
      <c r="I49" s="52">
        <f t="shared" si="3"/>
        <v>222679893</v>
      </c>
      <c r="J49" s="52">
        <f t="shared" si="3"/>
        <v>0</v>
      </c>
      <c r="K49" s="52">
        <f t="shared" si="3"/>
        <v>0</v>
      </c>
      <c r="L49" s="52">
        <f t="shared" si="3"/>
        <v>141</v>
      </c>
      <c r="M49" s="52">
        <f>I49/L49</f>
        <v>1579290.0212765958</v>
      </c>
      <c r="N49" s="52">
        <f t="shared" si="3"/>
        <v>74</v>
      </c>
      <c r="O49" s="52">
        <f t="shared" si="3"/>
        <v>0</v>
      </c>
    </row>
    <row r="50" spans="1:15" ht="27" customHeight="1" x14ac:dyDescent="0.25">
      <c r="A50" s="162">
        <v>45860</v>
      </c>
      <c r="B50" s="163" t="s">
        <v>31</v>
      </c>
      <c r="C50" s="161">
        <f>725760+806785</f>
        <v>1532545</v>
      </c>
      <c r="D50" s="161">
        <f>23268298-18632506</f>
        <v>4635792</v>
      </c>
      <c r="E50" s="161">
        <v>7928844</v>
      </c>
      <c r="F50" s="161"/>
      <c r="G50" s="161"/>
      <c r="H50" s="161">
        <f>I50/1.155</f>
        <v>12205351.515151516</v>
      </c>
      <c r="I50" s="161">
        <f>SUM(C50:G51)</f>
        <v>14097181</v>
      </c>
      <c r="J50" s="161"/>
      <c r="K50" s="161"/>
      <c r="L50" s="161">
        <v>12</v>
      </c>
      <c r="M50" s="161">
        <f>I50/L50</f>
        <v>1174765.0833333333</v>
      </c>
      <c r="N50" s="161">
        <v>7</v>
      </c>
      <c r="O50" s="165"/>
    </row>
    <row r="51" spans="1:15" ht="27" customHeight="1" x14ac:dyDescent="0.25">
      <c r="A51" s="162"/>
      <c r="B51" s="16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6"/>
    </row>
    <row r="52" spans="1:15" ht="97.5" customHeight="1" x14ac:dyDescent="0.25">
      <c r="A52" s="162">
        <v>45861</v>
      </c>
      <c r="B52" s="163" t="s">
        <v>32</v>
      </c>
      <c r="C52" s="161"/>
      <c r="D52" s="161">
        <f>12809929-9819571</f>
        <v>2990358</v>
      </c>
      <c r="E52" s="161">
        <v>39384286</v>
      </c>
      <c r="F52" s="161">
        <f>6464724+1478623</f>
        <v>7943347</v>
      </c>
      <c r="G52" s="161">
        <v>3611563</v>
      </c>
      <c r="H52" s="161">
        <f>I52/1.155</f>
        <v>46692254.545454547</v>
      </c>
      <c r="I52" s="161">
        <f>SUM(C52:G53)</f>
        <v>53929554</v>
      </c>
      <c r="J52" s="161"/>
      <c r="K52" s="161"/>
      <c r="L52" s="161">
        <v>42</v>
      </c>
      <c r="M52" s="161">
        <f>I52/L52</f>
        <v>1284037</v>
      </c>
      <c r="N52" s="161">
        <v>19</v>
      </c>
      <c r="O52" s="165" t="s">
        <v>97</v>
      </c>
    </row>
    <row r="53" spans="1:15" ht="27" customHeight="1" x14ac:dyDescent="0.25">
      <c r="A53" s="162"/>
      <c r="B53" s="16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6"/>
    </row>
    <row r="54" spans="1:15" ht="27" customHeight="1" x14ac:dyDescent="0.25">
      <c r="A54" s="162">
        <v>45862</v>
      </c>
      <c r="B54" s="163" t="s">
        <v>21</v>
      </c>
      <c r="C54" s="161"/>
      <c r="D54" s="161"/>
      <c r="E54" s="161">
        <v>6453888</v>
      </c>
      <c r="F54" s="161"/>
      <c r="G54" s="161"/>
      <c r="H54" s="161">
        <f t="shared" ref="H54" si="4">I54/1.155</f>
        <v>5587781.8181818184</v>
      </c>
      <c r="I54" s="161">
        <f t="shared" ref="I54" si="5">SUM(C54:G55)</f>
        <v>6453888</v>
      </c>
      <c r="J54" s="161"/>
      <c r="K54" s="161"/>
      <c r="L54" s="161">
        <v>5</v>
      </c>
      <c r="M54" s="161">
        <f>I54/L54</f>
        <v>1290777.6000000001</v>
      </c>
      <c r="N54" s="161">
        <v>2</v>
      </c>
      <c r="O54" s="165"/>
    </row>
    <row r="55" spans="1:15" ht="27" customHeight="1" x14ac:dyDescent="0.25">
      <c r="A55" s="162"/>
      <c r="B55" s="164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6"/>
    </row>
    <row r="56" spans="1:15" ht="27" customHeight="1" x14ac:dyDescent="0.25">
      <c r="A56" s="162">
        <v>45863</v>
      </c>
      <c r="B56" s="163" t="s">
        <v>23</v>
      </c>
      <c r="C56" s="161"/>
      <c r="D56" s="161"/>
      <c r="E56" s="161">
        <f>1216866+9739212+1317750</f>
        <v>12273828</v>
      </c>
      <c r="F56" s="161">
        <f>3747643+35800040</f>
        <v>39547683</v>
      </c>
      <c r="G56" s="161"/>
      <c r="H56" s="161">
        <f t="shared" ref="H56" si="6">I56/1.155</f>
        <v>44867109.090909086</v>
      </c>
      <c r="I56" s="161">
        <f t="shared" ref="I56:I66" si="7">SUM(C56:G57)</f>
        <v>51821511</v>
      </c>
      <c r="J56" s="161"/>
      <c r="K56" s="161"/>
      <c r="L56" s="161">
        <v>25</v>
      </c>
      <c r="M56" s="161">
        <f>I56/L56</f>
        <v>2072860.44</v>
      </c>
      <c r="N56" s="161">
        <v>10</v>
      </c>
      <c r="O56" s="165" t="s">
        <v>66</v>
      </c>
    </row>
    <row r="57" spans="1:15" ht="27" customHeight="1" x14ac:dyDescent="0.25">
      <c r="A57" s="162"/>
      <c r="B57" s="16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6"/>
    </row>
    <row r="58" spans="1:15" ht="27" customHeight="1" x14ac:dyDescent="0.25">
      <c r="A58" s="162">
        <v>45864</v>
      </c>
      <c r="B58" s="163" t="s">
        <v>25</v>
      </c>
      <c r="C58" s="161">
        <v>725760</v>
      </c>
      <c r="D58" s="161">
        <v>4702110</v>
      </c>
      <c r="E58" s="161"/>
      <c r="F58" s="161"/>
      <c r="G58" s="161"/>
      <c r="H58" s="161">
        <v>4780000</v>
      </c>
      <c r="I58" s="161">
        <f t="shared" si="7"/>
        <v>5427870</v>
      </c>
      <c r="J58" s="161"/>
      <c r="K58" s="161"/>
      <c r="L58" s="161">
        <v>3</v>
      </c>
      <c r="M58" s="161">
        <f>I58/L58</f>
        <v>1809290</v>
      </c>
      <c r="N58" s="161">
        <v>3</v>
      </c>
      <c r="O58" s="165"/>
    </row>
    <row r="59" spans="1:15" ht="27" customHeight="1" x14ac:dyDescent="0.25">
      <c r="A59" s="162"/>
      <c r="B59" s="16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6"/>
    </row>
    <row r="60" spans="1:15" ht="27" customHeight="1" x14ac:dyDescent="0.25">
      <c r="A60" s="162">
        <v>45865</v>
      </c>
      <c r="B60" s="163" t="s">
        <v>27</v>
      </c>
      <c r="C60" s="161"/>
      <c r="D60" s="159">
        <v>2388036</v>
      </c>
      <c r="E60" s="159">
        <v>3914988</v>
      </c>
      <c r="F60" s="159"/>
      <c r="G60" s="159"/>
      <c r="H60" s="161">
        <v>5526000</v>
      </c>
      <c r="I60" s="161">
        <f t="shared" si="7"/>
        <v>6303024</v>
      </c>
      <c r="J60" s="159"/>
      <c r="K60" s="159"/>
      <c r="L60" s="159">
        <v>3</v>
      </c>
      <c r="M60" s="161">
        <f>I60/L60</f>
        <v>2101008</v>
      </c>
      <c r="N60" s="159">
        <v>4</v>
      </c>
      <c r="O60" s="166"/>
    </row>
    <row r="61" spans="1:15" ht="27" customHeight="1" x14ac:dyDescent="0.25">
      <c r="A61" s="162"/>
      <c r="B61" s="164"/>
      <c r="C61" s="161"/>
      <c r="D61" s="160"/>
      <c r="E61" s="160"/>
      <c r="F61" s="160"/>
      <c r="G61" s="160"/>
      <c r="H61" s="161"/>
      <c r="I61" s="161"/>
      <c r="J61" s="160"/>
      <c r="K61" s="160"/>
      <c r="L61" s="160"/>
      <c r="M61" s="161"/>
      <c r="N61" s="160"/>
      <c r="O61" s="166"/>
    </row>
    <row r="62" spans="1:15" ht="27" customHeight="1" x14ac:dyDescent="0.25">
      <c r="A62" s="162">
        <v>45866</v>
      </c>
      <c r="B62" s="163" t="s">
        <v>30</v>
      </c>
      <c r="C62" s="161"/>
      <c r="D62" s="159">
        <v>3256680</v>
      </c>
      <c r="E62" s="159">
        <v>26004653</v>
      </c>
      <c r="F62" s="159">
        <v>16611853</v>
      </c>
      <c r="G62" s="159"/>
      <c r="H62" s="161">
        <f>I62/1.155</f>
        <v>39717044.155844152</v>
      </c>
      <c r="I62" s="161">
        <f t="shared" si="7"/>
        <v>45873186</v>
      </c>
      <c r="J62" s="159"/>
      <c r="K62" s="159"/>
      <c r="L62" s="159">
        <v>19</v>
      </c>
      <c r="M62" s="159">
        <f>I62/L62</f>
        <v>2414378.210526316</v>
      </c>
      <c r="N62" s="159">
        <v>8</v>
      </c>
      <c r="O62" s="194"/>
    </row>
    <row r="63" spans="1:15" ht="27" customHeight="1" x14ac:dyDescent="0.25">
      <c r="A63" s="162"/>
      <c r="B63" s="164"/>
      <c r="C63" s="161"/>
      <c r="D63" s="160"/>
      <c r="E63" s="160"/>
      <c r="F63" s="160"/>
      <c r="G63" s="160"/>
      <c r="H63" s="161"/>
      <c r="I63" s="161"/>
      <c r="J63" s="160"/>
      <c r="K63" s="160"/>
      <c r="L63" s="160"/>
      <c r="M63" s="160"/>
      <c r="N63" s="160"/>
      <c r="O63" s="195"/>
    </row>
    <row r="64" spans="1:15" ht="27" customHeight="1" x14ac:dyDescent="0.25">
      <c r="A64" s="162">
        <v>45867</v>
      </c>
      <c r="B64" s="163" t="s">
        <v>31</v>
      </c>
      <c r="C64" s="161"/>
      <c r="D64" s="159"/>
      <c r="E64" s="159">
        <f>1673280+12271857</f>
        <v>13945137</v>
      </c>
      <c r="F64" s="159"/>
      <c r="G64" s="159">
        <v>5442136</v>
      </c>
      <c r="H64" s="161">
        <f>I64/1.155</f>
        <v>16785517.748917747</v>
      </c>
      <c r="I64" s="161">
        <f t="shared" si="7"/>
        <v>19387273</v>
      </c>
      <c r="J64" s="159"/>
      <c r="K64" s="159"/>
      <c r="L64" s="159">
        <v>14</v>
      </c>
      <c r="M64" s="159">
        <f t="shared" ref="M64" si="8">I64/L64</f>
        <v>1384805.2142857143</v>
      </c>
      <c r="N64" s="159">
        <v>11</v>
      </c>
      <c r="O64" s="165"/>
    </row>
    <row r="65" spans="1:15" ht="27" customHeight="1" x14ac:dyDescent="0.25">
      <c r="A65" s="162"/>
      <c r="B65" s="164"/>
      <c r="C65" s="161"/>
      <c r="D65" s="160"/>
      <c r="E65" s="160"/>
      <c r="F65" s="160"/>
      <c r="G65" s="160"/>
      <c r="H65" s="161"/>
      <c r="I65" s="161"/>
      <c r="J65" s="160"/>
      <c r="K65" s="160"/>
      <c r="L65" s="160"/>
      <c r="M65" s="160"/>
      <c r="N65" s="160"/>
      <c r="O65" s="166"/>
    </row>
    <row r="66" spans="1:15" ht="51.75" customHeight="1" x14ac:dyDescent="0.25">
      <c r="A66" s="162">
        <v>45868</v>
      </c>
      <c r="B66" s="163" t="s">
        <v>32</v>
      </c>
      <c r="C66" s="161"/>
      <c r="D66" s="159">
        <f>39451772-35800040</f>
        <v>3651732</v>
      </c>
      <c r="E66" s="159">
        <v>12996102</v>
      </c>
      <c r="F66" s="159">
        <v>2738572</v>
      </c>
      <c r="G66" s="159"/>
      <c r="H66" s="161">
        <f>I66/1.155</f>
        <v>16784767.0995671</v>
      </c>
      <c r="I66" s="161">
        <f t="shared" si="7"/>
        <v>19386406</v>
      </c>
      <c r="J66" s="159"/>
      <c r="K66" s="159"/>
      <c r="L66" s="159">
        <v>18</v>
      </c>
      <c r="M66" s="159">
        <f t="shared" ref="M66" si="9">I66/L66</f>
        <v>1077022.5555555555</v>
      </c>
      <c r="N66" s="159">
        <v>10</v>
      </c>
      <c r="O66" s="165" t="s">
        <v>98</v>
      </c>
    </row>
    <row r="67" spans="1:15" ht="13.5" customHeight="1" x14ac:dyDescent="0.25">
      <c r="A67" s="162"/>
      <c r="B67" s="164"/>
      <c r="C67" s="161"/>
      <c r="D67" s="160"/>
      <c r="E67" s="160"/>
      <c r="F67" s="160"/>
      <c r="G67" s="160"/>
      <c r="H67" s="161"/>
      <c r="I67" s="161"/>
      <c r="J67" s="160"/>
      <c r="K67" s="160"/>
      <c r="L67" s="160"/>
      <c r="M67" s="160"/>
      <c r="N67" s="160"/>
      <c r="O67" s="166"/>
    </row>
    <row r="68" spans="1:15" ht="45" x14ac:dyDescent="0.25">
      <c r="A68" s="158" t="s">
        <v>40</v>
      </c>
      <c r="B68" s="158"/>
      <c r="C68" s="54">
        <f t="shared" ref="C68:L68" si="10">C4+C19+C34+C49</f>
        <v>60804205</v>
      </c>
      <c r="D68" s="54">
        <f t="shared" si="10"/>
        <v>201226802</v>
      </c>
      <c r="E68" s="54">
        <f t="shared" si="10"/>
        <v>374257771</v>
      </c>
      <c r="F68" s="54">
        <f t="shared" si="10"/>
        <v>282346499</v>
      </c>
      <c r="G68" s="54">
        <f t="shared" si="10"/>
        <v>51384230</v>
      </c>
      <c r="H68" s="54">
        <f>H4+H19+H34+H49</f>
        <v>834183588.00865805</v>
      </c>
      <c r="I68" s="54">
        <f>I34+I19+I4+I49</f>
        <v>970019507</v>
      </c>
      <c r="J68" s="54">
        <f t="shared" si="10"/>
        <v>0</v>
      </c>
      <c r="K68" s="54">
        <f t="shared" si="10"/>
        <v>0</v>
      </c>
      <c r="L68" s="54">
        <f t="shared" si="10"/>
        <v>604</v>
      </c>
      <c r="M68" s="54">
        <f>I68/L68</f>
        <v>1605992.5612582781</v>
      </c>
      <c r="N68" s="54">
        <f>N4+N19+N34+N49</f>
        <v>222</v>
      </c>
      <c r="O68" s="56" t="s">
        <v>85</v>
      </c>
    </row>
  </sheetData>
  <mergeCells count="466">
    <mergeCell ref="A1:O1"/>
    <mergeCell ref="A2:A3"/>
    <mergeCell ref="B2:B3"/>
    <mergeCell ref="C2:G2"/>
    <mergeCell ref="H2:H3"/>
    <mergeCell ref="I2:I3"/>
    <mergeCell ref="L2:L3"/>
    <mergeCell ref="M2:M3"/>
    <mergeCell ref="N2:N3"/>
    <mergeCell ref="O2:O3"/>
    <mergeCell ref="J3:K3"/>
    <mergeCell ref="A4:B4"/>
    <mergeCell ref="A5:A6"/>
    <mergeCell ref="B5:B6"/>
    <mergeCell ref="C5:C6"/>
    <mergeCell ref="D5:D6"/>
    <mergeCell ref="E5:E6"/>
    <mergeCell ref="F5:F6"/>
    <mergeCell ref="G5:G6"/>
    <mergeCell ref="H5:H6"/>
    <mergeCell ref="J7:J8"/>
    <mergeCell ref="K7:K8"/>
    <mergeCell ref="L7:L8"/>
    <mergeCell ref="M7:M8"/>
    <mergeCell ref="N7:N8"/>
    <mergeCell ref="O7:O8"/>
    <mergeCell ref="O5:O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11:A12"/>
    <mergeCell ref="B11:B12"/>
    <mergeCell ref="C11:C12"/>
    <mergeCell ref="D11:D12"/>
    <mergeCell ref="E11:E12"/>
    <mergeCell ref="F11:F12"/>
    <mergeCell ref="G11:G12"/>
    <mergeCell ref="G9:G10"/>
    <mergeCell ref="H9:H10"/>
    <mergeCell ref="A9:A10"/>
    <mergeCell ref="B9:B10"/>
    <mergeCell ref="C9:C10"/>
    <mergeCell ref="D9:D10"/>
    <mergeCell ref="E9:E10"/>
    <mergeCell ref="F9:F10"/>
    <mergeCell ref="H11:H12"/>
    <mergeCell ref="M9:M10"/>
    <mergeCell ref="N9:N10"/>
    <mergeCell ref="I11:I12"/>
    <mergeCell ref="J11:J12"/>
    <mergeCell ref="K11:K12"/>
    <mergeCell ref="L11:L12"/>
    <mergeCell ref="M11:M12"/>
    <mergeCell ref="O9:O10"/>
    <mergeCell ref="I9:I10"/>
    <mergeCell ref="J9:J10"/>
    <mergeCell ref="K9:K10"/>
    <mergeCell ref="L9:L10"/>
    <mergeCell ref="N11:N12"/>
    <mergeCell ref="O11:O12"/>
    <mergeCell ref="F17:F18"/>
    <mergeCell ref="M20:M21"/>
    <mergeCell ref="N20:N21"/>
    <mergeCell ref="N15:N16"/>
    <mergeCell ref="C13:C14"/>
    <mergeCell ref="D13:D14"/>
    <mergeCell ref="E13:E14"/>
    <mergeCell ref="F13:F14"/>
    <mergeCell ref="G13:G14"/>
    <mergeCell ref="H13:H14"/>
    <mergeCell ref="E17:E18"/>
    <mergeCell ref="O15:O16"/>
    <mergeCell ref="O13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A13:A14"/>
    <mergeCell ref="B13:B14"/>
    <mergeCell ref="J15:J16"/>
    <mergeCell ref="K15:K16"/>
    <mergeCell ref="L15:L16"/>
    <mergeCell ref="M15:M16"/>
    <mergeCell ref="J22:J23"/>
    <mergeCell ref="K22:K23"/>
    <mergeCell ref="L22:L23"/>
    <mergeCell ref="M22:M23"/>
    <mergeCell ref="M17:M18"/>
    <mergeCell ref="N17:N18"/>
    <mergeCell ref="O17:O18"/>
    <mergeCell ref="A19:B19"/>
    <mergeCell ref="A20:A21"/>
    <mergeCell ref="B20:B21"/>
    <mergeCell ref="C20:C21"/>
    <mergeCell ref="D20:D21"/>
    <mergeCell ref="E20:E21"/>
    <mergeCell ref="F20:F21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C24:C25"/>
    <mergeCell ref="D24:D25"/>
    <mergeCell ref="E24:E25"/>
    <mergeCell ref="F24:F25"/>
    <mergeCell ref="G24:G25"/>
    <mergeCell ref="H24:H25"/>
    <mergeCell ref="H22:H23"/>
    <mergeCell ref="O20:O21"/>
    <mergeCell ref="A22:A23"/>
    <mergeCell ref="B22:B23"/>
    <mergeCell ref="C22:C23"/>
    <mergeCell ref="D22:D23"/>
    <mergeCell ref="E22:E23"/>
    <mergeCell ref="F22:F23"/>
    <mergeCell ref="G22:G23"/>
    <mergeCell ref="G20:G21"/>
    <mergeCell ref="H20:H21"/>
    <mergeCell ref="I20:I21"/>
    <mergeCell ref="J20:J21"/>
    <mergeCell ref="K20:K21"/>
    <mergeCell ref="L20:L21"/>
    <mergeCell ref="N22:N23"/>
    <mergeCell ref="O22:O23"/>
    <mergeCell ref="I22:I23"/>
    <mergeCell ref="J26:J27"/>
    <mergeCell ref="K26:K27"/>
    <mergeCell ref="L26:L27"/>
    <mergeCell ref="M26:M27"/>
    <mergeCell ref="N26:N27"/>
    <mergeCell ref="O26:O27"/>
    <mergeCell ref="O24:O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I24:I25"/>
    <mergeCell ref="J24:J25"/>
    <mergeCell ref="K24:K25"/>
    <mergeCell ref="L24:L25"/>
    <mergeCell ref="M24:M25"/>
    <mergeCell ref="N24:N25"/>
    <mergeCell ref="A24:A25"/>
    <mergeCell ref="B24:B25"/>
    <mergeCell ref="O32:O33"/>
    <mergeCell ref="I32:I33"/>
    <mergeCell ref="J32:J33"/>
    <mergeCell ref="K32:K33"/>
    <mergeCell ref="A30:A31"/>
    <mergeCell ref="B30:B31"/>
    <mergeCell ref="C30:C31"/>
    <mergeCell ref="D30:D31"/>
    <mergeCell ref="E30:E31"/>
    <mergeCell ref="F30:F31"/>
    <mergeCell ref="G30:G31"/>
    <mergeCell ref="H30:H31"/>
    <mergeCell ref="L32:L33"/>
    <mergeCell ref="M32:M33"/>
    <mergeCell ref="N32:N33"/>
    <mergeCell ref="A32:A33"/>
    <mergeCell ref="D32:D33"/>
    <mergeCell ref="E32:E33"/>
    <mergeCell ref="F32:F33"/>
    <mergeCell ref="G32:G33"/>
    <mergeCell ref="H32:H33"/>
    <mergeCell ref="B32:B33"/>
    <mergeCell ref="C32:C33"/>
    <mergeCell ref="N28:N29"/>
    <mergeCell ref="O28:O29"/>
    <mergeCell ref="I28:I29"/>
    <mergeCell ref="J28:J29"/>
    <mergeCell ref="K28:K29"/>
    <mergeCell ref="L28:L29"/>
    <mergeCell ref="N30:N31"/>
    <mergeCell ref="O30:O31"/>
    <mergeCell ref="I30:I31"/>
    <mergeCell ref="J30:J31"/>
    <mergeCell ref="K30:K31"/>
    <mergeCell ref="L30:L31"/>
    <mergeCell ref="M30:M31"/>
    <mergeCell ref="A34:B34"/>
    <mergeCell ref="M28:M29"/>
    <mergeCell ref="G28:G29"/>
    <mergeCell ref="H28:H29"/>
    <mergeCell ref="A28:A29"/>
    <mergeCell ref="B28:B29"/>
    <mergeCell ref="C28:C29"/>
    <mergeCell ref="D28:D29"/>
    <mergeCell ref="E28:E29"/>
    <mergeCell ref="F28:F29"/>
    <mergeCell ref="O35:O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A36"/>
    <mergeCell ref="B35:B36"/>
    <mergeCell ref="C35:C36"/>
    <mergeCell ref="D35:D36"/>
    <mergeCell ref="E35:E36"/>
    <mergeCell ref="F35:F36"/>
    <mergeCell ref="G35:G36"/>
    <mergeCell ref="H35:H36"/>
    <mergeCell ref="F39:F40"/>
    <mergeCell ref="N41:N42"/>
    <mergeCell ref="O41:O42"/>
    <mergeCell ref="J37:J38"/>
    <mergeCell ref="K37:K38"/>
    <mergeCell ref="L37:L38"/>
    <mergeCell ref="M37:M38"/>
    <mergeCell ref="N37:N38"/>
    <mergeCell ref="O37:O38"/>
    <mergeCell ref="I41:I42"/>
    <mergeCell ref="J41:J42"/>
    <mergeCell ref="K41:K42"/>
    <mergeCell ref="L41:L42"/>
    <mergeCell ref="M41:M42"/>
    <mergeCell ref="G43:G44"/>
    <mergeCell ref="H43:H44"/>
    <mergeCell ref="H41:H42"/>
    <mergeCell ref="M39:M40"/>
    <mergeCell ref="N39:N40"/>
    <mergeCell ref="O39:O40"/>
    <mergeCell ref="A41:A42"/>
    <mergeCell ref="B41:B42"/>
    <mergeCell ref="C41:C42"/>
    <mergeCell ref="D41:D42"/>
    <mergeCell ref="E41:E42"/>
    <mergeCell ref="F41:F42"/>
    <mergeCell ref="G41:G42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J45:J46"/>
    <mergeCell ref="K45:K46"/>
    <mergeCell ref="L45:L46"/>
    <mergeCell ref="M45:M46"/>
    <mergeCell ref="N45:N46"/>
    <mergeCell ref="O45:O46"/>
    <mergeCell ref="O43:O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M47:M48"/>
    <mergeCell ref="N47:N48"/>
    <mergeCell ref="O47:O48"/>
    <mergeCell ref="A49:B49"/>
    <mergeCell ref="A50:A51"/>
    <mergeCell ref="B50:B51"/>
    <mergeCell ref="C50:C51"/>
    <mergeCell ref="D50:D51"/>
    <mergeCell ref="E50:E51"/>
    <mergeCell ref="F50:F51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M50:M51"/>
    <mergeCell ref="N50:N51"/>
    <mergeCell ref="H52:H53"/>
    <mergeCell ref="O50:O51"/>
    <mergeCell ref="A52:A53"/>
    <mergeCell ref="B52:B53"/>
    <mergeCell ref="C52:C53"/>
    <mergeCell ref="D52:D53"/>
    <mergeCell ref="E52:E53"/>
    <mergeCell ref="F52:F53"/>
    <mergeCell ref="G52:G53"/>
    <mergeCell ref="G50:G51"/>
    <mergeCell ref="H50:H51"/>
    <mergeCell ref="I50:I51"/>
    <mergeCell ref="J50:J51"/>
    <mergeCell ref="K50:K51"/>
    <mergeCell ref="L50:L51"/>
    <mergeCell ref="N52:N53"/>
    <mergeCell ref="O52:O53"/>
    <mergeCell ref="I52:I53"/>
    <mergeCell ref="J52:J53"/>
    <mergeCell ref="K52:K53"/>
    <mergeCell ref="L52:L53"/>
    <mergeCell ref="M52:M53"/>
    <mergeCell ref="O54:O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I54:I55"/>
    <mergeCell ref="J54:J55"/>
    <mergeCell ref="K54:K55"/>
    <mergeCell ref="L54:L55"/>
    <mergeCell ref="M54:M55"/>
    <mergeCell ref="N54:N55"/>
    <mergeCell ref="A54:A55"/>
    <mergeCell ref="B54:B55"/>
    <mergeCell ref="C54:C55"/>
    <mergeCell ref="D54:D55"/>
    <mergeCell ref="E54:E55"/>
    <mergeCell ref="F54:F55"/>
    <mergeCell ref="G54:G55"/>
    <mergeCell ref="H54:H55"/>
    <mergeCell ref="F58:F59"/>
    <mergeCell ref="N60:N61"/>
    <mergeCell ref="O60:O61"/>
    <mergeCell ref="J56:J57"/>
    <mergeCell ref="K56:K57"/>
    <mergeCell ref="L56:L57"/>
    <mergeCell ref="M56:M57"/>
    <mergeCell ref="N56:N57"/>
    <mergeCell ref="O56:O57"/>
    <mergeCell ref="I60:I61"/>
    <mergeCell ref="J60:J61"/>
    <mergeCell ref="K60:K61"/>
    <mergeCell ref="L60:L61"/>
    <mergeCell ref="M60:M61"/>
    <mergeCell ref="H60:H61"/>
    <mergeCell ref="M58:M59"/>
    <mergeCell ref="N58:N59"/>
    <mergeCell ref="O58:O59"/>
    <mergeCell ref="I58:I59"/>
    <mergeCell ref="J58:J59"/>
    <mergeCell ref="K58:K59"/>
    <mergeCell ref="L58:L59"/>
    <mergeCell ref="A60:A61"/>
    <mergeCell ref="B60:B61"/>
    <mergeCell ref="C60:C61"/>
    <mergeCell ref="D60:D61"/>
    <mergeCell ref="E60:E61"/>
    <mergeCell ref="F60:F61"/>
    <mergeCell ref="G60:G61"/>
    <mergeCell ref="G58:G59"/>
    <mergeCell ref="H58:H59"/>
    <mergeCell ref="A58:A59"/>
    <mergeCell ref="B58:B59"/>
    <mergeCell ref="C58:C59"/>
    <mergeCell ref="D58:D59"/>
    <mergeCell ref="E58:E59"/>
    <mergeCell ref="O62:O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62:I63"/>
    <mergeCell ref="J62:J63"/>
    <mergeCell ref="K62:K63"/>
    <mergeCell ref="L62:L63"/>
    <mergeCell ref="M62:M63"/>
    <mergeCell ref="N62:N63"/>
    <mergeCell ref="A62:A63"/>
    <mergeCell ref="B62:B63"/>
    <mergeCell ref="G62:G63"/>
    <mergeCell ref="H62:H63"/>
    <mergeCell ref="C62:C63"/>
    <mergeCell ref="D62:D63"/>
    <mergeCell ref="E62:E63"/>
    <mergeCell ref="F62:F63"/>
    <mergeCell ref="A68:B68"/>
    <mergeCell ref="G66:G67"/>
    <mergeCell ref="H66:H67"/>
    <mergeCell ref="I66:I67"/>
    <mergeCell ref="J66:J67"/>
    <mergeCell ref="K66:K67"/>
    <mergeCell ref="L66:L67"/>
    <mergeCell ref="A66:A67"/>
    <mergeCell ref="B66:B67"/>
    <mergeCell ref="C66:C67"/>
    <mergeCell ref="D66:D67"/>
    <mergeCell ref="E66:E67"/>
    <mergeCell ref="F66:F67"/>
    <mergeCell ref="J64:J65"/>
    <mergeCell ref="K64:K65"/>
    <mergeCell ref="L64:L65"/>
    <mergeCell ref="M64:M65"/>
    <mergeCell ref="N64:N65"/>
    <mergeCell ref="O64:O65"/>
    <mergeCell ref="M66:M67"/>
    <mergeCell ref="N66:N67"/>
    <mergeCell ref="O66:O67"/>
  </mergeCells>
  <pageMargins left="0.7" right="0.7" top="0.75" bottom="0.75" header="0.3" footer="0.3"/>
  <pageSetup paperSize="122" orientation="portrait" horizontalDpi="180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0F31-4E9A-4B25-8ACA-E70644133695}">
  <dimension ref="A1:O68"/>
  <sheetViews>
    <sheetView zoomScale="18" zoomScaleNormal="85" workbookViewId="0">
      <selection activeCell="O68" sqref="A1:O68"/>
    </sheetView>
  </sheetViews>
  <sheetFormatPr defaultColWidth="9.140625" defaultRowHeight="15" x14ac:dyDescent="0.25"/>
  <cols>
    <col min="1" max="1" width="41.28515625" bestFit="1" customWidth="1"/>
    <col min="2" max="2" width="32.28515625" bestFit="1" customWidth="1"/>
    <col min="3" max="3" width="52.7109375" hidden="1" customWidth="1"/>
    <col min="4" max="4" width="72.28515625" hidden="1" customWidth="1"/>
    <col min="5" max="5" width="57.28515625" hidden="1" customWidth="1"/>
    <col min="6" max="6" width="52.5703125" hidden="1" customWidth="1"/>
    <col min="7" max="7" width="65.28515625" hidden="1" customWidth="1"/>
    <col min="8" max="8" width="75.7109375" customWidth="1"/>
    <col min="9" max="9" width="73.85546875" customWidth="1"/>
    <col min="10" max="11" width="17.7109375" hidden="1" customWidth="1"/>
    <col min="12" max="12" width="22.42578125" customWidth="1"/>
    <col min="13" max="13" width="50.85546875" customWidth="1"/>
    <col min="14" max="14" width="28.7109375" customWidth="1"/>
    <col min="15" max="15" width="97.5703125" style="57" bestFit="1" customWidth="1"/>
  </cols>
  <sheetData>
    <row r="1" spans="1:15" ht="311.25" customHeight="1" x14ac:dyDescent="0.25">
      <c r="A1" s="176" t="s">
        <v>83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15" ht="60" customHeight="1" x14ac:dyDescent="0.25">
      <c r="A2" s="177" t="s">
        <v>1</v>
      </c>
      <c r="B2" s="177" t="s">
        <v>2</v>
      </c>
      <c r="C2" s="178" t="s">
        <v>58</v>
      </c>
      <c r="D2" s="178"/>
      <c r="E2" s="178"/>
      <c r="F2" s="178"/>
      <c r="G2" s="178"/>
      <c r="H2" s="179" t="s">
        <v>5</v>
      </c>
      <c r="I2" s="180" t="s">
        <v>6</v>
      </c>
      <c r="J2" s="49"/>
      <c r="K2" s="49"/>
      <c r="L2" s="181" t="s">
        <v>8</v>
      </c>
      <c r="M2" s="181" t="s">
        <v>9</v>
      </c>
      <c r="N2" s="182" t="s">
        <v>10</v>
      </c>
      <c r="O2" s="183" t="s">
        <v>11</v>
      </c>
    </row>
    <row r="3" spans="1:15" ht="60" customHeight="1" x14ac:dyDescent="0.25">
      <c r="A3" s="177"/>
      <c r="B3" s="177"/>
      <c r="C3" s="50" t="s">
        <v>12</v>
      </c>
      <c r="D3" s="50" t="s">
        <v>13</v>
      </c>
      <c r="E3" s="50" t="s">
        <v>14</v>
      </c>
      <c r="F3" s="51" t="s">
        <v>15</v>
      </c>
      <c r="G3" s="51" t="s">
        <v>16</v>
      </c>
      <c r="H3" s="179"/>
      <c r="I3" s="180"/>
      <c r="J3" s="184" t="s">
        <v>7</v>
      </c>
      <c r="K3" s="184"/>
      <c r="L3" s="181"/>
      <c r="M3" s="181"/>
      <c r="N3" s="182"/>
      <c r="O3" s="183"/>
    </row>
    <row r="4" spans="1:15" ht="48" hidden="1" customHeight="1" x14ac:dyDescent="0.25">
      <c r="A4" s="171" t="s">
        <v>20</v>
      </c>
      <c r="B4" s="171"/>
      <c r="C4" s="52">
        <f t="shared" ref="C4:H4" si="0">SUBTOTAL(9,C5:C18)</f>
        <v>228650</v>
      </c>
      <c r="D4" s="52">
        <f t="shared" si="0"/>
        <v>9713978</v>
      </c>
      <c r="E4" s="52">
        <f t="shared" si="0"/>
        <v>35108388</v>
      </c>
      <c r="F4" s="52">
        <f t="shared" si="0"/>
        <v>37558228</v>
      </c>
      <c r="G4" s="52">
        <f t="shared" si="0"/>
        <v>8815035</v>
      </c>
      <c r="H4" s="52">
        <f t="shared" si="0"/>
        <v>80465500</v>
      </c>
      <c r="I4" s="52">
        <f>SUM(I5:K18)</f>
        <v>91424279</v>
      </c>
      <c r="J4" s="52">
        <f>SUBTOTAL(9,J5:J18)</f>
        <v>0</v>
      </c>
      <c r="K4" s="52">
        <f>SUBTOTAL(9,K5:K18)</f>
        <v>0</v>
      </c>
      <c r="L4" s="52">
        <f>SUBTOTAL(9,L5:L18)</f>
        <v>59</v>
      </c>
      <c r="M4" s="52">
        <f>I4/L4</f>
        <v>1549564.0508474577</v>
      </c>
      <c r="N4" s="52">
        <f>SUBTOTAL(9,N5:N18)</f>
        <v>26</v>
      </c>
      <c r="O4" s="55"/>
    </row>
    <row r="5" spans="1:15" ht="27" hidden="1" customHeight="1" x14ac:dyDescent="0.25">
      <c r="A5" s="162">
        <v>45809</v>
      </c>
      <c r="B5" s="163" t="s">
        <v>27</v>
      </c>
      <c r="C5" s="159"/>
      <c r="D5" s="159"/>
      <c r="E5" s="159">
        <v>1586760</v>
      </c>
      <c r="F5" s="159"/>
      <c r="G5" s="159"/>
      <c r="H5" s="159">
        <v>1390000</v>
      </c>
      <c r="I5" s="161">
        <f>SUM(C5:G6)</f>
        <v>1586760</v>
      </c>
      <c r="J5" s="159"/>
      <c r="K5" s="159"/>
      <c r="L5" s="159">
        <v>2</v>
      </c>
      <c r="M5" s="159">
        <f>I5/L5</f>
        <v>793380</v>
      </c>
      <c r="N5" s="159">
        <v>2</v>
      </c>
      <c r="O5" s="166"/>
    </row>
    <row r="6" spans="1:15" ht="27" hidden="1" customHeight="1" x14ac:dyDescent="0.25">
      <c r="A6" s="162"/>
      <c r="B6" s="164"/>
      <c r="C6" s="160"/>
      <c r="D6" s="160"/>
      <c r="E6" s="160"/>
      <c r="F6" s="160"/>
      <c r="G6" s="160"/>
      <c r="H6" s="160"/>
      <c r="I6" s="161"/>
      <c r="J6" s="160"/>
      <c r="K6" s="160"/>
      <c r="L6" s="160"/>
      <c r="M6" s="160"/>
      <c r="N6" s="160"/>
      <c r="O6" s="166"/>
    </row>
    <row r="7" spans="1:15" ht="27" hidden="1" customHeight="1" x14ac:dyDescent="0.25">
      <c r="A7" s="162">
        <v>45810</v>
      </c>
      <c r="B7" s="163" t="s">
        <v>30</v>
      </c>
      <c r="C7" s="161"/>
      <c r="D7" s="161"/>
      <c r="E7" s="161">
        <v>12702018</v>
      </c>
      <c r="F7" s="161">
        <v>3907481</v>
      </c>
      <c r="G7" s="161">
        <v>4490980</v>
      </c>
      <c r="H7" s="161">
        <v>18603050</v>
      </c>
      <c r="I7" s="161">
        <f>SUM(C7:G8)</f>
        <v>21100479</v>
      </c>
      <c r="J7" s="161"/>
      <c r="K7" s="161"/>
      <c r="L7" s="161">
        <v>14</v>
      </c>
      <c r="M7" s="159">
        <f>I7/L7</f>
        <v>1507177.0714285714</v>
      </c>
      <c r="N7" s="161">
        <v>7</v>
      </c>
      <c r="O7" s="165" t="s">
        <v>66</v>
      </c>
    </row>
    <row r="8" spans="1:15" ht="27" hidden="1" customHeight="1" x14ac:dyDescent="0.25">
      <c r="A8" s="162"/>
      <c r="B8" s="164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0"/>
      <c r="N8" s="161"/>
      <c r="O8" s="166"/>
    </row>
    <row r="9" spans="1:15" ht="27" hidden="1" customHeight="1" x14ac:dyDescent="0.25">
      <c r="A9" s="162">
        <v>45811</v>
      </c>
      <c r="B9" s="163" t="s">
        <v>31</v>
      </c>
      <c r="C9" s="161">
        <v>228650</v>
      </c>
      <c r="D9" s="161">
        <v>1314306</v>
      </c>
      <c r="E9" s="161">
        <v>8925504</v>
      </c>
      <c r="F9" s="161">
        <v>8106546</v>
      </c>
      <c r="G9" s="161"/>
      <c r="H9" s="161">
        <v>16359000</v>
      </c>
      <c r="I9" s="161">
        <f>SUM(C9:G10)</f>
        <v>18575006</v>
      </c>
      <c r="J9" s="161"/>
      <c r="K9" s="161"/>
      <c r="L9" s="161">
        <v>11</v>
      </c>
      <c r="M9" s="159">
        <f>I9/L9</f>
        <v>1688636.9090909092</v>
      </c>
      <c r="N9" s="161">
        <v>6</v>
      </c>
      <c r="O9" s="165" t="s">
        <v>73</v>
      </c>
    </row>
    <row r="10" spans="1:15" ht="27" hidden="1" customHeight="1" x14ac:dyDescent="0.25">
      <c r="A10" s="162"/>
      <c r="B10" s="164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0"/>
      <c r="N10" s="161"/>
      <c r="O10" s="166"/>
    </row>
    <row r="11" spans="1:15" ht="27" hidden="1" customHeight="1" x14ac:dyDescent="0.25">
      <c r="A11" s="162">
        <v>45812</v>
      </c>
      <c r="B11" s="163" t="s">
        <v>32</v>
      </c>
      <c r="C11" s="161"/>
      <c r="D11" s="161">
        <v>8399672</v>
      </c>
      <c r="E11" s="161">
        <v>3488940</v>
      </c>
      <c r="F11" s="161"/>
      <c r="G11" s="161"/>
      <c r="H11" s="161">
        <v>10430600</v>
      </c>
      <c r="I11" s="161">
        <f>SUM(C11:G12)</f>
        <v>11888612</v>
      </c>
      <c r="J11" s="161"/>
      <c r="K11" s="161"/>
      <c r="L11" s="161">
        <v>6</v>
      </c>
      <c r="M11" s="159">
        <f>I11/L11</f>
        <v>1981435.3333333333</v>
      </c>
      <c r="N11" s="161">
        <v>3</v>
      </c>
      <c r="O11" s="165"/>
    </row>
    <row r="12" spans="1:15" ht="27" hidden="1" customHeight="1" x14ac:dyDescent="0.25">
      <c r="A12" s="162"/>
      <c r="B12" s="164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0"/>
      <c r="N12" s="161"/>
      <c r="O12" s="166"/>
    </row>
    <row r="13" spans="1:15" ht="27" hidden="1" customHeight="1" x14ac:dyDescent="0.25">
      <c r="A13" s="162">
        <v>45813</v>
      </c>
      <c r="B13" s="163" t="s">
        <v>21</v>
      </c>
      <c r="C13" s="161"/>
      <c r="D13" s="161"/>
      <c r="E13" s="161">
        <v>8405166</v>
      </c>
      <c r="F13" s="161">
        <v>11923443</v>
      </c>
      <c r="G13" s="161">
        <v>4324055</v>
      </c>
      <c r="H13" s="161">
        <f>24200000-2528400</f>
        <v>21671600</v>
      </c>
      <c r="I13" s="161">
        <f>SUM(C13:G14)</f>
        <v>24652664</v>
      </c>
      <c r="J13" s="161"/>
      <c r="K13" s="161"/>
      <c r="L13" s="161">
        <v>15</v>
      </c>
      <c r="M13" s="159">
        <f>I13/L13</f>
        <v>1643510.9333333333</v>
      </c>
      <c r="N13" s="161">
        <v>6</v>
      </c>
      <c r="O13" s="165"/>
    </row>
    <row r="14" spans="1:15" ht="27" hidden="1" customHeight="1" x14ac:dyDescent="0.25">
      <c r="A14" s="162"/>
      <c r="B14" s="164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0"/>
      <c r="N14" s="161"/>
      <c r="O14" s="166"/>
    </row>
    <row r="15" spans="1:15" ht="27" hidden="1" customHeight="1" x14ac:dyDescent="0.25">
      <c r="A15" s="162">
        <v>45814</v>
      </c>
      <c r="B15" s="163" t="s">
        <v>23</v>
      </c>
      <c r="C15" s="161"/>
      <c r="D15" s="161"/>
      <c r="E15" s="161"/>
      <c r="F15" s="161">
        <v>10319400</v>
      </c>
      <c r="G15" s="161"/>
      <c r="H15" s="161">
        <v>9100000</v>
      </c>
      <c r="I15" s="161">
        <f>SUM(C15:G16)</f>
        <v>10319400</v>
      </c>
      <c r="J15" s="161"/>
      <c r="K15" s="161"/>
      <c r="L15" s="161">
        <v>7</v>
      </c>
      <c r="M15" s="159">
        <f>I15/L15</f>
        <v>1474200</v>
      </c>
      <c r="N15" s="161">
        <v>1</v>
      </c>
      <c r="O15" s="165"/>
    </row>
    <row r="16" spans="1:15" ht="27" hidden="1" customHeight="1" x14ac:dyDescent="0.25">
      <c r="A16" s="162"/>
      <c r="B16" s="164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0"/>
      <c r="N16" s="161"/>
      <c r="O16" s="166"/>
    </row>
    <row r="17" spans="1:15" ht="27" hidden="1" customHeight="1" x14ac:dyDescent="0.25">
      <c r="A17" s="162">
        <v>45815</v>
      </c>
      <c r="B17" s="163" t="s">
        <v>25</v>
      </c>
      <c r="C17" s="161"/>
      <c r="D17" s="161"/>
      <c r="E17" s="161"/>
      <c r="F17" s="161">
        <v>3301358</v>
      </c>
      <c r="G17" s="161"/>
      <c r="H17" s="161">
        <v>2911250</v>
      </c>
      <c r="I17" s="161">
        <f>SUM(C17:G18)</f>
        <v>3301358</v>
      </c>
      <c r="J17" s="161"/>
      <c r="K17" s="161"/>
      <c r="L17" s="161">
        <v>4</v>
      </c>
      <c r="M17" s="159">
        <f>I17/L17</f>
        <v>825339.5</v>
      </c>
      <c r="N17" s="161">
        <v>1</v>
      </c>
      <c r="O17" s="165" t="s">
        <v>66</v>
      </c>
    </row>
    <row r="18" spans="1:15" ht="27" hidden="1" customHeight="1" x14ac:dyDescent="0.25">
      <c r="A18" s="162"/>
      <c r="B18" s="164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0"/>
      <c r="N18" s="161"/>
      <c r="O18" s="166"/>
    </row>
    <row r="19" spans="1:15" ht="45" hidden="1" x14ac:dyDescent="0.25">
      <c r="A19" s="171" t="s">
        <v>29</v>
      </c>
      <c r="B19" s="171"/>
      <c r="C19" s="52">
        <f t="shared" ref="C19:H19" si="1">SUBTOTAL(9,C20:C33)</f>
        <v>7038150</v>
      </c>
      <c r="D19" s="52">
        <f t="shared" si="1"/>
        <v>9722328</v>
      </c>
      <c r="E19" s="52">
        <f t="shared" si="1"/>
        <v>49689435</v>
      </c>
      <c r="F19" s="52">
        <f t="shared" si="1"/>
        <v>41051790</v>
      </c>
      <c r="G19" s="52">
        <f t="shared" si="1"/>
        <v>0</v>
      </c>
      <c r="H19" s="52">
        <f t="shared" si="1"/>
        <v>94444050</v>
      </c>
      <c r="I19" s="52">
        <f>SUM(I20:K33)</f>
        <v>107501703</v>
      </c>
      <c r="J19" s="52">
        <f>SUBTOTAL(9,J20:J33)</f>
        <v>0</v>
      </c>
      <c r="K19" s="52">
        <f>SUBTOTAL(9,K20:K33)</f>
        <v>0</v>
      </c>
      <c r="L19" s="52">
        <f>SUBTOTAL(9,L20:L33)</f>
        <v>80</v>
      </c>
      <c r="M19" s="52">
        <f>I19/L19</f>
        <v>1343771.2875000001</v>
      </c>
      <c r="N19" s="52">
        <f>SUBTOTAL(9,N20:N33)</f>
        <v>30</v>
      </c>
      <c r="O19" s="55"/>
    </row>
    <row r="20" spans="1:15" ht="27" hidden="1" customHeight="1" x14ac:dyDescent="0.25">
      <c r="A20" s="162">
        <v>45816</v>
      </c>
      <c r="B20" s="163" t="s">
        <v>27</v>
      </c>
      <c r="C20" s="161"/>
      <c r="D20" s="161"/>
      <c r="E20" s="161"/>
      <c r="F20" s="161">
        <v>4877334</v>
      </c>
      <c r="G20" s="161"/>
      <c r="H20" s="161">
        <v>4301000</v>
      </c>
      <c r="I20" s="161">
        <f>SUM(C20:G21)</f>
        <v>4877334</v>
      </c>
      <c r="J20" s="161"/>
      <c r="K20" s="161"/>
      <c r="L20" s="161">
        <v>7</v>
      </c>
      <c r="M20" s="161">
        <f>I20/L20</f>
        <v>696762</v>
      </c>
      <c r="N20" s="161">
        <v>1</v>
      </c>
      <c r="O20" s="166"/>
    </row>
    <row r="21" spans="1:15" ht="27" hidden="1" customHeight="1" x14ac:dyDescent="0.25">
      <c r="A21" s="162"/>
      <c r="B21" s="164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6"/>
    </row>
    <row r="22" spans="1:15" ht="27" hidden="1" customHeight="1" x14ac:dyDescent="0.25">
      <c r="A22" s="162">
        <v>45817</v>
      </c>
      <c r="B22" s="163" t="s">
        <v>30</v>
      </c>
      <c r="C22" s="161"/>
      <c r="D22" s="161"/>
      <c r="E22" s="161">
        <v>1427832</v>
      </c>
      <c r="F22" s="161"/>
      <c r="G22" s="161"/>
      <c r="H22" s="161">
        <v>1248000</v>
      </c>
      <c r="I22" s="161">
        <f>SUM(C22:G23)</f>
        <v>1427832</v>
      </c>
      <c r="J22" s="161"/>
      <c r="K22" s="161"/>
      <c r="L22" s="161">
        <v>2</v>
      </c>
      <c r="M22" s="161">
        <f>I22/L22</f>
        <v>713916</v>
      </c>
      <c r="N22" s="161">
        <v>2</v>
      </c>
      <c r="O22" s="166"/>
    </row>
    <row r="23" spans="1:15" ht="27" hidden="1" customHeight="1" x14ac:dyDescent="0.25">
      <c r="A23" s="162"/>
      <c r="B23" s="16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6"/>
    </row>
    <row r="24" spans="1:15" ht="27" hidden="1" customHeight="1" x14ac:dyDescent="0.25">
      <c r="A24" s="162">
        <v>45818</v>
      </c>
      <c r="B24" s="163" t="s">
        <v>31</v>
      </c>
      <c r="C24" s="161"/>
      <c r="D24" s="161"/>
      <c r="E24" s="161">
        <v>11036806</v>
      </c>
      <c r="F24" s="161">
        <v>29913925</v>
      </c>
      <c r="G24" s="161"/>
      <c r="H24" s="161">
        <v>36056200</v>
      </c>
      <c r="I24" s="161">
        <f>SUM(C24:G25)</f>
        <v>40950731</v>
      </c>
      <c r="J24" s="161"/>
      <c r="K24" s="161"/>
      <c r="L24" s="161">
        <v>20</v>
      </c>
      <c r="M24" s="161">
        <f>I24/L24</f>
        <v>2047536.55</v>
      </c>
      <c r="N24" s="161">
        <v>6</v>
      </c>
      <c r="O24" s="165" t="s">
        <v>84</v>
      </c>
    </row>
    <row r="25" spans="1:15" ht="27" hidden="1" customHeight="1" x14ac:dyDescent="0.25">
      <c r="A25" s="162"/>
      <c r="B25" s="164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6"/>
    </row>
    <row r="26" spans="1:15" ht="27" hidden="1" customHeight="1" x14ac:dyDescent="0.25">
      <c r="A26" s="162">
        <v>45819</v>
      </c>
      <c r="B26" s="163" t="s">
        <v>32</v>
      </c>
      <c r="C26" s="161"/>
      <c r="D26" s="161">
        <v>1426320</v>
      </c>
      <c r="E26" s="161">
        <v>25437258</v>
      </c>
      <c r="F26" s="161">
        <v>1021734</v>
      </c>
      <c r="G26" s="161"/>
      <c r="H26" s="161">
        <v>24468000</v>
      </c>
      <c r="I26" s="161">
        <f>SUM(C26:G27)</f>
        <v>27885312</v>
      </c>
      <c r="J26" s="161"/>
      <c r="K26" s="161"/>
      <c r="L26" s="161">
        <v>15</v>
      </c>
      <c r="M26" s="161">
        <f>I26/L26</f>
        <v>1859020.8</v>
      </c>
      <c r="N26" s="161">
        <v>9</v>
      </c>
      <c r="O26" s="166"/>
    </row>
    <row r="27" spans="1:15" ht="27" hidden="1" customHeight="1" x14ac:dyDescent="0.25">
      <c r="A27" s="162"/>
      <c r="B27" s="16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6"/>
    </row>
    <row r="28" spans="1:15" ht="27" hidden="1" customHeight="1" x14ac:dyDescent="0.25">
      <c r="A28" s="162">
        <v>45820</v>
      </c>
      <c r="B28" s="163" t="s">
        <v>21</v>
      </c>
      <c r="C28" s="161"/>
      <c r="D28" s="161"/>
      <c r="E28" s="161">
        <v>3712451</v>
      </c>
      <c r="F28" s="161"/>
      <c r="G28" s="161"/>
      <c r="H28" s="161">
        <f>3619000-361900</f>
        <v>3257100</v>
      </c>
      <c r="I28" s="161">
        <f>SUM(C28:G29)</f>
        <v>3712451</v>
      </c>
      <c r="J28" s="161"/>
      <c r="K28" s="161"/>
      <c r="L28" s="161">
        <v>18</v>
      </c>
      <c r="M28" s="161">
        <f>I28/L28</f>
        <v>206247.27777777778</v>
      </c>
      <c r="N28" s="161">
        <v>2</v>
      </c>
      <c r="O28" s="166"/>
    </row>
    <row r="29" spans="1:15" ht="27" hidden="1" customHeight="1" x14ac:dyDescent="0.25">
      <c r="A29" s="162"/>
      <c r="B29" s="16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6"/>
    </row>
    <row r="30" spans="1:15" ht="27" hidden="1" customHeight="1" x14ac:dyDescent="0.25">
      <c r="A30" s="162">
        <v>45821</v>
      </c>
      <c r="B30" s="163" t="s">
        <v>23</v>
      </c>
      <c r="C30" s="161"/>
      <c r="D30" s="161">
        <v>2345406</v>
      </c>
      <c r="E30" s="161">
        <v>3303216</v>
      </c>
      <c r="F30" s="161">
        <v>2062746</v>
      </c>
      <c r="G30" s="161"/>
      <c r="H30" s="161">
        <v>6757000</v>
      </c>
      <c r="I30" s="161">
        <f>SUM(C30:G31)</f>
        <v>7711368</v>
      </c>
      <c r="J30" s="161"/>
      <c r="K30" s="161"/>
      <c r="L30" s="161">
        <v>4</v>
      </c>
      <c r="M30" s="161">
        <f>I30/L30</f>
        <v>1927842</v>
      </c>
      <c r="N30" s="161">
        <v>4</v>
      </c>
      <c r="O30" s="165" t="s">
        <v>86</v>
      </c>
    </row>
    <row r="31" spans="1:15" ht="27" hidden="1" customHeight="1" x14ac:dyDescent="0.25">
      <c r="A31" s="162"/>
      <c r="B31" s="164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6"/>
    </row>
    <row r="32" spans="1:15" ht="27" hidden="1" customHeight="1" x14ac:dyDescent="0.25">
      <c r="A32" s="162">
        <v>45822</v>
      </c>
      <c r="B32" s="163" t="s">
        <v>25</v>
      </c>
      <c r="C32" s="161">
        <v>7038150</v>
      </c>
      <c r="D32" s="161">
        <v>5950602</v>
      </c>
      <c r="E32" s="161">
        <v>4771872</v>
      </c>
      <c r="F32" s="161">
        <v>3176051</v>
      </c>
      <c r="G32" s="161"/>
      <c r="H32" s="161">
        <v>18356750</v>
      </c>
      <c r="I32" s="161">
        <f>SUM(C32:G33)</f>
        <v>20936675</v>
      </c>
      <c r="J32" s="161"/>
      <c r="K32" s="161"/>
      <c r="L32" s="161">
        <v>14</v>
      </c>
      <c r="M32" s="161">
        <f>I32/L32</f>
        <v>1495476.7857142857</v>
      </c>
      <c r="N32" s="161">
        <v>6</v>
      </c>
      <c r="O32" s="169" t="s">
        <v>66</v>
      </c>
    </row>
    <row r="33" spans="1:15" ht="27" hidden="1" customHeight="1" x14ac:dyDescent="0.25">
      <c r="A33" s="162"/>
      <c r="B33" s="16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70"/>
    </row>
    <row r="34" spans="1:15" ht="45" hidden="1" x14ac:dyDescent="0.25">
      <c r="A34" s="171" t="s">
        <v>34</v>
      </c>
      <c r="B34" s="171"/>
      <c r="C34" s="52">
        <f>SUM(C35:C48)</f>
        <v>1970472</v>
      </c>
      <c r="D34" s="52">
        <f t="shared" ref="D34:N34" si="2">SUM(D35:D48)</f>
        <v>110363458</v>
      </c>
      <c r="E34" s="52">
        <f t="shared" si="2"/>
        <v>57095967</v>
      </c>
      <c r="F34" s="52">
        <f t="shared" si="2"/>
        <v>150961885</v>
      </c>
      <c r="G34" s="52">
        <f t="shared" si="2"/>
        <v>18915413</v>
      </c>
      <c r="H34" s="52">
        <f t="shared" si="2"/>
        <v>299639047</v>
      </c>
      <c r="I34" s="52">
        <f t="shared" si="2"/>
        <v>339307195</v>
      </c>
      <c r="J34" s="52">
        <f t="shared" si="2"/>
        <v>0</v>
      </c>
      <c r="K34" s="52">
        <f t="shared" si="2"/>
        <v>0</v>
      </c>
      <c r="L34" s="52">
        <f t="shared" si="2"/>
        <v>207</v>
      </c>
      <c r="M34" s="52">
        <f>I34/L34</f>
        <v>1639165.1932367149</v>
      </c>
      <c r="N34" s="52">
        <f t="shared" si="2"/>
        <v>43</v>
      </c>
      <c r="O34" s="55"/>
    </row>
    <row r="35" spans="1:15" ht="27" hidden="1" customHeight="1" x14ac:dyDescent="0.25">
      <c r="A35" s="162">
        <v>45823</v>
      </c>
      <c r="B35" s="163" t="s">
        <v>27</v>
      </c>
      <c r="C35" s="161"/>
      <c r="D35" s="161"/>
      <c r="E35" s="161">
        <v>10104360</v>
      </c>
      <c r="F35" s="161"/>
      <c r="G35" s="161">
        <v>2374767</v>
      </c>
      <c r="H35" s="161">
        <v>10949150</v>
      </c>
      <c r="I35" s="161">
        <f>SUM(C35:G36)</f>
        <v>12479127</v>
      </c>
      <c r="J35" s="161"/>
      <c r="K35" s="161"/>
      <c r="L35" s="161">
        <v>9</v>
      </c>
      <c r="M35" s="161">
        <f>I35/L35</f>
        <v>1386569.6666666667</v>
      </c>
      <c r="N35" s="161">
        <v>5</v>
      </c>
      <c r="O35" s="166"/>
    </row>
    <row r="36" spans="1:15" ht="27" hidden="1" customHeight="1" x14ac:dyDescent="0.25">
      <c r="A36" s="162"/>
      <c r="B36" s="16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6"/>
    </row>
    <row r="37" spans="1:15" ht="27" hidden="1" customHeight="1" x14ac:dyDescent="0.25">
      <c r="A37" s="162">
        <v>45824</v>
      </c>
      <c r="B37" s="163" t="s">
        <v>30</v>
      </c>
      <c r="C37" s="161">
        <v>1617000</v>
      </c>
      <c r="D37" s="161">
        <v>107161000</v>
      </c>
      <c r="E37" s="161"/>
      <c r="F37" s="161">
        <f>439992+93239270</f>
        <v>93679262</v>
      </c>
      <c r="G37" s="161">
        <v>1617000</v>
      </c>
      <c r="H37" s="161">
        <f>9388000+170005000</f>
        <v>179393000</v>
      </c>
      <c r="I37" s="161">
        <f>SUM(C37:G38)</f>
        <v>204074262</v>
      </c>
      <c r="J37" s="161"/>
      <c r="K37" s="161"/>
      <c r="L37" s="161">
        <v>130</v>
      </c>
      <c r="M37" s="161">
        <f>I37/L37</f>
        <v>1569802.0153846154</v>
      </c>
      <c r="N37" s="161">
        <v>5</v>
      </c>
      <c r="O37" s="166"/>
    </row>
    <row r="38" spans="1:15" ht="27" hidden="1" customHeight="1" x14ac:dyDescent="0.25">
      <c r="A38" s="162"/>
      <c r="B38" s="16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6"/>
    </row>
    <row r="39" spans="1:15" ht="27" hidden="1" customHeight="1" x14ac:dyDescent="0.25">
      <c r="A39" s="162">
        <v>45825</v>
      </c>
      <c r="B39" s="163" t="s">
        <v>31</v>
      </c>
      <c r="C39" s="161"/>
      <c r="D39" s="161"/>
      <c r="E39" s="161">
        <v>9684906</v>
      </c>
      <c r="F39" s="159">
        <f>51554234-439339</f>
        <v>51114895</v>
      </c>
      <c r="G39" s="161">
        <f>16540646-1617000</f>
        <v>14923646</v>
      </c>
      <c r="H39" s="161">
        <v>67222828</v>
      </c>
      <c r="I39" s="161">
        <f>SUM(C39:G40)</f>
        <v>75723447</v>
      </c>
      <c r="J39" s="161"/>
      <c r="K39" s="161"/>
      <c r="L39" s="161">
        <v>29</v>
      </c>
      <c r="M39" s="161">
        <f>I39/L39</f>
        <v>2611153.3448275863</v>
      </c>
      <c r="N39" s="161">
        <v>11</v>
      </c>
      <c r="O39" s="165"/>
    </row>
    <row r="40" spans="1:15" ht="27" hidden="1" customHeight="1" x14ac:dyDescent="0.25">
      <c r="A40" s="162"/>
      <c r="B40" s="164"/>
      <c r="C40" s="161"/>
      <c r="D40" s="161"/>
      <c r="E40" s="161"/>
      <c r="F40" s="160"/>
      <c r="G40" s="161"/>
      <c r="H40" s="161"/>
      <c r="I40" s="161"/>
      <c r="J40" s="161"/>
      <c r="K40" s="161"/>
      <c r="L40" s="161"/>
      <c r="M40" s="161"/>
      <c r="N40" s="161"/>
      <c r="O40" s="166"/>
    </row>
    <row r="41" spans="1:15" ht="27" hidden="1" customHeight="1" x14ac:dyDescent="0.25">
      <c r="A41" s="162">
        <v>45826</v>
      </c>
      <c r="B41" s="163" t="s">
        <v>32</v>
      </c>
      <c r="C41" s="161"/>
      <c r="D41" s="161"/>
      <c r="E41" s="161">
        <v>3049624</v>
      </c>
      <c r="F41" s="161"/>
      <c r="G41" s="161"/>
      <c r="H41" s="161">
        <f>I41-56700</f>
        <v>2992924</v>
      </c>
      <c r="I41" s="161">
        <f>SUM(C41:G42)</f>
        <v>3049624</v>
      </c>
      <c r="J41" s="161"/>
      <c r="K41" s="161"/>
      <c r="L41" s="161">
        <v>4</v>
      </c>
      <c r="M41" s="161">
        <f>I41/L41</f>
        <v>762406</v>
      </c>
      <c r="N41" s="161">
        <v>4</v>
      </c>
      <c r="O41" s="166"/>
    </row>
    <row r="42" spans="1:15" ht="27" hidden="1" customHeight="1" x14ac:dyDescent="0.25">
      <c r="A42" s="162"/>
      <c r="B42" s="16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6"/>
    </row>
    <row r="43" spans="1:15" ht="27" hidden="1" customHeight="1" x14ac:dyDescent="0.25">
      <c r="A43" s="162">
        <v>45827</v>
      </c>
      <c r="B43" s="163" t="s">
        <v>21</v>
      </c>
      <c r="C43" s="161"/>
      <c r="D43" s="161"/>
      <c r="E43" s="161">
        <v>12101867</v>
      </c>
      <c r="F43" s="161">
        <v>6167728</v>
      </c>
      <c r="G43" s="161"/>
      <c r="H43" s="161">
        <f>I43-1743450</f>
        <v>16526145</v>
      </c>
      <c r="I43" s="161">
        <f>SUM(C43:G44)</f>
        <v>18269595</v>
      </c>
      <c r="J43" s="161"/>
      <c r="K43" s="161"/>
      <c r="L43" s="161">
        <v>18</v>
      </c>
      <c r="M43" s="161">
        <f>I43/L43</f>
        <v>1014977.5</v>
      </c>
      <c r="N43" s="161">
        <v>7</v>
      </c>
      <c r="O43" s="165"/>
    </row>
    <row r="44" spans="1:15" ht="27" hidden="1" customHeight="1" x14ac:dyDescent="0.25">
      <c r="A44" s="162"/>
      <c r="B44" s="16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6"/>
    </row>
    <row r="45" spans="1:15" ht="27" hidden="1" customHeight="1" x14ac:dyDescent="0.25">
      <c r="A45" s="162">
        <v>45828</v>
      </c>
      <c r="B45" s="163" t="s">
        <v>23</v>
      </c>
      <c r="C45" s="161"/>
      <c r="D45" s="161">
        <v>3202458</v>
      </c>
      <c r="E45" s="161">
        <v>19308324</v>
      </c>
      <c r="F45" s="161"/>
      <c r="G45" s="161"/>
      <c r="H45" s="161">
        <v>19748000</v>
      </c>
      <c r="I45" s="161">
        <f>SUM(C45:G46)</f>
        <v>22510782</v>
      </c>
      <c r="J45" s="161"/>
      <c r="K45" s="161"/>
      <c r="L45" s="161">
        <v>13</v>
      </c>
      <c r="M45" s="161">
        <f>I45/L45</f>
        <v>1731598.6153846155</v>
      </c>
      <c r="N45" s="161">
        <v>7</v>
      </c>
      <c r="O45" s="165" t="s">
        <v>59</v>
      </c>
    </row>
    <row r="46" spans="1:15" ht="27" hidden="1" customHeight="1" x14ac:dyDescent="0.25">
      <c r="A46" s="162"/>
      <c r="B46" s="164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6"/>
    </row>
    <row r="47" spans="1:15" ht="27" hidden="1" customHeight="1" x14ac:dyDescent="0.25">
      <c r="A47" s="162">
        <v>45829</v>
      </c>
      <c r="B47" s="163" t="s">
        <v>25</v>
      </c>
      <c r="C47" s="161">
        <v>353472</v>
      </c>
      <c r="D47" s="161"/>
      <c r="E47" s="161">
        <v>2846886</v>
      </c>
      <c r="F47" s="161"/>
      <c r="G47" s="161"/>
      <c r="H47" s="161">
        <f>2927000-120000</f>
        <v>2807000</v>
      </c>
      <c r="I47" s="161">
        <f>SUM(C47:G48)</f>
        <v>3200358</v>
      </c>
      <c r="J47" s="161"/>
      <c r="K47" s="161"/>
      <c r="L47" s="161">
        <v>4</v>
      </c>
      <c r="M47" s="161">
        <f>I47/L47</f>
        <v>800089.5</v>
      </c>
      <c r="N47" s="161">
        <v>4</v>
      </c>
      <c r="O47" s="169"/>
    </row>
    <row r="48" spans="1:15" ht="27" hidden="1" customHeight="1" x14ac:dyDescent="0.25">
      <c r="A48" s="162"/>
      <c r="B48" s="16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70"/>
    </row>
    <row r="49" spans="1:15" ht="45" x14ac:dyDescent="0.25">
      <c r="A49" s="171" t="s">
        <v>36</v>
      </c>
      <c r="B49" s="171"/>
      <c r="C49" s="52">
        <f>SUM(C50:C67)</f>
        <v>6806146</v>
      </c>
      <c r="D49" s="52">
        <f t="shared" ref="D49:O49" si="3">SUM(D50:D67)</f>
        <v>1530900</v>
      </c>
      <c r="E49" s="52">
        <f t="shared" si="3"/>
        <v>86685210</v>
      </c>
      <c r="F49" s="52">
        <f t="shared" si="3"/>
        <v>94955286</v>
      </c>
      <c r="G49" s="52">
        <f t="shared" si="3"/>
        <v>39102305</v>
      </c>
      <c r="H49" s="52">
        <f t="shared" si="3"/>
        <v>203000531.59999999</v>
      </c>
      <c r="I49" s="52">
        <f t="shared" si="3"/>
        <v>229079847</v>
      </c>
      <c r="J49" s="52">
        <f t="shared" si="3"/>
        <v>0</v>
      </c>
      <c r="K49" s="52">
        <f t="shared" si="3"/>
        <v>0</v>
      </c>
      <c r="L49" s="52">
        <f t="shared" si="3"/>
        <v>135</v>
      </c>
      <c r="M49" s="52">
        <f>I49/L49</f>
        <v>1696887.7555555555</v>
      </c>
      <c r="N49" s="52">
        <f t="shared" si="3"/>
        <v>60</v>
      </c>
      <c r="O49" s="52">
        <f t="shared" si="3"/>
        <v>0</v>
      </c>
    </row>
    <row r="50" spans="1:15" ht="27" customHeight="1" x14ac:dyDescent="0.25">
      <c r="A50" s="162">
        <v>45830</v>
      </c>
      <c r="B50" s="163" t="s">
        <v>27</v>
      </c>
      <c r="C50" s="161">
        <f>1238332-353472</f>
        <v>884860</v>
      </c>
      <c r="D50" s="161"/>
      <c r="E50" s="161">
        <f>18663918-2846886</f>
        <v>15817032</v>
      </c>
      <c r="F50" s="161">
        <v>7836507</v>
      </c>
      <c r="G50" s="161"/>
      <c r="H50" s="161">
        <v>20023800</v>
      </c>
      <c r="I50" s="161">
        <f>SUM(C50:G51)</f>
        <v>24538399</v>
      </c>
      <c r="J50" s="161"/>
      <c r="K50" s="161"/>
      <c r="L50" s="161">
        <v>6</v>
      </c>
      <c r="M50" s="161">
        <f>I50/L50</f>
        <v>4089733.1666666665</v>
      </c>
      <c r="N50" s="161">
        <v>9</v>
      </c>
      <c r="O50" s="165" t="s">
        <v>87</v>
      </c>
    </row>
    <row r="51" spans="1:15" ht="27" customHeight="1" x14ac:dyDescent="0.25">
      <c r="A51" s="162"/>
      <c r="B51" s="16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6"/>
    </row>
    <row r="52" spans="1:15" ht="27" customHeight="1" x14ac:dyDescent="0.25">
      <c r="A52" s="162">
        <v>45831</v>
      </c>
      <c r="B52" s="163" t="s">
        <v>30</v>
      </c>
      <c r="C52" s="161"/>
      <c r="D52" s="161"/>
      <c r="E52" s="161">
        <v>3779790</v>
      </c>
      <c r="F52" s="161">
        <v>8044540</v>
      </c>
      <c r="G52" s="161">
        <v>6221011</v>
      </c>
      <c r="H52" s="161">
        <f>7287000+9764000-968100-193050</f>
        <v>15889850</v>
      </c>
      <c r="I52" s="161">
        <f>SUM(C52:G53)</f>
        <v>18045341</v>
      </c>
      <c r="J52" s="161"/>
      <c r="K52" s="161"/>
      <c r="L52" s="161">
        <v>15</v>
      </c>
      <c r="M52" s="161">
        <f>I52/L52</f>
        <v>1203022.7333333334</v>
      </c>
      <c r="N52" s="161">
        <v>6</v>
      </c>
      <c r="O52" s="165"/>
    </row>
    <row r="53" spans="1:15" ht="27" customHeight="1" x14ac:dyDescent="0.25">
      <c r="A53" s="162"/>
      <c r="B53" s="16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6"/>
    </row>
    <row r="54" spans="1:15" ht="27" customHeight="1" x14ac:dyDescent="0.25">
      <c r="A54" s="162">
        <v>45832</v>
      </c>
      <c r="B54" s="163" t="s">
        <v>31</v>
      </c>
      <c r="C54" s="161"/>
      <c r="D54" s="161"/>
      <c r="E54" s="161">
        <v>1285725</v>
      </c>
      <c r="F54" s="161">
        <v>1850688</v>
      </c>
      <c r="G54" s="161">
        <v>1202947</v>
      </c>
      <c r="H54" s="161">
        <f>I54-565250</f>
        <v>3774110</v>
      </c>
      <c r="I54" s="161">
        <f>SUM(C54:G55)</f>
        <v>4339360</v>
      </c>
      <c r="J54" s="161"/>
      <c r="K54" s="161"/>
      <c r="L54" s="161">
        <v>12</v>
      </c>
      <c r="M54" s="161">
        <f>I54/L54</f>
        <v>361613.33333333331</v>
      </c>
      <c r="N54" s="161">
        <v>5</v>
      </c>
      <c r="O54" s="165" t="s">
        <v>87</v>
      </c>
    </row>
    <row r="55" spans="1:15" ht="27" customHeight="1" x14ac:dyDescent="0.25">
      <c r="A55" s="162"/>
      <c r="B55" s="164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6"/>
    </row>
    <row r="56" spans="1:15" ht="27" customHeight="1" x14ac:dyDescent="0.25">
      <c r="A56" s="162">
        <v>45833</v>
      </c>
      <c r="B56" s="163" t="s">
        <v>32</v>
      </c>
      <c r="C56" s="161"/>
      <c r="D56" s="161">
        <v>1530900</v>
      </c>
      <c r="E56" s="161">
        <v>14527632</v>
      </c>
      <c r="F56" s="161">
        <v>59084179</v>
      </c>
      <c r="G56" s="161"/>
      <c r="H56" s="161">
        <v>66150450</v>
      </c>
      <c r="I56" s="161">
        <f>SUM(C56:G57)</f>
        <v>75142711</v>
      </c>
      <c r="J56" s="161"/>
      <c r="K56" s="161"/>
      <c r="L56" s="161">
        <v>33</v>
      </c>
      <c r="M56" s="161">
        <f>I56/L56</f>
        <v>2277051.8484848486</v>
      </c>
      <c r="N56" s="161">
        <v>7</v>
      </c>
      <c r="O56" s="165" t="s">
        <v>88</v>
      </c>
    </row>
    <row r="57" spans="1:15" ht="27" customHeight="1" x14ac:dyDescent="0.25">
      <c r="A57" s="162"/>
      <c r="B57" s="16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6"/>
    </row>
    <row r="58" spans="1:15" ht="27" customHeight="1" x14ac:dyDescent="0.25">
      <c r="A58" s="162">
        <v>45834</v>
      </c>
      <c r="B58" s="163" t="s">
        <v>21</v>
      </c>
      <c r="C58" s="161"/>
      <c r="D58" s="161"/>
      <c r="E58" s="161">
        <v>18004056</v>
      </c>
      <c r="F58" s="161"/>
      <c r="G58" s="161">
        <v>24806305</v>
      </c>
      <c r="H58" s="161">
        <f>42748000-1937100</f>
        <v>40810900</v>
      </c>
      <c r="I58" s="161">
        <f>SUM(C58:G59)</f>
        <v>42810361</v>
      </c>
      <c r="J58" s="161"/>
      <c r="K58" s="161"/>
      <c r="L58" s="161">
        <v>23</v>
      </c>
      <c r="M58" s="161">
        <f>I58/L58</f>
        <v>1861320.043478261</v>
      </c>
      <c r="N58" s="161">
        <v>9</v>
      </c>
      <c r="O58" s="165"/>
    </row>
    <row r="59" spans="1:15" ht="27" customHeight="1" x14ac:dyDescent="0.25">
      <c r="A59" s="162"/>
      <c r="B59" s="16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6"/>
    </row>
    <row r="60" spans="1:15" ht="27" customHeight="1" x14ac:dyDescent="0.25">
      <c r="A60" s="162">
        <v>45835</v>
      </c>
      <c r="B60" s="163" t="s">
        <v>23</v>
      </c>
      <c r="C60" s="161">
        <v>2591190</v>
      </c>
      <c r="D60" s="159"/>
      <c r="E60" s="159">
        <f>8863218+2785020</f>
        <v>11648238</v>
      </c>
      <c r="F60" s="159"/>
      <c r="G60" s="159">
        <v>4357226</v>
      </c>
      <c r="H60" s="161">
        <f>I60-628650</f>
        <v>17968004</v>
      </c>
      <c r="I60" s="161">
        <f>SUM(C60:G61)</f>
        <v>18596654</v>
      </c>
      <c r="J60" s="159"/>
      <c r="K60" s="159"/>
      <c r="L60" s="159">
        <v>13</v>
      </c>
      <c r="M60" s="161">
        <f>I60/L60</f>
        <v>1430511.8461538462</v>
      </c>
      <c r="N60" s="159">
        <v>7</v>
      </c>
      <c r="O60" s="166"/>
    </row>
    <row r="61" spans="1:15" ht="27" customHeight="1" x14ac:dyDescent="0.25">
      <c r="A61" s="162"/>
      <c r="B61" s="164"/>
      <c r="C61" s="161"/>
      <c r="D61" s="160"/>
      <c r="E61" s="160"/>
      <c r="F61" s="160"/>
      <c r="G61" s="160"/>
      <c r="H61" s="161"/>
      <c r="I61" s="161"/>
      <c r="J61" s="160"/>
      <c r="K61" s="160"/>
      <c r="L61" s="160"/>
      <c r="M61" s="161"/>
      <c r="N61" s="160"/>
      <c r="O61" s="166"/>
    </row>
    <row r="62" spans="1:15" ht="27" customHeight="1" x14ac:dyDescent="0.25">
      <c r="A62" s="162">
        <v>45836</v>
      </c>
      <c r="B62" s="163" t="s">
        <v>25</v>
      </c>
      <c r="C62" s="161">
        <v>3330096</v>
      </c>
      <c r="D62" s="159"/>
      <c r="E62" s="159">
        <v>4717482</v>
      </c>
      <c r="F62" s="159"/>
      <c r="G62" s="159">
        <v>2148534</v>
      </c>
      <c r="H62" s="161">
        <v>8931650</v>
      </c>
      <c r="I62" s="161">
        <f>SUM(C62:G63)</f>
        <v>10196112</v>
      </c>
      <c r="J62" s="159"/>
      <c r="K62" s="159"/>
      <c r="L62" s="159">
        <v>7</v>
      </c>
      <c r="M62" s="159">
        <f>I62/L62</f>
        <v>1456587.4285714286</v>
      </c>
      <c r="N62" s="159">
        <v>5</v>
      </c>
      <c r="O62" s="194"/>
    </row>
    <row r="63" spans="1:15" ht="27" customHeight="1" x14ac:dyDescent="0.25">
      <c r="A63" s="162"/>
      <c r="B63" s="164"/>
      <c r="C63" s="161"/>
      <c r="D63" s="160"/>
      <c r="E63" s="160"/>
      <c r="F63" s="160"/>
      <c r="G63" s="160"/>
      <c r="H63" s="161"/>
      <c r="I63" s="161"/>
      <c r="J63" s="160"/>
      <c r="K63" s="160"/>
      <c r="L63" s="160"/>
      <c r="M63" s="160"/>
      <c r="N63" s="160"/>
      <c r="O63" s="195"/>
    </row>
    <row r="64" spans="1:15" ht="27" customHeight="1" x14ac:dyDescent="0.25">
      <c r="A64" s="162">
        <v>45837</v>
      </c>
      <c r="B64" s="163" t="s">
        <v>27</v>
      </c>
      <c r="C64" s="161"/>
      <c r="D64" s="159"/>
      <c r="E64" s="159">
        <v>5468022</v>
      </c>
      <c r="F64" s="159">
        <v>15106468</v>
      </c>
      <c r="G64" s="159">
        <v>366282</v>
      </c>
      <c r="H64" s="161">
        <f>I64*0.8</f>
        <v>16752617.600000001</v>
      </c>
      <c r="I64" s="161">
        <f>SUM(C64:G65)</f>
        <v>20940772</v>
      </c>
      <c r="J64" s="159"/>
      <c r="K64" s="159"/>
      <c r="L64" s="159">
        <v>10</v>
      </c>
      <c r="M64" s="159">
        <f>I64/L64</f>
        <v>2094077.2</v>
      </c>
      <c r="N64" s="159">
        <v>4</v>
      </c>
      <c r="O64" s="165"/>
    </row>
    <row r="65" spans="1:15" ht="27" customHeight="1" x14ac:dyDescent="0.25">
      <c r="A65" s="162"/>
      <c r="B65" s="164"/>
      <c r="C65" s="161"/>
      <c r="D65" s="160"/>
      <c r="E65" s="160"/>
      <c r="F65" s="160"/>
      <c r="G65" s="160"/>
      <c r="H65" s="161"/>
      <c r="I65" s="161"/>
      <c r="J65" s="160"/>
      <c r="K65" s="160"/>
      <c r="L65" s="160"/>
      <c r="M65" s="160"/>
      <c r="N65" s="160"/>
      <c r="O65" s="166"/>
    </row>
    <row r="66" spans="1:15" ht="27" customHeight="1" x14ac:dyDescent="0.25">
      <c r="A66" s="162">
        <v>45838</v>
      </c>
      <c r="B66" s="163" t="s">
        <v>30</v>
      </c>
      <c r="C66" s="161"/>
      <c r="D66" s="159"/>
      <c r="E66" s="159">
        <v>11437233</v>
      </c>
      <c r="F66" s="159">
        <v>3032904</v>
      </c>
      <c r="G66" s="159"/>
      <c r="H66" s="159">
        <f>10586000+2656000-542850</f>
        <v>12699150</v>
      </c>
      <c r="I66" s="161">
        <f>SUM(C66:G67)</f>
        <v>14470137</v>
      </c>
      <c r="J66" s="159"/>
      <c r="K66" s="159"/>
      <c r="L66" s="159">
        <v>16</v>
      </c>
      <c r="M66" s="159">
        <f>I66/L66</f>
        <v>904383.5625</v>
      </c>
      <c r="N66" s="159">
        <v>8</v>
      </c>
      <c r="O66" s="165" t="s">
        <v>89</v>
      </c>
    </row>
    <row r="67" spans="1:15" ht="27" customHeight="1" x14ac:dyDescent="0.25">
      <c r="A67" s="162"/>
      <c r="B67" s="164"/>
      <c r="C67" s="161"/>
      <c r="D67" s="160"/>
      <c r="E67" s="160"/>
      <c r="F67" s="160"/>
      <c r="G67" s="160"/>
      <c r="H67" s="160"/>
      <c r="I67" s="161"/>
      <c r="J67" s="160"/>
      <c r="K67" s="160"/>
      <c r="L67" s="160"/>
      <c r="M67" s="160"/>
      <c r="N67" s="160"/>
      <c r="O67" s="166"/>
    </row>
    <row r="68" spans="1:15" ht="45" x14ac:dyDescent="0.25">
      <c r="A68" s="158" t="s">
        <v>40</v>
      </c>
      <c r="B68" s="158"/>
      <c r="C68" s="54">
        <f t="shared" ref="C68:L68" si="4">C4+C19+C34+C49</f>
        <v>16043418</v>
      </c>
      <c r="D68" s="54">
        <f t="shared" si="4"/>
        <v>131330664</v>
      </c>
      <c r="E68" s="54">
        <f t="shared" si="4"/>
        <v>228579000</v>
      </c>
      <c r="F68" s="54">
        <f t="shared" si="4"/>
        <v>324527189</v>
      </c>
      <c r="G68" s="54">
        <f t="shared" si="4"/>
        <v>66832753</v>
      </c>
      <c r="H68" s="54">
        <f>H4+H19+H34+H49</f>
        <v>677549128.60000002</v>
      </c>
      <c r="I68" s="54">
        <f>I34+I19+I4+I49</f>
        <v>767313024</v>
      </c>
      <c r="J68" s="54">
        <f t="shared" si="4"/>
        <v>0</v>
      </c>
      <c r="K68" s="54">
        <f t="shared" si="4"/>
        <v>0</v>
      </c>
      <c r="L68" s="54">
        <f t="shared" si="4"/>
        <v>481</v>
      </c>
      <c r="M68" s="54">
        <f>I68/L68</f>
        <v>1595245.3721413722</v>
      </c>
      <c r="N68" s="54">
        <f>N4+N19+N34+N49</f>
        <v>159</v>
      </c>
      <c r="O68" s="56" t="s">
        <v>85</v>
      </c>
    </row>
  </sheetData>
  <mergeCells count="466">
    <mergeCell ref="O66:O67"/>
    <mergeCell ref="F66:F67"/>
    <mergeCell ref="G66:G67"/>
    <mergeCell ref="H66:H67"/>
    <mergeCell ref="I66:I67"/>
    <mergeCell ref="J66:J67"/>
    <mergeCell ref="A66:A67"/>
    <mergeCell ref="B66:B67"/>
    <mergeCell ref="C66:C67"/>
    <mergeCell ref="D66:D67"/>
    <mergeCell ref="E66:E67"/>
    <mergeCell ref="D50:D51"/>
    <mergeCell ref="A68:B68"/>
    <mergeCell ref="K66:K67"/>
    <mergeCell ref="L66:L67"/>
    <mergeCell ref="M66:M67"/>
    <mergeCell ref="N66:N67"/>
    <mergeCell ref="M64:M65"/>
    <mergeCell ref="N64:N65"/>
    <mergeCell ref="E64:E65"/>
    <mergeCell ref="F64:F65"/>
    <mergeCell ref="G64:G65"/>
    <mergeCell ref="H64:H65"/>
    <mergeCell ref="N58:N59"/>
    <mergeCell ref="E56:E57"/>
    <mergeCell ref="F56:F57"/>
    <mergeCell ref="G56:G57"/>
    <mergeCell ref="H56:H57"/>
    <mergeCell ref="J64:J65"/>
    <mergeCell ref="E60:E61"/>
    <mergeCell ref="F60:F61"/>
    <mergeCell ref="G60:G61"/>
    <mergeCell ref="A64:A65"/>
    <mergeCell ref="B64:B65"/>
    <mergeCell ref="C64:C65"/>
    <mergeCell ref="O64:O65"/>
    <mergeCell ref="H60:H61"/>
    <mergeCell ref="I60:I61"/>
    <mergeCell ref="J60:J61"/>
    <mergeCell ref="K62:K63"/>
    <mergeCell ref="L62:L63"/>
    <mergeCell ref="M62:M63"/>
    <mergeCell ref="N62:N63"/>
    <mergeCell ref="M60:M61"/>
    <mergeCell ref="N60:N61"/>
    <mergeCell ref="O60:O61"/>
    <mergeCell ref="O62:O63"/>
    <mergeCell ref="K64:K65"/>
    <mergeCell ref="L64:L65"/>
    <mergeCell ref="D64:D65"/>
    <mergeCell ref="F62:F63"/>
    <mergeCell ref="G62:G63"/>
    <mergeCell ref="H62:H63"/>
    <mergeCell ref="I62:I63"/>
    <mergeCell ref="J62:J63"/>
    <mergeCell ref="A62:A63"/>
    <mergeCell ref="B62:B63"/>
    <mergeCell ref="C62:C63"/>
    <mergeCell ref="D62:D63"/>
    <mergeCell ref="E62:E63"/>
    <mergeCell ref="I64:I65"/>
    <mergeCell ref="K58:K59"/>
    <mergeCell ref="L58:L59"/>
    <mergeCell ref="M58:M59"/>
    <mergeCell ref="K54:K55"/>
    <mergeCell ref="L54:L55"/>
    <mergeCell ref="M54:M55"/>
    <mergeCell ref="N54:N55"/>
    <mergeCell ref="O58:O59"/>
    <mergeCell ref="A60:A61"/>
    <mergeCell ref="B60:B61"/>
    <mergeCell ref="C60:C61"/>
    <mergeCell ref="D60:D61"/>
    <mergeCell ref="F58:F59"/>
    <mergeCell ref="G58:G59"/>
    <mergeCell ref="H58:H59"/>
    <mergeCell ref="I58:I59"/>
    <mergeCell ref="J58:J59"/>
    <mergeCell ref="A58:A59"/>
    <mergeCell ref="B58:B59"/>
    <mergeCell ref="C58:C59"/>
    <mergeCell ref="D58:D59"/>
    <mergeCell ref="E58:E59"/>
    <mergeCell ref="K60:K61"/>
    <mergeCell ref="L60:L61"/>
    <mergeCell ref="O54:O55"/>
    <mergeCell ref="A56:A57"/>
    <mergeCell ref="B56:B57"/>
    <mergeCell ref="C56:C57"/>
    <mergeCell ref="D56:D57"/>
    <mergeCell ref="F54:F55"/>
    <mergeCell ref="G54:G55"/>
    <mergeCell ref="H54:H55"/>
    <mergeCell ref="I54:I55"/>
    <mergeCell ref="J54:J55"/>
    <mergeCell ref="A54:A55"/>
    <mergeCell ref="B54:B55"/>
    <mergeCell ref="C54:C55"/>
    <mergeCell ref="D54:D55"/>
    <mergeCell ref="E54:E55"/>
    <mergeCell ref="K56:K57"/>
    <mergeCell ref="L56:L57"/>
    <mergeCell ref="M56:M57"/>
    <mergeCell ref="N56:N57"/>
    <mergeCell ref="O56:O57"/>
    <mergeCell ref="I56:I57"/>
    <mergeCell ref="J56:J57"/>
    <mergeCell ref="K52:K53"/>
    <mergeCell ref="L52:L53"/>
    <mergeCell ref="M52:M53"/>
    <mergeCell ref="N52:N53"/>
    <mergeCell ref="O52:O53"/>
    <mergeCell ref="E52:E53"/>
    <mergeCell ref="F52:F53"/>
    <mergeCell ref="G52:G53"/>
    <mergeCell ref="H52:H53"/>
    <mergeCell ref="I52:I53"/>
    <mergeCell ref="J52:J53"/>
    <mergeCell ref="A52:A53"/>
    <mergeCell ref="B52:B53"/>
    <mergeCell ref="C52:C53"/>
    <mergeCell ref="D52:D53"/>
    <mergeCell ref="F50:F51"/>
    <mergeCell ref="G50:G51"/>
    <mergeCell ref="H50:H51"/>
    <mergeCell ref="I50:I51"/>
    <mergeCell ref="O47:O48"/>
    <mergeCell ref="E47:E48"/>
    <mergeCell ref="F47:F48"/>
    <mergeCell ref="G47:G48"/>
    <mergeCell ref="H47:H48"/>
    <mergeCell ref="I47:I48"/>
    <mergeCell ref="J47:J48"/>
    <mergeCell ref="A49:B49"/>
    <mergeCell ref="A50:A51"/>
    <mergeCell ref="B50:B51"/>
    <mergeCell ref="C50:C51"/>
    <mergeCell ref="E50:E51"/>
    <mergeCell ref="K47:K48"/>
    <mergeCell ref="L47:L48"/>
    <mergeCell ref="K50:K51"/>
    <mergeCell ref="L50:L51"/>
    <mergeCell ref="M50:M51"/>
    <mergeCell ref="N50:N51"/>
    <mergeCell ref="O50:O51"/>
    <mergeCell ref="J50:J51"/>
    <mergeCell ref="K45:K46"/>
    <mergeCell ref="L45:L46"/>
    <mergeCell ref="M45:M46"/>
    <mergeCell ref="N45:N46"/>
    <mergeCell ref="O45:O46"/>
    <mergeCell ref="M47:M48"/>
    <mergeCell ref="N47:N48"/>
    <mergeCell ref="A47:A48"/>
    <mergeCell ref="B47:B48"/>
    <mergeCell ref="C47:C48"/>
    <mergeCell ref="D47:D48"/>
    <mergeCell ref="F45:F46"/>
    <mergeCell ref="G45:G46"/>
    <mergeCell ref="H45:H46"/>
    <mergeCell ref="I45:I46"/>
    <mergeCell ref="J45:J46"/>
    <mergeCell ref="A45:A46"/>
    <mergeCell ref="B45:B46"/>
    <mergeCell ref="C45:C46"/>
    <mergeCell ref="D45:D46"/>
    <mergeCell ref="E45:E46"/>
    <mergeCell ref="K43:K44"/>
    <mergeCell ref="L43:L44"/>
    <mergeCell ref="M43:M44"/>
    <mergeCell ref="N43:N44"/>
    <mergeCell ref="O43:O44"/>
    <mergeCell ref="E43:E44"/>
    <mergeCell ref="F43:F44"/>
    <mergeCell ref="G43:G44"/>
    <mergeCell ref="H43:H44"/>
    <mergeCell ref="I43:I44"/>
    <mergeCell ref="J43:J44"/>
    <mergeCell ref="A43:A44"/>
    <mergeCell ref="B43:B44"/>
    <mergeCell ref="C43:C44"/>
    <mergeCell ref="D43:D44"/>
    <mergeCell ref="F41:F42"/>
    <mergeCell ref="G41:G42"/>
    <mergeCell ref="H41:H42"/>
    <mergeCell ref="I41:I42"/>
    <mergeCell ref="J41:J42"/>
    <mergeCell ref="A41:A42"/>
    <mergeCell ref="B41:B42"/>
    <mergeCell ref="C41:C42"/>
    <mergeCell ref="D41:D42"/>
    <mergeCell ref="E41:E42"/>
    <mergeCell ref="O39:O40"/>
    <mergeCell ref="E39:E40"/>
    <mergeCell ref="F39:F40"/>
    <mergeCell ref="G39:G40"/>
    <mergeCell ref="H39:H40"/>
    <mergeCell ref="I39:I40"/>
    <mergeCell ref="J39:J40"/>
    <mergeCell ref="K41:K42"/>
    <mergeCell ref="L41:L42"/>
    <mergeCell ref="M41:M42"/>
    <mergeCell ref="N41:N42"/>
    <mergeCell ref="O41:O42"/>
    <mergeCell ref="J35:J36"/>
    <mergeCell ref="K37:K38"/>
    <mergeCell ref="L37:L38"/>
    <mergeCell ref="M37:M38"/>
    <mergeCell ref="N37:N38"/>
    <mergeCell ref="O37:O38"/>
    <mergeCell ref="J37:J38"/>
    <mergeCell ref="A39:A40"/>
    <mergeCell ref="B39:B40"/>
    <mergeCell ref="C39:C40"/>
    <mergeCell ref="D39:D40"/>
    <mergeCell ref="F37:F38"/>
    <mergeCell ref="G37:G38"/>
    <mergeCell ref="H37:H38"/>
    <mergeCell ref="I37:I38"/>
    <mergeCell ref="A37:A38"/>
    <mergeCell ref="B37:B38"/>
    <mergeCell ref="C37:C38"/>
    <mergeCell ref="D37:D38"/>
    <mergeCell ref="E37:E38"/>
    <mergeCell ref="K39:K40"/>
    <mergeCell ref="L39:L40"/>
    <mergeCell ref="M39:M40"/>
    <mergeCell ref="N39:N40"/>
    <mergeCell ref="O32:O33"/>
    <mergeCell ref="E32:E33"/>
    <mergeCell ref="A34:B34"/>
    <mergeCell ref="A35:A36"/>
    <mergeCell ref="B35:B36"/>
    <mergeCell ref="C35:C36"/>
    <mergeCell ref="D35:D36"/>
    <mergeCell ref="E35:E36"/>
    <mergeCell ref="F35:F36"/>
    <mergeCell ref="G35:G36"/>
    <mergeCell ref="H35:H36"/>
    <mergeCell ref="K32:K33"/>
    <mergeCell ref="L32:L33"/>
    <mergeCell ref="K35:K36"/>
    <mergeCell ref="L35:L36"/>
    <mergeCell ref="M35:M36"/>
    <mergeCell ref="N35:N36"/>
    <mergeCell ref="O35:O36"/>
    <mergeCell ref="F32:F33"/>
    <mergeCell ref="G32:G33"/>
    <mergeCell ref="H32:H33"/>
    <mergeCell ref="I32:I33"/>
    <mergeCell ref="J32:J33"/>
    <mergeCell ref="I35:I36"/>
    <mergeCell ref="H28:H29"/>
    <mergeCell ref="I28:I29"/>
    <mergeCell ref="J28:J29"/>
    <mergeCell ref="K30:K31"/>
    <mergeCell ref="L30:L31"/>
    <mergeCell ref="M30:M31"/>
    <mergeCell ref="N30:N31"/>
    <mergeCell ref="O30:O31"/>
    <mergeCell ref="A32:A33"/>
    <mergeCell ref="B32:B33"/>
    <mergeCell ref="C32:C33"/>
    <mergeCell ref="D32:D33"/>
    <mergeCell ref="F30:F31"/>
    <mergeCell ref="G30:G31"/>
    <mergeCell ref="H30:H31"/>
    <mergeCell ref="I30:I31"/>
    <mergeCell ref="J30:J31"/>
    <mergeCell ref="A30:A31"/>
    <mergeCell ref="B30:B31"/>
    <mergeCell ref="C30:C31"/>
    <mergeCell ref="D30:D31"/>
    <mergeCell ref="E30:E31"/>
    <mergeCell ref="M32:M33"/>
    <mergeCell ref="N32:N33"/>
    <mergeCell ref="N26:N27"/>
    <mergeCell ref="O26:O27"/>
    <mergeCell ref="A28:A29"/>
    <mergeCell ref="B28:B29"/>
    <mergeCell ref="C28:C29"/>
    <mergeCell ref="D28:D29"/>
    <mergeCell ref="F26:F27"/>
    <mergeCell ref="G26:G27"/>
    <mergeCell ref="H26:H27"/>
    <mergeCell ref="I26:I27"/>
    <mergeCell ref="J26:J27"/>
    <mergeCell ref="A26:A27"/>
    <mergeCell ref="B26:B27"/>
    <mergeCell ref="C26:C27"/>
    <mergeCell ref="D26:D27"/>
    <mergeCell ref="E26:E27"/>
    <mergeCell ref="K28:K29"/>
    <mergeCell ref="L28:L29"/>
    <mergeCell ref="M28:M29"/>
    <mergeCell ref="N28:N29"/>
    <mergeCell ref="O28:O29"/>
    <mergeCell ref="E28:E29"/>
    <mergeCell ref="F28:F29"/>
    <mergeCell ref="G28:G29"/>
    <mergeCell ref="E24:E25"/>
    <mergeCell ref="F24:F25"/>
    <mergeCell ref="G24:G25"/>
    <mergeCell ref="H24:H25"/>
    <mergeCell ref="I24:I25"/>
    <mergeCell ref="J24:J25"/>
    <mergeCell ref="K26:K27"/>
    <mergeCell ref="L26:L27"/>
    <mergeCell ref="M26:M27"/>
    <mergeCell ref="K22:K23"/>
    <mergeCell ref="L22:L23"/>
    <mergeCell ref="M22:M23"/>
    <mergeCell ref="N22:N23"/>
    <mergeCell ref="O22:O23"/>
    <mergeCell ref="J22:J23"/>
    <mergeCell ref="A24:A25"/>
    <mergeCell ref="B24:B25"/>
    <mergeCell ref="C24:C25"/>
    <mergeCell ref="D24:D25"/>
    <mergeCell ref="F22:F23"/>
    <mergeCell ref="G22:G23"/>
    <mergeCell ref="H22:H23"/>
    <mergeCell ref="I22:I23"/>
    <mergeCell ref="A22:A23"/>
    <mergeCell ref="B22:B23"/>
    <mergeCell ref="C22:C23"/>
    <mergeCell ref="D22:D23"/>
    <mergeCell ref="E22:E23"/>
    <mergeCell ref="K24:K25"/>
    <mergeCell ref="L24:L25"/>
    <mergeCell ref="M24:M25"/>
    <mergeCell ref="N24:N25"/>
    <mergeCell ref="O24:O25"/>
    <mergeCell ref="L17:L18"/>
    <mergeCell ref="K20:K21"/>
    <mergeCell ref="L20:L21"/>
    <mergeCell ref="M20:M21"/>
    <mergeCell ref="N20:N21"/>
    <mergeCell ref="O20:O21"/>
    <mergeCell ref="F17:F18"/>
    <mergeCell ref="G17:G18"/>
    <mergeCell ref="H17:H18"/>
    <mergeCell ref="I17:I18"/>
    <mergeCell ref="J17:J18"/>
    <mergeCell ref="I20:I21"/>
    <mergeCell ref="J20:J21"/>
    <mergeCell ref="A19:B19"/>
    <mergeCell ref="A20:A21"/>
    <mergeCell ref="B20:B21"/>
    <mergeCell ref="C20:C21"/>
    <mergeCell ref="D20:D21"/>
    <mergeCell ref="E20:E21"/>
    <mergeCell ref="F20:F21"/>
    <mergeCell ref="G20:G21"/>
    <mergeCell ref="H20:H21"/>
    <mergeCell ref="K15:K16"/>
    <mergeCell ref="L15:L16"/>
    <mergeCell ref="M15:M16"/>
    <mergeCell ref="N15:N16"/>
    <mergeCell ref="O15:O16"/>
    <mergeCell ref="A17:A18"/>
    <mergeCell ref="B17:B18"/>
    <mergeCell ref="C17:C18"/>
    <mergeCell ref="D17:D18"/>
    <mergeCell ref="F15:F16"/>
    <mergeCell ref="G15:G16"/>
    <mergeCell ref="H15:H16"/>
    <mergeCell ref="I15:I16"/>
    <mergeCell ref="J15:J16"/>
    <mergeCell ref="A15:A16"/>
    <mergeCell ref="B15:B16"/>
    <mergeCell ref="C15:C16"/>
    <mergeCell ref="D15:D16"/>
    <mergeCell ref="E15:E16"/>
    <mergeCell ref="M17:M18"/>
    <mergeCell ref="N17:N18"/>
    <mergeCell ref="O17:O18"/>
    <mergeCell ref="E17:E18"/>
    <mergeCell ref="K17:K18"/>
    <mergeCell ref="M13:M14"/>
    <mergeCell ref="N13:N14"/>
    <mergeCell ref="O13:O14"/>
    <mergeCell ref="E13:E14"/>
    <mergeCell ref="F13:F14"/>
    <mergeCell ref="G13:G14"/>
    <mergeCell ref="H13:H14"/>
    <mergeCell ref="I13:I14"/>
    <mergeCell ref="J13:J14"/>
    <mergeCell ref="H9:H10"/>
    <mergeCell ref="I9:I10"/>
    <mergeCell ref="J9:J10"/>
    <mergeCell ref="K11:K12"/>
    <mergeCell ref="L11:L12"/>
    <mergeCell ref="M11:M12"/>
    <mergeCell ref="N11:N12"/>
    <mergeCell ref="O11:O12"/>
    <mergeCell ref="A13:A14"/>
    <mergeCell ref="B13:B14"/>
    <mergeCell ref="C13:C14"/>
    <mergeCell ref="D13:D14"/>
    <mergeCell ref="F11:F12"/>
    <mergeCell ref="G11:G12"/>
    <mergeCell ref="H11:H12"/>
    <mergeCell ref="I11:I12"/>
    <mergeCell ref="J11:J12"/>
    <mergeCell ref="A11:A12"/>
    <mergeCell ref="B11:B12"/>
    <mergeCell ref="C11:C12"/>
    <mergeCell ref="D11:D12"/>
    <mergeCell ref="E11:E12"/>
    <mergeCell ref="K13:K14"/>
    <mergeCell ref="L13:L14"/>
    <mergeCell ref="K7:K8"/>
    <mergeCell ref="L7:L8"/>
    <mergeCell ref="M7:M8"/>
    <mergeCell ref="N7:N8"/>
    <mergeCell ref="O7:O8"/>
    <mergeCell ref="J7:J8"/>
    <mergeCell ref="A9:A10"/>
    <mergeCell ref="B9:B10"/>
    <mergeCell ref="C9:C10"/>
    <mergeCell ref="D9:D10"/>
    <mergeCell ref="F7:F8"/>
    <mergeCell ref="G7:G8"/>
    <mergeCell ref="H7:H8"/>
    <mergeCell ref="I7:I8"/>
    <mergeCell ref="K9:K10"/>
    <mergeCell ref="L9:L10"/>
    <mergeCell ref="M9:M10"/>
    <mergeCell ref="N9:N10"/>
    <mergeCell ref="O9:O10"/>
    <mergeCell ref="E9:E10"/>
    <mergeCell ref="F9:F10"/>
    <mergeCell ref="G9:G10"/>
    <mergeCell ref="A7:A8"/>
    <mergeCell ref="B7:B8"/>
    <mergeCell ref="C7:C8"/>
    <mergeCell ref="D7:D8"/>
    <mergeCell ref="E7:E8"/>
    <mergeCell ref="G5:G6"/>
    <mergeCell ref="H5:H6"/>
    <mergeCell ref="I5:I6"/>
    <mergeCell ref="J5:J6"/>
    <mergeCell ref="A4:B4"/>
    <mergeCell ref="A5:A6"/>
    <mergeCell ref="B5:B6"/>
    <mergeCell ref="C5:C6"/>
    <mergeCell ref="D5:D6"/>
    <mergeCell ref="E5:E6"/>
    <mergeCell ref="F5:F6"/>
    <mergeCell ref="L5:L6"/>
    <mergeCell ref="A1:O1"/>
    <mergeCell ref="A2:A3"/>
    <mergeCell ref="B2:B3"/>
    <mergeCell ref="C2:G2"/>
    <mergeCell ref="H2:H3"/>
    <mergeCell ref="I2:I3"/>
    <mergeCell ref="L2:L3"/>
    <mergeCell ref="M2:M3"/>
    <mergeCell ref="N2:N3"/>
    <mergeCell ref="O2:O3"/>
    <mergeCell ref="J3:K3"/>
    <mergeCell ref="N5:N6"/>
    <mergeCell ref="O5:O6"/>
    <mergeCell ref="K5:K6"/>
    <mergeCell ref="M5:M6"/>
  </mergeCells>
  <phoneticPr fontId="23" type="noConversion"/>
  <pageMargins left="0.7" right="0.7" top="0.75" bottom="0.75" header="0.3" footer="0.3"/>
  <pageSetup paperSize="122" orientation="portrait" horizontalDpi="180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83"/>
  <sheetViews>
    <sheetView topLeftCell="A43" zoomScale="25" zoomScaleNormal="25" workbookViewId="0">
      <selection sqref="A1:P5"/>
    </sheetView>
  </sheetViews>
  <sheetFormatPr defaultColWidth="14.42578125" defaultRowHeight="15" customHeight="1" x14ac:dyDescent="0.25"/>
  <cols>
    <col min="1" max="1" width="40.28515625" customWidth="1"/>
    <col min="2" max="2" width="35.5703125" customWidth="1"/>
    <col min="3" max="3" width="18.7109375" customWidth="1"/>
    <col min="4" max="4" width="63.140625" customWidth="1"/>
    <col min="5" max="5" width="59.28515625" customWidth="1"/>
    <col min="6" max="6" width="49.28515625" customWidth="1"/>
    <col min="7" max="7" width="44.85546875" customWidth="1"/>
    <col min="8" max="8" width="63.7109375" customWidth="1"/>
    <col min="9" max="9" width="99.5703125" customWidth="1"/>
    <col min="10" max="10" width="75" customWidth="1"/>
    <col min="11" max="11" width="28.85546875" hidden="1" customWidth="1"/>
    <col min="12" max="12" width="51.85546875" hidden="1" customWidth="1"/>
    <col min="13" max="13" width="31.7109375" hidden="1" customWidth="1"/>
    <col min="14" max="14" width="31.140625" customWidth="1"/>
    <col min="15" max="15" width="57.5703125" customWidth="1"/>
    <col min="16" max="16" width="26.5703125" customWidth="1"/>
    <col min="17" max="17" width="97.7109375" customWidth="1"/>
    <col min="18" max="26" width="8.7109375" customWidth="1"/>
  </cols>
  <sheetData>
    <row r="1" spans="1:17" ht="46.5" customHeight="1" x14ac:dyDescent="0.25">
      <c r="A1" s="121" t="s">
        <v>67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95"/>
      <c r="Q1" s="122"/>
    </row>
    <row r="2" spans="1:17" ht="46.5" customHeight="1" x14ac:dyDescent="0.25">
      <c r="A2" s="9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97"/>
      <c r="Q2" s="82"/>
    </row>
    <row r="3" spans="1:17" ht="46.5" customHeight="1" x14ac:dyDescent="0.25">
      <c r="A3" s="96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97"/>
      <c r="Q3" s="82"/>
    </row>
    <row r="4" spans="1:17" ht="46.5" customHeight="1" x14ac:dyDescent="0.25">
      <c r="A4" s="9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97"/>
      <c r="Q4" s="82"/>
    </row>
    <row r="5" spans="1:17" ht="184.5" customHeight="1" x14ac:dyDescent="0.25">
      <c r="A5" s="152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153"/>
      <c r="Q5" s="82"/>
    </row>
    <row r="6" spans="1:17" ht="75" customHeight="1" x14ac:dyDescent="0.25">
      <c r="A6" s="127" t="s">
        <v>1</v>
      </c>
      <c r="B6" s="127" t="s">
        <v>2</v>
      </c>
      <c r="C6" s="127" t="s">
        <v>3</v>
      </c>
      <c r="D6" s="154" t="s">
        <v>58</v>
      </c>
      <c r="E6" s="64"/>
      <c r="F6" s="64"/>
      <c r="G6" s="64"/>
      <c r="H6" s="65"/>
      <c r="I6" s="125" t="s">
        <v>5</v>
      </c>
      <c r="J6" s="125" t="s">
        <v>6</v>
      </c>
      <c r="K6" s="47"/>
      <c r="L6" s="47"/>
      <c r="M6" s="47"/>
      <c r="N6" s="118" t="s">
        <v>8</v>
      </c>
      <c r="O6" s="118" t="s">
        <v>9</v>
      </c>
      <c r="P6" s="151" t="s">
        <v>10</v>
      </c>
      <c r="Q6" s="155" t="s">
        <v>11</v>
      </c>
    </row>
    <row r="7" spans="1:17" ht="67.5" customHeight="1" x14ac:dyDescent="0.25">
      <c r="A7" s="62"/>
      <c r="B7" s="62"/>
      <c r="C7" s="62"/>
      <c r="D7" s="48" t="s">
        <v>12</v>
      </c>
      <c r="E7" s="48" t="s">
        <v>13</v>
      </c>
      <c r="F7" s="48" t="s">
        <v>14</v>
      </c>
      <c r="G7" s="48" t="s">
        <v>15</v>
      </c>
      <c r="H7" s="48" t="s">
        <v>16</v>
      </c>
      <c r="I7" s="62"/>
      <c r="J7" s="62"/>
      <c r="K7" s="150" t="s">
        <v>7</v>
      </c>
      <c r="L7" s="64"/>
      <c r="M7" s="65"/>
      <c r="N7" s="62"/>
      <c r="O7" s="62"/>
      <c r="P7" s="62"/>
      <c r="Q7" s="62"/>
    </row>
    <row r="8" spans="1:17" ht="46.5" customHeight="1" x14ac:dyDescent="0.25">
      <c r="A8" s="114" t="s">
        <v>20</v>
      </c>
      <c r="B8" s="64"/>
      <c r="C8" s="65"/>
      <c r="D8" s="24">
        <f t="shared" ref="D8:I8" si="0">SUBTOTAL(9,D9:D22)</f>
        <v>29209950</v>
      </c>
      <c r="E8" s="24">
        <f t="shared" si="0"/>
        <v>29090187</v>
      </c>
      <c r="F8" s="24">
        <f t="shared" si="0"/>
        <v>66287384</v>
      </c>
      <c r="G8" s="24">
        <f t="shared" si="0"/>
        <v>49339001</v>
      </c>
      <c r="H8" s="24">
        <f t="shared" si="0"/>
        <v>3616326</v>
      </c>
      <c r="I8" s="24">
        <f t="shared" si="0"/>
        <v>155818450</v>
      </c>
      <c r="J8" s="24">
        <f>SUBTOTAL(9,J9:M22)</f>
        <v>177542848</v>
      </c>
      <c r="K8" s="24">
        <f>SUBTOTAL(9,K9:K22)</f>
        <v>0</v>
      </c>
      <c r="L8" s="24">
        <f>SUBTOTAL(9,L9:L22)</f>
        <v>0</v>
      </c>
      <c r="M8" s="24">
        <f>SUBTOTAL(9,M9:M22)</f>
        <v>0</v>
      </c>
      <c r="N8" s="24">
        <f>SUBTOTAL(9,N9:N22)</f>
        <v>104</v>
      </c>
      <c r="O8" s="24">
        <f>J8/N8</f>
        <v>1707142.7692307692</v>
      </c>
      <c r="P8" s="24">
        <f>SUBTOTAL(9,P9:P22)</f>
        <v>40</v>
      </c>
      <c r="Q8" s="24"/>
    </row>
    <row r="9" spans="1:17" ht="24" customHeight="1" x14ac:dyDescent="0.25">
      <c r="A9" s="111">
        <v>45748</v>
      </c>
      <c r="B9" s="113" t="s">
        <v>31</v>
      </c>
      <c r="C9" s="113" t="s">
        <v>22</v>
      </c>
      <c r="D9" s="109">
        <v>577500</v>
      </c>
      <c r="E9" s="109">
        <v>771120</v>
      </c>
      <c r="F9" s="109">
        <v>14113947</v>
      </c>
      <c r="G9" s="109"/>
      <c r="H9" s="109"/>
      <c r="I9" s="109">
        <v>13515050</v>
      </c>
      <c r="J9" s="109">
        <f>SUM(D9:H10)</f>
        <v>15462567</v>
      </c>
      <c r="K9" s="109"/>
      <c r="L9" s="109"/>
      <c r="M9" s="109"/>
      <c r="N9" s="109">
        <v>13</v>
      </c>
      <c r="O9" s="109">
        <f>J9/N9</f>
        <v>1189428.2307692308</v>
      </c>
      <c r="P9" s="109">
        <v>5</v>
      </c>
      <c r="Q9" s="109"/>
    </row>
    <row r="10" spans="1:17" ht="24" customHeight="1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1:17" ht="24" customHeight="1" x14ac:dyDescent="0.25">
      <c r="A11" s="111">
        <v>45749</v>
      </c>
      <c r="B11" s="113" t="s">
        <v>32</v>
      </c>
      <c r="C11" s="113" t="s">
        <v>22</v>
      </c>
      <c r="D11" s="109">
        <v>2892456</v>
      </c>
      <c r="E11" s="109">
        <v>11267172</v>
      </c>
      <c r="F11" s="109">
        <v>16434180</v>
      </c>
      <c r="G11" s="109">
        <v>28012146</v>
      </c>
      <c r="H11" s="109">
        <v>2806650</v>
      </c>
      <c r="I11" s="109">
        <v>53825550</v>
      </c>
      <c r="J11" s="109">
        <f>SUM(D11:H12)</f>
        <v>61412604</v>
      </c>
      <c r="K11" s="109"/>
      <c r="L11" s="109"/>
      <c r="M11" s="109"/>
      <c r="N11" s="109">
        <v>35</v>
      </c>
      <c r="O11" s="109">
        <f>J11/N11</f>
        <v>1754645.8285714285</v>
      </c>
      <c r="P11" s="109">
        <v>9</v>
      </c>
      <c r="Q11" s="196" t="s">
        <v>68</v>
      </c>
    </row>
    <row r="12" spans="1:17" ht="123.75" customHeight="1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1:17" ht="24" customHeight="1" x14ac:dyDescent="0.25">
      <c r="A13" s="111">
        <v>45750</v>
      </c>
      <c r="B13" s="113" t="s">
        <v>21</v>
      </c>
      <c r="C13" s="113" t="s">
        <v>22</v>
      </c>
      <c r="D13" s="109"/>
      <c r="E13" s="109"/>
      <c r="F13" s="109">
        <v>26619587</v>
      </c>
      <c r="G13" s="109"/>
      <c r="H13" s="109">
        <v>809676</v>
      </c>
      <c r="I13" s="109">
        <v>24175100</v>
      </c>
      <c r="J13" s="109">
        <f>SUM(D13:H14)</f>
        <v>27429263</v>
      </c>
      <c r="K13" s="109"/>
      <c r="L13" s="109"/>
      <c r="M13" s="109"/>
      <c r="N13" s="109">
        <v>15</v>
      </c>
      <c r="O13" s="109">
        <f>J13/N13</f>
        <v>1828617.5333333334</v>
      </c>
      <c r="P13" s="109">
        <v>5</v>
      </c>
      <c r="Q13" s="109"/>
    </row>
    <row r="14" spans="1:17" ht="24" customHeight="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1:17" ht="24" customHeight="1" x14ac:dyDescent="0.25">
      <c r="A15" s="111">
        <v>45751</v>
      </c>
      <c r="B15" s="113" t="s">
        <v>23</v>
      </c>
      <c r="C15" s="113" t="s">
        <v>22</v>
      </c>
      <c r="D15" s="109">
        <v>5649672</v>
      </c>
      <c r="E15" s="109">
        <v>13897107</v>
      </c>
      <c r="F15" s="109"/>
      <c r="G15" s="109"/>
      <c r="H15" s="109"/>
      <c r="I15" s="109">
        <v>17091000</v>
      </c>
      <c r="J15" s="109">
        <f>SUM(D15:H16)</f>
        <v>19546779</v>
      </c>
      <c r="K15" s="109"/>
      <c r="L15" s="109"/>
      <c r="M15" s="109"/>
      <c r="N15" s="109">
        <v>15</v>
      </c>
      <c r="O15" s="109">
        <f>J15/N15</f>
        <v>1303118.6000000001</v>
      </c>
      <c r="P15" s="109">
        <v>10</v>
      </c>
      <c r="Q15" s="109"/>
    </row>
    <row r="16" spans="1:17" ht="24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 spans="1:17" ht="24" customHeight="1" x14ac:dyDescent="0.25">
      <c r="A17" s="111">
        <v>45752</v>
      </c>
      <c r="B17" s="113" t="s">
        <v>25</v>
      </c>
      <c r="C17" s="113" t="s">
        <v>22</v>
      </c>
      <c r="D17" s="109">
        <v>20090322</v>
      </c>
      <c r="E17" s="109">
        <v>1460592</v>
      </c>
      <c r="F17" s="109">
        <v>2403660</v>
      </c>
      <c r="G17" s="109"/>
      <c r="H17" s="109"/>
      <c r="I17" s="109">
        <v>21011000</v>
      </c>
      <c r="J17" s="109">
        <f>SUM(D17:H18)</f>
        <v>23954574</v>
      </c>
      <c r="K17" s="109"/>
      <c r="L17" s="109"/>
      <c r="M17" s="109"/>
      <c r="N17" s="109">
        <v>13</v>
      </c>
      <c r="O17" s="109">
        <f>J17/N17</f>
        <v>1842659.5384615385</v>
      </c>
      <c r="P17" s="109">
        <v>5</v>
      </c>
      <c r="Q17" s="196"/>
    </row>
    <row r="18" spans="1:17" ht="66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1:17" ht="24" customHeight="1" x14ac:dyDescent="0.25">
      <c r="A19" s="111">
        <v>45753</v>
      </c>
      <c r="B19" s="113" t="s">
        <v>60</v>
      </c>
      <c r="C19" s="113" t="s">
        <v>22</v>
      </c>
      <c r="D19" s="109"/>
      <c r="E19" s="109">
        <v>1694196</v>
      </c>
      <c r="F19" s="109">
        <v>6716010</v>
      </c>
      <c r="G19" s="109">
        <v>21326855</v>
      </c>
      <c r="H19" s="109"/>
      <c r="I19" s="109">
        <f>27215000-1014250</f>
        <v>26200750</v>
      </c>
      <c r="J19" s="109">
        <f>SUM(D19:H20)</f>
        <v>29737061</v>
      </c>
      <c r="K19" s="109"/>
      <c r="L19" s="109"/>
      <c r="M19" s="109"/>
      <c r="N19" s="109">
        <v>13</v>
      </c>
      <c r="O19" s="109">
        <f>J19/N19</f>
        <v>2287466.230769231</v>
      </c>
      <c r="P19" s="109">
        <v>6</v>
      </c>
      <c r="Q19" s="109" t="s">
        <v>69</v>
      </c>
    </row>
    <row r="20" spans="1:17" ht="24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1:17" ht="24" customHeight="1" x14ac:dyDescent="0.25">
      <c r="A21" s="111">
        <v>45754</v>
      </c>
      <c r="B21" s="113" t="s">
        <v>30</v>
      </c>
      <c r="C21" s="113" t="s">
        <v>22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1:17" ht="24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1:17" ht="46.5" customHeight="1" x14ac:dyDescent="0.25">
      <c r="A23" s="114" t="s">
        <v>29</v>
      </c>
      <c r="B23" s="64"/>
      <c r="C23" s="65"/>
      <c r="D23" s="24">
        <f t="shared" ref="D23:N23" si="1">SUM(D24:D37)</f>
        <v>4814964</v>
      </c>
      <c r="E23" s="24">
        <f t="shared" si="1"/>
        <v>13982304</v>
      </c>
      <c r="F23" s="24">
        <f t="shared" si="1"/>
        <v>93157336</v>
      </c>
      <c r="G23" s="24">
        <f t="shared" si="1"/>
        <v>36069280</v>
      </c>
      <c r="H23" s="24">
        <f t="shared" si="1"/>
        <v>5706278</v>
      </c>
      <c r="I23" s="24">
        <f t="shared" si="1"/>
        <v>135123775</v>
      </c>
      <c r="J23" s="24">
        <f t="shared" si="1"/>
        <v>153730162</v>
      </c>
      <c r="K23" s="24">
        <f t="shared" si="1"/>
        <v>0</v>
      </c>
      <c r="L23" s="24">
        <f t="shared" si="1"/>
        <v>0</v>
      </c>
      <c r="M23" s="24">
        <f t="shared" si="1"/>
        <v>0</v>
      </c>
      <c r="N23" s="24">
        <f t="shared" si="1"/>
        <v>90</v>
      </c>
      <c r="O23" s="24">
        <f>J23/N23</f>
        <v>1708112.9111111111</v>
      </c>
      <c r="P23" s="24">
        <f>SUM(P24:P37)</f>
        <v>43</v>
      </c>
      <c r="Q23" s="24"/>
    </row>
    <row r="24" spans="1:17" ht="24" customHeight="1" x14ac:dyDescent="0.25">
      <c r="A24" s="111">
        <v>45755</v>
      </c>
      <c r="B24" s="113" t="s">
        <v>31</v>
      </c>
      <c r="C24" s="113" t="s">
        <v>22</v>
      </c>
      <c r="D24" s="109">
        <v>3363444</v>
      </c>
      <c r="E24" s="109"/>
      <c r="F24" s="109"/>
      <c r="G24" s="109"/>
      <c r="H24" s="109">
        <v>4279279</v>
      </c>
      <c r="I24" s="109">
        <v>6724800</v>
      </c>
      <c r="J24" s="109">
        <f>SUM(D24:H25)</f>
        <v>7642723</v>
      </c>
      <c r="K24" s="109"/>
      <c r="L24" s="109"/>
      <c r="M24" s="109"/>
      <c r="N24" s="109">
        <v>9</v>
      </c>
      <c r="O24" s="109">
        <f>J24/N24</f>
        <v>849191.4444444445</v>
      </c>
      <c r="P24" s="109">
        <v>5</v>
      </c>
      <c r="Q24" s="109"/>
    </row>
    <row r="25" spans="1:17" ht="24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spans="1:17" ht="24" customHeight="1" x14ac:dyDescent="0.25">
      <c r="A26" s="111">
        <v>45756</v>
      </c>
      <c r="B26" s="113" t="s">
        <v>32</v>
      </c>
      <c r="C26" s="113" t="s">
        <v>22</v>
      </c>
      <c r="D26" s="109"/>
      <c r="E26" s="109"/>
      <c r="F26" s="109">
        <v>18440058</v>
      </c>
      <c r="G26" s="109">
        <v>781326</v>
      </c>
      <c r="H26" s="109"/>
      <c r="I26" s="109">
        <v>16876000</v>
      </c>
      <c r="J26" s="109">
        <f>SUM(D26:H27)</f>
        <v>19221384</v>
      </c>
      <c r="K26" s="109"/>
      <c r="L26" s="109"/>
      <c r="M26" s="109"/>
      <c r="N26" s="109">
        <v>10</v>
      </c>
      <c r="O26" s="109">
        <f>J26/N26</f>
        <v>1922138.4</v>
      </c>
      <c r="P26" s="109">
        <v>6</v>
      </c>
      <c r="Q26" s="109" t="s">
        <v>59</v>
      </c>
    </row>
    <row r="27" spans="1:17" ht="51.75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spans="1:17" ht="24" customHeight="1" x14ac:dyDescent="0.25">
      <c r="A28" s="111">
        <v>45757</v>
      </c>
      <c r="B28" s="113" t="s">
        <v>21</v>
      </c>
      <c r="C28" s="113" t="s">
        <v>22</v>
      </c>
      <c r="D28" s="109">
        <v>1451520</v>
      </c>
      <c r="E28" s="109"/>
      <c r="F28" s="109">
        <v>2700936</v>
      </c>
      <c r="G28" s="109">
        <v>10180230</v>
      </c>
      <c r="H28" s="109"/>
      <c r="I28" s="109">
        <f>14200500-1584225</f>
        <v>12616275</v>
      </c>
      <c r="J28" s="109">
        <f>SUM(D28:H29)</f>
        <v>14332686</v>
      </c>
      <c r="K28" s="109"/>
      <c r="L28" s="109"/>
      <c r="M28" s="109"/>
      <c r="N28" s="109">
        <v>10</v>
      </c>
      <c r="O28" s="109">
        <f>J28/N28</f>
        <v>1433268.6</v>
      </c>
      <c r="P28" s="109">
        <v>6</v>
      </c>
      <c r="Q28" s="156"/>
    </row>
    <row r="29" spans="1:17" ht="24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spans="1:17" ht="24" customHeight="1" x14ac:dyDescent="0.25">
      <c r="A30" s="111">
        <v>45758</v>
      </c>
      <c r="B30" s="113" t="s">
        <v>23</v>
      </c>
      <c r="C30" s="113" t="s">
        <v>22</v>
      </c>
      <c r="D30" s="109"/>
      <c r="E30" s="109"/>
      <c r="F30" s="109">
        <v>15541924</v>
      </c>
      <c r="G30" s="109">
        <v>2599128</v>
      </c>
      <c r="H30" s="109"/>
      <c r="I30" s="109">
        <v>15997400</v>
      </c>
      <c r="J30" s="109">
        <f>SUM(D30:H31)</f>
        <v>18141052</v>
      </c>
      <c r="K30" s="109"/>
      <c r="L30" s="109"/>
      <c r="M30" s="109"/>
      <c r="N30" s="109">
        <v>13</v>
      </c>
      <c r="O30" s="109">
        <f>J30/N30</f>
        <v>1395465.5384615385</v>
      </c>
      <c r="P30" s="109">
        <v>2</v>
      </c>
      <c r="Q30" s="109" t="s">
        <v>59</v>
      </c>
    </row>
    <row r="31" spans="1:17" ht="24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</row>
    <row r="32" spans="1:17" ht="24" customHeight="1" x14ac:dyDescent="0.25">
      <c r="A32" s="111">
        <v>45759</v>
      </c>
      <c r="B32" s="113" t="s">
        <v>25</v>
      </c>
      <c r="C32" s="113" t="s">
        <v>22</v>
      </c>
      <c r="D32" s="109"/>
      <c r="E32" s="109">
        <v>2003778</v>
      </c>
      <c r="F32" s="109">
        <v>6911982</v>
      </c>
      <c r="G32" s="109"/>
      <c r="H32" s="109"/>
      <c r="I32" s="109">
        <v>7820000</v>
      </c>
      <c r="J32" s="109">
        <f>SUM(D32:H33)</f>
        <v>8915760</v>
      </c>
      <c r="K32" s="109"/>
      <c r="L32" s="109"/>
      <c r="M32" s="109"/>
      <c r="N32" s="109">
        <v>8</v>
      </c>
      <c r="O32" s="109">
        <f>J32/N32</f>
        <v>1114470</v>
      </c>
      <c r="P32" s="109">
        <v>8</v>
      </c>
      <c r="Q32" s="148"/>
    </row>
    <row r="33" spans="1:17" ht="24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</row>
    <row r="34" spans="1:17" ht="24" customHeight="1" x14ac:dyDescent="0.25">
      <c r="A34" s="111">
        <v>45760</v>
      </c>
      <c r="B34" s="113" t="s">
        <v>60</v>
      </c>
      <c r="C34" s="113" t="s">
        <v>22</v>
      </c>
      <c r="D34" s="109"/>
      <c r="E34" s="109">
        <v>8247666</v>
      </c>
      <c r="F34" s="109">
        <v>5410272</v>
      </c>
      <c r="G34" s="109">
        <v>22508596</v>
      </c>
      <c r="H34" s="109">
        <v>1426999</v>
      </c>
      <c r="I34" s="109">
        <v>33098300</v>
      </c>
      <c r="J34" s="109">
        <f>SUM(D34:H35)</f>
        <v>37593533</v>
      </c>
      <c r="K34" s="109"/>
      <c r="L34" s="109"/>
      <c r="M34" s="109"/>
      <c r="N34" s="109">
        <v>24</v>
      </c>
      <c r="O34" s="109">
        <f>J34/N34</f>
        <v>1566397.2083333333</v>
      </c>
      <c r="P34" s="109">
        <v>9</v>
      </c>
      <c r="Q34" s="109"/>
    </row>
    <row r="35" spans="1:17" ht="24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</row>
    <row r="36" spans="1:17" ht="111.75" customHeight="1" x14ac:dyDescent="0.25">
      <c r="A36" s="111">
        <v>45761</v>
      </c>
      <c r="B36" s="113" t="s">
        <v>30</v>
      </c>
      <c r="C36" s="113" t="s">
        <v>22</v>
      </c>
      <c r="D36" s="109"/>
      <c r="E36" s="109">
        <v>3730860</v>
      </c>
      <c r="F36" s="109">
        <v>44152164</v>
      </c>
      <c r="G36" s="109"/>
      <c r="H36" s="109"/>
      <c r="I36" s="109">
        <v>41991000</v>
      </c>
      <c r="J36" s="109">
        <f>SUM(D36:H37)</f>
        <v>47883024</v>
      </c>
      <c r="K36" s="109"/>
      <c r="L36" s="109"/>
      <c r="M36" s="109"/>
      <c r="N36" s="109">
        <v>16</v>
      </c>
      <c r="O36" s="109">
        <f>J36/N36</f>
        <v>2992689</v>
      </c>
      <c r="P36" s="109">
        <v>7</v>
      </c>
      <c r="Q36" s="147"/>
    </row>
    <row r="37" spans="1:17" ht="24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spans="1:17" ht="46.5" customHeight="1" x14ac:dyDescent="0.25">
      <c r="A38" s="114" t="s">
        <v>34</v>
      </c>
      <c r="B38" s="64"/>
      <c r="C38" s="65"/>
      <c r="D38" s="24">
        <f t="shared" ref="D38:N38" si="2">SUM(D39:D52)</f>
        <v>27718392</v>
      </c>
      <c r="E38" s="24">
        <f t="shared" si="2"/>
        <v>51178239</v>
      </c>
      <c r="F38" s="24">
        <f t="shared" si="2"/>
        <v>99377808</v>
      </c>
      <c r="G38" s="24">
        <f t="shared" si="2"/>
        <v>36063025</v>
      </c>
      <c r="H38" s="24">
        <f t="shared" si="2"/>
        <v>3534451</v>
      </c>
      <c r="I38" s="24">
        <f t="shared" si="2"/>
        <v>191027650</v>
      </c>
      <c r="J38" s="24">
        <f t="shared" si="2"/>
        <v>217871915</v>
      </c>
      <c r="K38" s="24">
        <f t="shared" si="2"/>
        <v>0</v>
      </c>
      <c r="L38" s="24">
        <f t="shared" si="2"/>
        <v>0</v>
      </c>
      <c r="M38" s="24">
        <f t="shared" si="2"/>
        <v>0</v>
      </c>
      <c r="N38" s="24">
        <f t="shared" si="2"/>
        <v>151</v>
      </c>
      <c r="O38" s="24">
        <f>J38/N38</f>
        <v>1442860.3642384105</v>
      </c>
      <c r="P38" s="24">
        <f>SUM(P39:P52)</f>
        <v>76</v>
      </c>
      <c r="Q38" s="24"/>
    </row>
    <row r="39" spans="1:17" ht="24" customHeight="1" x14ac:dyDescent="0.25">
      <c r="A39" s="111">
        <v>45762</v>
      </c>
      <c r="B39" s="113" t="s">
        <v>31</v>
      </c>
      <c r="C39" s="113" t="s">
        <v>22</v>
      </c>
      <c r="D39" s="109">
        <v>9018534</v>
      </c>
      <c r="E39" s="109"/>
      <c r="F39" s="109">
        <v>3700746</v>
      </c>
      <c r="G39" s="109">
        <v>6820840</v>
      </c>
      <c r="H39" s="109"/>
      <c r="I39" s="109">
        <v>17174850</v>
      </c>
      <c r="J39" s="109">
        <f>SUM(D39:H40)</f>
        <v>19540120</v>
      </c>
      <c r="K39" s="109"/>
      <c r="L39" s="109"/>
      <c r="M39" s="109"/>
      <c r="N39" s="109">
        <v>17</v>
      </c>
      <c r="O39" s="109">
        <f>J39/N39</f>
        <v>1149418.8235294118</v>
      </c>
      <c r="P39" s="109">
        <v>9</v>
      </c>
      <c r="Q39" s="196" t="s">
        <v>70</v>
      </c>
    </row>
    <row r="40" spans="1:17" ht="71.2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spans="1:17" ht="24" customHeight="1" x14ac:dyDescent="0.25">
      <c r="A41" s="111">
        <v>45763</v>
      </c>
      <c r="B41" s="113" t="s">
        <v>32</v>
      </c>
      <c r="C41" s="113" t="s">
        <v>22</v>
      </c>
      <c r="D41" s="109">
        <v>2030994</v>
      </c>
      <c r="E41" s="109">
        <v>3248406</v>
      </c>
      <c r="F41" s="109">
        <v>31364424</v>
      </c>
      <c r="G41" s="109">
        <v>3419304</v>
      </c>
      <c r="H41" s="109"/>
      <c r="I41" s="109">
        <v>35082000</v>
      </c>
      <c r="J41" s="109">
        <f>SUM(D41:H42)</f>
        <v>40063128</v>
      </c>
      <c r="K41" s="109"/>
      <c r="L41" s="109"/>
      <c r="M41" s="109"/>
      <c r="N41" s="109">
        <v>34</v>
      </c>
      <c r="O41" s="109">
        <f>J41/N41</f>
        <v>1178327.294117647</v>
      </c>
      <c r="P41" s="109">
        <v>19</v>
      </c>
      <c r="Q41" s="109"/>
    </row>
    <row r="42" spans="1:17" ht="51.75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</row>
    <row r="43" spans="1:17" ht="24" customHeight="1" x14ac:dyDescent="0.25">
      <c r="A43" s="111">
        <v>45764</v>
      </c>
      <c r="B43" s="113" t="s">
        <v>21</v>
      </c>
      <c r="C43" s="113" t="s">
        <v>22</v>
      </c>
      <c r="D43" s="109">
        <v>852000</v>
      </c>
      <c r="E43" s="109"/>
      <c r="F43" s="109">
        <v>7035558</v>
      </c>
      <c r="G43" s="109">
        <v>8314601</v>
      </c>
      <c r="H43" s="109"/>
      <c r="I43" s="109">
        <f>15803000-1593900</f>
        <v>14209100</v>
      </c>
      <c r="J43" s="109">
        <f>SUM(D43:H44)</f>
        <v>16202159</v>
      </c>
      <c r="K43" s="109"/>
      <c r="L43" s="109"/>
      <c r="M43" s="109"/>
      <c r="N43" s="109">
        <v>12</v>
      </c>
      <c r="O43" s="109">
        <f>J43/N43</f>
        <v>1350179.9166666667</v>
      </c>
      <c r="P43" s="109">
        <v>6</v>
      </c>
      <c r="Q43" s="157"/>
    </row>
    <row r="44" spans="1:17" ht="24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spans="1:17" ht="24" customHeight="1" x14ac:dyDescent="0.25">
      <c r="A45" s="111">
        <v>45765</v>
      </c>
      <c r="B45" s="113" t="s">
        <v>23</v>
      </c>
      <c r="C45" s="113" t="s">
        <v>22</v>
      </c>
      <c r="D45" s="109">
        <v>7929180</v>
      </c>
      <c r="E45" s="109">
        <v>42042693</v>
      </c>
      <c r="F45" s="109"/>
      <c r="G45" s="109"/>
      <c r="H45" s="109"/>
      <c r="I45" s="109">
        <v>43809500</v>
      </c>
      <c r="J45" s="109">
        <f>SUM(D45:H46)</f>
        <v>49971873</v>
      </c>
      <c r="K45" s="109"/>
      <c r="L45" s="109"/>
      <c r="M45" s="109"/>
      <c r="N45" s="109">
        <v>29</v>
      </c>
      <c r="O45" s="109">
        <f>J45/N45</f>
        <v>1723168.0344827587</v>
      </c>
      <c r="P45" s="109">
        <v>14</v>
      </c>
      <c r="Q45" s="157"/>
    </row>
    <row r="46" spans="1:17" ht="24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</row>
    <row r="47" spans="1:17" ht="24" customHeight="1" x14ac:dyDescent="0.25">
      <c r="A47" s="111">
        <v>45766</v>
      </c>
      <c r="B47" s="113" t="s">
        <v>25</v>
      </c>
      <c r="C47" s="113" t="s">
        <v>22</v>
      </c>
      <c r="D47" s="109">
        <v>5316780</v>
      </c>
      <c r="E47" s="109">
        <v>5887140</v>
      </c>
      <c r="F47" s="109">
        <v>30871596</v>
      </c>
      <c r="G47" s="109"/>
      <c r="H47" s="109"/>
      <c r="I47" s="109">
        <v>36824000</v>
      </c>
      <c r="J47" s="109">
        <f>SUM(D47:H48)</f>
        <v>42075516</v>
      </c>
      <c r="K47" s="109"/>
      <c r="L47" s="109"/>
      <c r="M47" s="109"/>
      <c r="N47" s="109">
        <v>23</v>
      </c>
      <c r="O47" s="109">
        <f>J47/N47</f>
        <v>1829370.2608695652</v>
      </c>
      <c r="P47" s="109">
        <v>11</v>
      </c>
      <c r="Q47" s="148"/>
    </row>
    <row r="48" spans="1:17" ht="24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</row>
    <row r="49" spans="1:17" ht="24" customHeight="1" x14ac:dyDescent="0.25">
      <c r="A49" s="111">
        <v>45767</v>
      </c>
      <c r="B49" s="113" t="s">
        <v>60</v>
      </c>
      <c r="C49" s="113" t="s">
        <v>22</v>
      </c>
      <c r="D49" s="109">
        <v>2282154</v>
      </c>
      <c r="E49" s="109"/>
      <c r="F49" s="109">
        <v>3040632</v>
      </c>
      <c r="G49" s="109"/>
      <c r="H49" s="109"/>
      <c r="I49" s="109">
        <v>4654000</v>
      </c>
      <c r="J49" s="109">
        <f>SUM(D49:H50)</f>
        <v>5322786</v>
      </c>
      <c r="K49" s="109"/>
      <c r="L49" s="109"/>
      <c r="M49" s="109"/>
      <c r="N49" s="109">
        <v>6</v>
      </c>
      <c r="O49" s="109">
        <f>J49/N49</f>
        <v>887131</v>
      </c>
      <c r="P49" s="109">
        <v>6</v>
      </c>
      <c r="Q49" s="109"/>
    </row>
    <row r="50" spans="1:17" ht="24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</row>
    <row r="51" spans="1:17" ht="24" customHeight="1" x14ac:dyDescent="0.7">
      <c r="A51" s="111">
        <v>45768</v>
      </c>
      <c r="B51" s="113" t="s">
        <v>71</v>
      </c>
      <c r="C51" s="113" t="s">
        <v>22</v>
      </c>
      <c r="D51" s="109">
        <v>288750</v>
      </c>
      <c r="E51" s="31"/>
      <c r="F51" s="109">
        <v>23364852</v>
      </c>
      <c r="G51" s="109">
        <v>17508280</v>
      </c>
      <c r="H51" s="109">
        <v>3534451</v>
      </c>
      <c r="I51" s="109">
        <v>39274200</v>
      </c>
      <c r="J51" s="109">
        <f>SUM(D51:H52)</f>
        <v>44696333</v>
      </c>
      <c r="K51" s="109"/>
      <c r="L51" s="109"/>
      <c r="M51" s="109"/>
      <c r="N51" s="109">
        <v>30</v>
      </c>
      <c r="O51" s="109">
        <f>J51/N51</f>
        <v>1489877.7666666666</v>
      </c>
      <c r="P51" s="109">
        <v>11</v>
      </c>
      <c r="Q51" s="147"/>
    </row>
    <row r="52" spans="1:17" ht="24" customHeight="1" x14ac:dyDescent="0.7">
      <c r="A52" s="62"/>
      <c r="B52" s="62"/>
      <c r="C52" s="62"/>
      <c r="D52" s="62"/>
      <c r="E52" s="31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spans="1:17" ht="46.5" customHeight="1" x14ac:dyDescent="0.25">
      <c r="A53" s="114" t="s">
        <v>36</v>
      </c>
      <c r="B53" s="64"/>
      <c r="C53" s="65"/>
      <c r="D53" s="24">
        <f t="shared" ref="D53:J53" si="3">SUM(D54:D71)</f>
        <v>19496022</v>
      </c>
      <c r="E53" s="24">
        <f t="shared" si="3"/>
        <v>16502153</v>
      </c>
      <c r="F53" s="24">
        <f t="shared" si="3"/>
        <v>108862784</v>
      </c>
      <c r="G53" s="24">
        <f t="shared" si="3"/>
        <v>49994738</v>
      </c>
      <c r="H53" s="24">
        <f t="shared" si="3"/>
        <v>32628468</v>
      </c>
      <c r="I53" s="24">
        <f t="shared" si="3"/>
        <v>199737950</v>
      </c>
      <c r="J53" s="24">
        <f t="shared" si="3"/>
        <v>227484165</v>
      </c>
      <c r="K53" s="24">
        <f>SUM(K54:K67)</f>
        <v>0</v>
      </c>
      <c r="L53" s="24">
        <f>SUM(L54:L67)</f>
        <v>0</v>
      </c>
      <c r="M53" s="24">
        <f>SUM(M54:M67)</f>
        <v>0</v>
      </c>
      <c r="N53" s="24">
        <f>SUM(N54:N71)</f>
        <v>176</v>
      </c>
      <c r="O53" s="24">
        <f>J53/N53</f>
        <v>1292523.6647727273</v>
      </c>
      <c r="P53" s="24">
        <f>SUM(P54:P71)</f>
        <v>82</v>
      </c>
      <c r="Q53" s="24"/>
    </row>
    <row r="54" spans="1:17" ht="24" customHeight="1" x14ac:dyDescent="0.7">
      <c r="A54" s="111">
        <v>45769</v>
      </c>
      <c r="B54" s="113" t="s">
        <v>31</v>
      </c>
      <c r="C54" s="113" t="s">
        <v>22</v>
      </c>
      <c r="D54" s="109"/>
      <c r="E54" s="31"/>
      <c r="F54" s="109">
        <v>5968200</v>
      </c>
      <c r="G54" s="109">
        <v>11246521</v>
      </c>
      <c r="H54" s="109">
        <v>2840670</v>
      </c>
      <c r="I54" s="109">
        <v>17645900</v>
      </c>
      <c r="J54" s="109">
        <f>SUM(D54:H55)</f>
        <v>20055391</v>
      </c>
      <c r="K54" s="109"/>
      <c r="L54" s="109"/>
      <c r="M54" s="109"/>
      <c r="N54" s="109">
        <v>16</v>
      </c>
      <c r="O54" s="109">
        <f>J54/N54</f>
        <v>1253461.9375</v>
      </c>
      <c r="P54" s="109">
        <v>6</v>
      </c>
      <c r="Q54" s="109" t="s">
        <v>72</v>
      </c>
    </row>
    <row r="55" spans="1:17" ht="24" customHeight="1" x14ac:dyDescent="0.7">
      <c r="A55" s="62"/>
      <c r="B55" s="62"/>
      <c r="C55" s="62"/>
      <c r="D55" s="62"/>
      <c r="E55" s="31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</row>
    <row r="56" spans="1:17" ht="24" customHeight="1" x14ac:dyDescent="0.25">
      <c r="A56" s="111">
        <v>45770</v>
      </c>
      <c r="B56" s="113" t="s">
        <v>32</v>
      </c>
      <c r="C56" s="113" t="s">
        <v>22</v>
      </c>
      <c r="D56" s="109"/>
      <c r="E56" s="109"/>
      <c r="F56" s="109">
        <v>62577524</v>
      </c>
      <c r="G56" s="109"/>
      <c r="H56" s="109">
        <v>23785196</v>
      </c>
      <c r="I56" s="109">
        <v>76070750</v>
      </c>
      <c r="J56" s="109">
        <f>SUM(D56:H57)</f>
        <v>86362720</v>
      </c>
      <c r="K56" s="109"/>
      <c r="L56" s="109"/>
      <c r="M56" s="109"/>
      <c r="N56" s="109">
        <v>41</v>
      </c>
      <c r="O56" s="109">
        <f>J56/N56</f>
        <v>2106407.8048780486</v>
      </c>
      <c r="P56" s="109">
        <v>16</v>
      </c>
      <c r="Q56" s="109"/>
    </row>
    <row r="57" spans="1:17" ht="51.7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</row>
    <row r="58" spans="1:17" ht="24" customHeight="1" x14ac:dyDescent="0.25">
      <c r="A58" s="111">
        <v>45771</v>
      </c>
      <c r="B58" s="113" t="s">
        <v>21</v>
      </c>
      <c r="C58" s="113" t="s">
        <v>22</v>
      </c>
      <c r="D58" s="109"/>
      <c r="E58" s="109">
        <v>4834158</v>
      </c>
      <c r="F58" s="109">
        <v>13980624</v>
      </c>
      <c r="G58" s="109">
        <v>848232</v>
      </c>
      <c r="H58" s="109"/>
      <c r="I58" s="109">
        <v>17176000</v>
      </c>
      <c r="J58" s="109">
        <f>SUM(D58:H59)</f>
        <v>19663014</v>
      </c>
      <c r="K58" s="109"/>
      <c r="L58" s="109"/>
      <c r="M58" s="109"/>
      <c r="N58" s="109">
        <v>18</v>
      </c>
      <c r="O58" s="109">
        <f>J58/N58</f>
        <v>1092389.6666666667</v>
      </c>
      <c r="P58" s="109">
        <v>9</v>
      </c>
      <c r="Q58" s="109"/>
    </row>
    <row r="59" spans="1:17" ht="24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</row>
    <row r="60" spans="1:17" ht="24" customHeight="1" x14ac:dyDescent="0.25">
      <c r="A60" s="111">
        <v>45772</v>
      </c>
      <c r="B60" s="113" t="s">
        <v>23</v>
      </c>
      <c r="C60" s="113" t="s">
        <v>22</v>
      </c>
      <c r="D60" s="109">
        <v>5916498</v>
      </c>
      <c r="E60" s="109">
        <v>6565499</v>
      </c>
      <c r="F60" s="109"/>
      <c r="G60" s="109"/>
      <c r="H60" s="109"/>
      <c r="I60" s="109">
        <v>10990200</v>
      </c>
      <c r="J60" s="109">
        <f>SUM(D60:H61)</f>
        <v>12481997</v>
      </c>
      <c r="K60" s="109"/>
      <c r="L60" s="109"/>
      <c r="M60" s="109"/>
      <c r="N60" s="109">
        <v>13</v>
      </c>
      <c r="O60" s="109">
        <f>J60/N60</f>
        <v>960153.61538461538</v>
      </c>
      <c r="P60" s="109">
        <v>10</v>
      </c>
      <c r="Q60" s="109"/>
    </row>
    <row r="61" spans="1:17" ht="24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</row>
    <row r="62" spans="1:17" ht="24" customHeight="1" x14ac:dyDescent="0.25">
      <c r="A62" s="111">
        <v>45773</v>
      </c>
      <c r="B62" s="113" t="s">
        <v>25</v>
      </c>
      <c r="C62" s="113" t="s">
        <v>22</v>
      </c>
      <c r="D62" s="109">
        <v>1163610</v>
      </c>
      <c r="E62" s="109">
        <v>2128686</v>
      </c>
      <c r="F62" s="109">
        <v>9078762</v>
      </c>
      <c r="G62" s="109">
        <v>955920</v>
      </c>
      <c r="H62" s="109"/>
      <c r="I62" s="109">
        <v>11682000</v>
      </c>
      <c r="J62" s="109">
        <f>SUM(D62:H63)</f>
        <v>13326978</v>
      </c>
      <c r="K62" s="109"/>
      <c r="L62" s="109"/>
      <c r="M62" s="109"/>
      <c r="N62" s="109">
        <v>22</v>
      </c>
      <c r="O62" s="109">
        <f>J62/N62</f>
        <v>605771.72727272729</v>
      </c>
      <c r="P62" s="109">
        <v>13</v>
      </c>
      <c r="Q62" s="156" t="s">
        <v>73</v>
      </c>
    </row>
    <row r="63" spans="1:17" ht="37.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spans="1:17" ht="24" customHeight="1" x14ac:dyDescent="0.25">
      <c r="A64" s="111">
        <v>45774</v>
      </c>
      <c r="B64" s="113" t="s">
        <v>60</v>
      </c>
      <c r="C64" s="113" t="s">
        <v>22</v>
      </c>
      <c r="D64" s="109">
        <v>6366276</v>
      </c>
      <c r="E64" s="109"/>
      <c r="F64" s="109">
        <v>1990170</v>
      </c>
      <c r="G64" s="109"/>
      <c r="H64" s="109"/>
      <c r="I64" s="109">
        <v>7369000</v>
      </c>
      <c r="J64" s="109">
        <f>SUM(D64:H65)</f>
        <v>8356446</v>
      </c>
      <c r="K64" s="109"/>
      <c r="L64" s="109"/>
      <c r="M64" s="109"/>
      <c r="N64" s="109">
        <v>7</v>
      </c>
      <c r="O64" s="109">
        <f>J64/N64</f>
        <v>1193778</v>
      </c>
      <c r="P64" s="109">
        <v>2</v>
      </c>
      <c r="Q64" s="109"/>
    </row>
    <row r="65" spans="1:17" ht="24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</row>
    <row r="66" spans="1:17" ht="24" customHeight="1" x14ac:dyDescent="0.25">
      <c r="A66" s="111">
        <v>45775</v>
      </c>
      <c r="B66" s="113" t="s">
        <v>71</v>
      </c>
      <c r="C66" s="113" t="s">
        <v>22</v>
      </c>
      <c r="D66" s="109"/>
      <c r="E66" s="109">
        <v>2520210</v>
      </c>
      <c r="F66" s="109">
        <v>10078446</v>
      </c>
      <c r="G66" s="109"/>
      <c r="H66" s="109">
        <v>1636702</v>
      </c>
      <c r="I66" s="109">
        <v>12532300</v>
      </c>
      <c r="J66" s="109">
        <f>SUM(D66:H67)</f>
        <v>14235358</v>
      </c>
      <c r="K66" s="109"/>
      <c r="L66" s="109"/>
      <c r="M66" s="109"/>
      <c r="N66" s="109">
        <v>17</v>
      </c>
      <c r="O66" s="109">
        <f>J66/N66</f>
        <v>837374</v>
      </c>
      <c r="P66" s="109">
        <v>9</v>
      </c>
      <c r="Q66" s="147"/>
    </row>
    <row r="67" spans="1:17" ht="42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</row>
    <row r="68" spans="1:17" ht="42" customHeight="1" x14ac:dyDescent="0.25">
      <c r="A68" s="111">
        <v>45776</v>
      </c>
      <c r="B68" s="113" t="s">
        <v>31</v>
      </c>
      <c r="C68" s="113" t="s">
        <v>22</v>
      </c>
      <c r="D68" s="109">
        <v>6049638</v>
      </c>
      <c r="E68" s="109">
        <v>453600</v>
      </c>
      <c r="F68" s="109">
        <v>5189058</v>
      </c>
      <c r="G68" s="109">
        <v>27831199</v>
      </c>
      <c r="H68" s="109">
        <v>4365900</v>
      </c>
      <c r="I68" s="109">
        <v>38322800</v>
      </c>
      <c r="J68" s="109">
        <f>SUM(D68:H69)</f>
        <v>43889395</v>
      </c>
      <c r="K68" s="109"/>
      <c r="L68" s="109"/>
      <c r="M68" s="109"/>
      <c r="N68" s="109">
        <v>22</v>
      </c>
      <c r="O68" s="109">
        <f>J68/N68</f>
        <v>1994972.5</v>
      </c>
      <c r="P68" s="109">
        <v>15</v>
      </c>
      <c r="Q68" s="147" t="s">
        <v>74</v>
      </c>
    </row>
    <row r="69" spans="1:17" ht="135.7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</row>
    <row r="70" spans="1:17" ht="42" customHeight="1" x14ac:dyDescent="0.25">
      <c r="A70" s="111">
        <v>45777</v>
      </c>
      <c r="B70" s="113" t="s">
        <v>32</v>
      </c>
      <c r="C70" s="113" t="s">
        <v>22</v>
      </c>
      <c r="D70" s="109"/>
      <c r="E70" s="109"/>
      <c r="F70" s="109"/>
      <c r="G70" s="109">
        <v>9112866</v>
      </c>
      <c r="H70" s="109"/>
      <c r="I70" s="109">
        <v>7949000</v>
      </c>
      <c r="J70" s="109">
        <f>SUM(D70:H71)</f>
        <v>9112866</v>
      </c>
      <c r="K70" s="109"/>
      <c r="L70" s="109"/>
      <c r="M70" s="109"/>
      <c r="N70" s="109">
        <v>20</v>
      </c>
      <c r="O70" s="109">
        <f>J70/N70</f>
        <v>455643.3</v>
      </c>
      <c r="P70" s="109">
        <v>2</v>
      </c>
      <c r="Q70" s="147" t="s">
        <v>75</v>
      </c>
    </row>
    <row r="71" spans="1:17" ht="42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</row>
    <row r="72" spans="1:17" ht="46.5" customHeight="1" x14ac:dyDescent="0.25">
      <c r="A72" s="108" t="s">
        <v>40</v>
      </c>
      <c r="B72" s="64"/>
      <c r="C72" s="65"/>
      <c r="D72" s="30">
        <f t="shared" ref="D72:N72" si="4">D8+D23+D38+D53</f>
        <v>81239328</v>
      </c>
      <c r="E72" s="30">
        <f t="shared" si="4"/>
        <v>110752883</v>
      </c>
      <c r="F72" s="30">
        <f t="shared" si="4"/>
        <v>367685312</v>
      </c>
      <c r="G72" s="30">
        <f t="shared" si="4"/>
        <v>171466044</v>
      </c>
      <c r="H72" s="30">
        <f t="shared" si="4"/>
        <v>45485523</v>
      </c>
      <c r="I72" s="30">
        <f t="shared" si="4"/>
        <v>681707825</v>
      </c>
      <c r="J72" s="30">
        <f t="shared" si="4"/>
        <v>776629090</v>
      </c>
      <c r="K72" s="30">
        <f t="shared" si="4"/>
        <v>0</v>
      </c>
      <c r="L72" s="30">
        <f t="shared" si="4"/>
        <v>0</v>
      </c>
      <c r="M72" s="30">
        <f t="shared" si="4"/>
        <v>0</v>
      </c>
      <c r="N72" s="30">
        <f t="shared" si="4"/>
        <v>521</v>
      </c>
      <c r="O72" s="30">
        <f>J72/N72</f>
        <v>1490650.8445297505</v>
      </c>
      <c r="P72" s="30">
        <f>P8+P23+P38+P53</f>
        <v>241</v>
      </c>
      <c r="Q72" s="30"/>
    </row>
    <row r="73" spans="1:17" ht="46.5" customHeight="1" x14ac:dyDescent="0.7">
      <c r="A73" s="19"/>
      <c r="B73" s="19"/>
      <c r="C73" s="19"/>
      <c r="D73" s="31"/>
      <c r="E73" s="31"/>
      <c r="F73" s="31"/>
      <c r="G73" s="31"/>
      <c r="H73" s="31"/>
      <c r="I73" s="31"/>
      <c r="J73" s="31"/>
      <c r="K73" s="19"/>
      <c r="L73" s="19"/>
      <c r="M73" s="19"/>
      <c r="N73" s="31"/>
      <c r="O73" s="31"/>
      <c r="P73" s="19"/>
      <c r="Q73" s="19"/>
    </row>
    <row r="74" spans="1:17" ht="46.5" customHeight="1" x14ac:dyDescent="0.7">
      <c r="A74" s="19"/>
      <c r="B74" s="19"/>
      <c r="C74" s="19"/>
      <c r="D74" s="31"/>
      <c r="E74" s="31"/>
      <c r="F74" s="31"/>
      <c r="G74" s="31"/>
      <c r="H74" s="31"/>
      <c r="I74" s="31"/>
      <c r="J74" s="31"/>
      <c r="K74" s="19"/>
      <c r="L74" s="19"/>
      <c r="M74" s="19"/>
      <c r="N74" s="31"/>
      <c r="O74" s="31"/>
      <c r="P74" s="19"/>
      <c r="Q74" s="19"/>
    </row>
    <row r="75" spans="1:17" ht="46.5" customHeight="1" x14ac:dyDescent="0.7">
      <c r="A75" s="19"/>
      <c r="B75" s="19"/>
      <c r="C75" s="19"/>
      <c r="D75" s="31"/>
      <c r="E75" s="31"/>
      <c r="F75" s="31"/>
      <c r="G75" s="31"/>
      <c r="H75" s="31"/>
      <c r="I75" s="31"/>
      <c r="J75" s="31"/>
      <c r="K75" s="19"/>
      <c r="L75" s="19"/>
      <c r="M75" s="19"/>
      <c r="N75" s="31"/>
      <c r="O75" s="31"/>
      <c r="P75" s="19"/>
      <c r="Q75" s="19"/>
    </row>
    <row r="76" spans="1:17" ht="46.5" customHeight="1" x14ac:dyDescent="0.7">
      <c r="A76" s="19"/>
      <c r="B76" s="19"/>
      <c r="C76" s="19"/>
      <c r="D76" s="31"/>
      <c r="E76" s="31"/>
      <c r="F76" s="31"/>
      <c r="G76" s="31"/>
      <c r="H76" s="31"/>
      <c r="I76" s="31"/>
      <c r="J76" s="31"/>
      <c r="K76" s="19"/>
      <c r="L76" s="19"/>
      <c r="M76" s="19"/>
      <c r="N76" s="31"/>
      <c r="O76" s="31"/>
      <c r="P76" s="19"/>
      <c r="Q76" s="19"/>
    </row>
    <row r="77" spans="1:17" ht="46.5" customHeight="1" x14ac:dyDescent="0.7">
      <c r="A77" s="19"/>
      <c r="B77" s="19"/>
      <c r="C77" s="19"/>
      <c r="D77" s="31"/>
      <c r="E77" s="31"/>
      <c r="F77" s="31"/>
      <c r="G77" s="31"/>
      <c r="H77" s="31"/>
      <c r="I77" s="31"/>
      <c r="J77" s="31"/>
      <c r="K77" s="19"/>
      <c r="L77" s="19"/>
      <c r="M77" s="19"/>
      <c r="N77" s="31"/>
      <c r="O77" s="31"/>
      <c r="P77" s="19"/>
      <c r="Q77" s="19"/>
    </row>
    <row r="78" spans="1:17" ht="46.5" customHeight="1" x14ac:dyDescent="0.7">
      <c r="A78" s="19"/>
      <c r="B78" s="19"/>
      <c r="C78" s="19"/>
      <c r="D78" s="31"/>
      <c r="E78" s="31"/>
      <c r="F78" s="31"/>
      <c r="G78" s="31"/>
      <c r="H78" s="31"/>
      <c r="I78" s="31"/>
      <c r="J78" s="31"/>
      <c r="K78" s="19"/>
      <c r="L78" s="19"/>
      <c r="M78" s="19"/>
      <c r="N78" s="31"/>
      <c r="O78" s="31"/>
      <c r="P78" s="19"/>
      <c r="Q78" s="19"/>
    </row>
    <row r="79" spans="1:17" ht="46.5" customHeight="1" x14ac:dyDescent="0.7">
      <c r="A79" s="19"/>
      <c r="B79" s="19"/>
      <c r="C79" s="19"/>
      <c r="D79" s="31"/>
      <c r="E79" s="31"/>
      <c r="F79" s="31"/>
      <c r="G79" s="31"/>
      <c r="H79" s="31"/>
      <c r="I79" s="31"/>
      <c r="J79" s="31"/>
      <c r="K79" s="19"/>
      <c r="L79" s="19"/>
      <c r="M79" s="19"/>
      <c r="N79" s="31"/>
      <c r="O79" s="31"/>
      <c r="P79" s="19"/>
      <c r="Q79" s="19"/>
    </row>
    <row r="80" spans="1:17" ht="46.5" customHeight="1" x14ac:dyDescent="0.7">
      <c r="A80" s="19"/>
      <c r="B80" s="19"/>
      <c r="C80" s="19"/>
      <c r="D80" s="31"/>
      <c r="E80" s="31"/>
      <c r="F80" s="31"/>
      <c r="G80" s="31"/>
      <c r="H80" s="31"/>
      <c r="I80" s="31"/>
      <c r="J80" s="31"/>
      <c r="K80" s="19"/>
      <c r="L80" s="19"/>
      <c r="M80" s="19"/>
      <c r="N80" s="31"/>
      <c r="O80" s="31"/>
      <c r="P80" s="19"/>
      <c r="Q80" s="19"/>
    </row>
    <row r="81" spans="1:17" ht="46.5" customHeight="1" x14ac:dyDescent="0.7">
      <c r="A81" s="19"/>
      <c r="B81" s="19"/>
      <c r="C81" s="19"/>
      <c r="D81" s="31"/>
      <c r="E81" s="31"/>
      <c r="F81" s="31"/>
      <c r="G81" s="31"/>
      <c r="H81" s="31"/>
      <c r="I81" s="31"/>
      <c r="J81" s="31"/>
      <c r="K81" s="19"/>
      <c r="L81" s="19"/>
      <c r="M81" s="19"/>
      <c r="N81" s="31"/>
      <c r="O81" s="31"/>
      <c r="P81" s="19"/>
      <c r="Q81" s="19"/>
    </row>
    <row r="82" spans="1:17" ht="46.5" customHeight="1" x14ac:dyDescent="0.7">
      <c r="A82" s="19"/>
      <c r="B82" s="19"/>
      <c r="C82" s="19"/>
      <c r="D82" s="31"/>
      <c r="E82" s="31"/>
      <c r="F82" s="31"/>
      <c r="G82" s="31"/>
      <c r="H82" s="31"/>
      <c r="I82" s="31"/>
      <c r="J82" s="31"/>
      <c r="K82" s="19"/>
      <c r="L82" s="19"/>
      <c r="M82" s="19"/>
      <c r="N82" s="31"/>
      <c r="O82" s="31"/>
      <c r="P82" s="19"/>
      <c r="Q82" s="19"/>
    </row>
    <row r="83" spans="1:17" ht="46.5" customHeight="1" x14ac:dyDescent="0.7">
      <c r="A83" s="19"/>
      <c r="B83" s="19"/>
      <c r="C83" s="19"/>
      <c r="D83" s="31"/>
      <c r="E83" s="31"/>
      <c r="F83" s="31"/>
      <c r="G83" s="31"/>
      <c r="H83" s="31"/>
      <c r="I83" s="31"/>
      <c r="J83" s="31"/>
      <c r="K83" s="19"/>
      <c r="L83" s="19"/>
      <c r="M83" s="19"/>
      <c r="N83" s="31"/>
      <c r="O83" s="31"/>
      <c r="P83" s="19"/>
      <c r="Q83" s="19"/>
    </row>
    <row r="84" spans="1:17" ht="46.5" customHeight="1" x14ac:dyDescent="0.7">
      <c r="A84" s="19"/>
      <c r="B84" s="19"/>
      <c r="C84" s="19"/>
      <c r="D84" s="31"/>
      <c r="E84" s="31"/>
      <c r="F84" s="31"/>
      <c r="G84" s="31"/>
      <c r="H84" s="31"/>
      <c r="I84" s="31"/>
      <c r="J84" s="31"/>
      <c r="K84" s="19"/>
      <c r="L84" s="19"/>
      <c r="M84" s="19"/>
      <c r="N84" s="31"/>
      <c r="O84" s="31"/>
      <c r="P84" s="19"/>
      <c r="Q84" s="19"/>
    </row>
    <row r="85" spans="1:17" ht="46.5" customHeight="1" x14ac:dyDescent="0.7">
      <c r="A85" s="19"/>
      <c r="B85" s="19"/>
      <c r="C85" s="19"/>
      <c r="D85" s="31"/>
      <c r="E85" s="31"/>
      <c r="F85" s="31"/>
      <c r="G85" s="31"/>
      <c r="H85" s="31"/>
      <c r="I85" s="31"/>
      <c r="J85" s="31"/>
      <c r="K85" s="19"/>
      <c r="L85" s="19"/>
      <c r="M85" s="19"/>
      <c r="N85" s="31"/>
      <c r="O85" s="31"/>
      <c r="P85" s="19"/>
      <c r="Q85" s="19"/>
    </row>
    <row r="86" spans="1:17" ht="46.5" customHeight="1" x14ac:dyDescent="0.7">
      <c r="A86" s="19"/>
      <c r="B86" s="19"/>
      <c r="C86" s="19"/>
      <c r="D86" s="31"/>
      <c r="E86" s="31"/>
      <c r="F86" s="31"/>
      <c r="G86" s="31"/>
      <c r="H86" s="31"/>
      <c r="I86" s="31"/>
      <c r="J86" s="31"/>
      <c r="K86" s="19"/>
      <c r="L86" s="19"/>
      <c r="M86" s="19"/>
      <c r="N86" s="31"/>
      <c r="O86" s="31"/>
      <c r="P86" s="19"/>
      <c r="Q86" s="19"/>
    </row>
    <row r="87" spans="1:17" ht="46.5" customHeight="1" x14ac:dyDescent="0.7">
      <c r="A87" s="19"/>
      <c r="B87" s="19"/>
      <c r="C87" s="19"/>
      <c r="D87" s="31"/>
      <c r="E87" s="31"/>
      <c r="F87" s="31"/>
      <c r="G87" s="31"/>
      <c r="H87" s="31"/>
      <c r="I87" s="31"/>
      <c r="J87" s="31"/>
      <c r="K87" s="19"/>
      <c r="L87" s="19"/>
      <c r="M87" s="19"/>
      <c r="N87" s="31"/>
      <c r="O87" s="31"/>
      <c r="P87" s="19"/>
      <c r="Q87" s="19"/>
    </row>
    <row r="88" spans="1:17" ht="46.5" customHeight="1" x14ac:dyDescent="0.7">
      <c r="A88" s="19"/>
      <c r="B88" s="19"/>
      <c r="C88" s="19"/>
      <c r="D88" s="31"/>
      <c r="E88" s="31"/>
      <c r="F88" s="31"/>
      <c r="G88" s="31"/>
      <c r="H88" s="31"/>
      <c r="I88" s="31"/>
      <c r="J88" s="31"/>
      <c r="K88" s="19"/>
      <c r="L88" s="19"/>
      <c r="M88" s="19"/>
      <c r="N88" s="31"/>
      <c r="O88" s="31"/>
      <c r="P88" s="19"/>
      <c r="Q88" s="19"/>
    </row>
    <row r="89" spans="1:17" ht="46.5" customHeight="1" x14ac:dyDescent="0.7">
      <c r="A89" s="19"/>
      <c r="B89" s="19"/>
      <c r="C89" s="19"/>
      <c r="D89" s="31"/>
      <c r="E89" s="31"/>
      <c r="F89" s="31"/>
      <c r="G89" s="31"/>
      <c r="H89" s="31"/>
      <c r="I89" s="31"/>
      <c r="J89" s="31"/>
      <c r="K89" s="19"/>
      <c r="L89" s="19"/>
      <c r="M89" s="19"/>
      <c r="N89" s="31"/>
      <c r="O89" s="31"/>
      <c r="P89" s="19"/>
      <c r="Q89" s="19"/>
    </row>
    <row r="90" spans="1:17" ht="46.5" customHeight="1" x14ac:dyDescent="0.7">
      <c r="A90" s="19"/>
      <c r="B90" s="19"/>
      <c r="C90" s="19"/>
      <c r="D90" s="31"/>
      <c r="E90" s="31"/>
      <c r="F90" s="31"/>
      <c r="G90" s="31"/>
      <c r="H90" s="31"/>
      <c r="I90" s="31"/>
      <c r="J90" s="31"/>
      <c r="K90" s="19"/>
      <c r="L90" s="19"/>
      <c r="M90" s="19"/>
      <c r="N90" s="31"/>
      <c r="O90" s="31"/>
      <c r="P90" s="19"/>
      <c r="Q90" s="19"/>
    </row>
    <row r="91" spans="1:17" ht="46.5" customHeight="1" x14ac:dyDescent="0.7">
      <c r="A91" s="19"/>
      <c r="B91" s="19"/>
      <c r="C91" s="19"/>
      <c r="D91" s="31"/>
      <c r="E91" s="31"/>
      <c r="F91" s="31"/>
      <c r="G91" s="31"/>
      <c r="H91" s="31"/>
      <c r="I91" s="31"/>
      <c r="J91" s="31"/>
      <c r="K91" s="19"/>
      <c r="L91" s="19"/>
      <c r="M91" s="19"/>
      <c r="N91" s="31"/>
      <c r="O91" s="31"/>
      <c r="P91" s="19"/>
      <c r="Q91" s="19"/>
    </row>
    <row r="92" spans="1:17" ht="46.5" customHeight="1" x14ac:dyDescent="0.7">
      <c r="A92" s="19"/>
      <c r="B92" s="19"/>
      <c r="C92" s="19"/>
      <c r="D92" s="31"/>
      <c r="E92" s="31"/>
      <c r="F92" s="31"/>
      <c r="G92" s="31"/>
      <c r="H92" s="31"/>
      <c r="I92" s="31"/>
      <c r="J92" s="31"/>
      <c r="K92" s="19"/>
      <c r="L92" s="19"/>
      <c r="M92" s="19"/>
      <c r="N92" s="31"/>
      <c r="O92" s="31"/>
      <c r="P92" s="19"/>
      <c r="Q92" s="19"/>
    </row>
    <row r="93" spans="1:17" ht="46.5" customHeight="1" x14ac:dyDescent="0.7">
      <c r="A93" s="19"/>
      <c r="B93" s="19"/>
      <c r="C93" s="19"/>
      <c r="D93" s="31"/>
      <c r="E93" s="31"/>
      <c r="F93" s="31"/>
      <c r="G93" s="31"/>
      <c r="H93" s="31"/>
      <c r="I93" s="31"/>
      <c r="J93" s="31"/>
      <c r="K93" s="19"/>
      <c r="L93" s="19"/>
      <c r="M93" s="19"/>
      <c r="N93" s="31"/>
      <c r="O93" s="31"/>
      <c r="P93" s="19"/>
      <c r="Q93" s="19"/>
    </row>
    <row r="94" spans="1:17" ht="46.5" customHeight="1" x14ac:dyDescent="0.7">
      <c r="A94" s="19"/>
      <c r="B94" s="19"/>
      <c r="C94" s="19"/>
      <c r="D94" s="31"/>
      <c r="E94" s="31"/>
      <c r="F94" s="31"/>
      <c r="G94" s="31"/>
      <c r="H94" s="31"/>
      <c r="I94" s="31"/>
      <c r="J94" s="31"/>
      <c r="K94" s="19"/>
      <c r="L94" s="19"/>
      <c r="M94" s="19"/>
      <c r="N94" s="31"/>
      <c r="O94" s="31"/>
      <c r="P94" s="19"/>
      <c r="Q94" s="19"/>
    </row>
    <row r="95" spans="1:17" ht="46.5" customHeight="1" x14ac:dyDescent="0.7">
      <c r="A95" s="19"/>
      <c r="B95" s="19"/>
      <c r="C95" s="19"/>
      <c r="D95" s="31"/>
      <c r="E95" s="31"/>
      <c r="F95" s="31"/>
      <c r="G95" s="31"/>
      <c r="H95" s="31"/>
      <c r="I95" s="31"/>
      <c r="J95" s="31"/>
      <c r="K95" s="19"/>
      <c r="L95" s="19"/>
      <c r="M95" s="19"/>
      <c r="N95" s="31"/>
      <c r="O95" s="31"/>
      <c r="P95" s="19"/>
      <c r="Q95" s="19"/>
    </row>
    <row r="96" spans="1:17" ht="46.5" customHeight="1" x14ac:dyDescent="0.7">
      <c r="A96" s="19"/>
      <c r="B96" s="19"/>
      <c r="C96" s="19"/>
      <c r="D96" s="31"/>
      <c r="E96" s="31"/>
      <c r="F96" s="31"/>
      <c r="G96" s="31"/>
      <c r="H96" s="31"/>
      <c r="I96" s="31"/>
      <c r="J96" s="31"/>
      <c r="K96" s="19"/>
      <c r="L96" s="19"/>
      <c r="M96" s="19"/>
      <c r="N96" s="31"/>
      <c r="O96" s="31"/>
      <c r="P96" s="19"/>
      <c r="Q96" s="19"/>
    </row>
    <row r="97" spans="1:17" ht="46.5" customHeight="1" x14ac:dyDescent="0.7">
      <c r="A97" s="19"/>
      <c r="B97" s="19"/>
      <c r="C97" s="19"/>
      <c r="D97" s="31"/>
      <c r="E97" s="31"/>
      <c r="F97" s="31"/>
      <c r="G97" s="31"/>
      <c r="H97" s="31"/>
      <c r="I97" s="31"/>
      <c r="J97" s="31"/>
      <c r="K97" s="19"/>
      <c r="L97" s="19"/>
      <c r="M97" s="19"/>
      <c r="N97" s="31"/>
      <c r="O97" s="31"/>
      <c r="P97" s="19"/>
      <c r="Q97" s="19"/>
    </row>
    <row r="98" spans="1:17" ht="46.5" customHeight="1" x14ac:dyDescent="0.7">
      <c r="A98" s="19"/>
      <c r="B98" s="19"/>
      <c r="C98" s="19"/>
      <c r="D98" s="31"/>
      <c r="E98" s="31"/>
      <c r="F98" s="31"/>
      <c r="G98" s="31"/>
      <c r="H98" s="31"/>
      <c r="I98" s="31"/>
      <c r="J98" s="31"/>
      <c r="K98" s="19"/>
      <c r="L98" s="19"/>
      <c r="M98" s="19"/>
      <c r="N98" s="31"/>
      <c r="O98" s="31"/>
      <c r="P98" s="19"/>
      <c r="Q98" s="19"/>
    </row>
    <row r="99" spans="1:17" ht="46.5" customHeight="1" x14ac:dyDescent="0.7">
      <c r="A99" s="19"/>
      <c r="B99" s="19"/>
      <c r="C99" s="19"/>
      <c r="D99" s="31"/>
      <c r="E99" s="31"/>
      <c r="F99" s="31"/>
      <c r="G99" s="31"/>
      <c r="H99" s="31"/>
      <c r="I99" s="31"/>
      <c r="J99" s="31"/>
      <c r="K99" s="19"/>
      <c r="L99" s="19"/>
      <c r="M99" s="19"/>
      <c r="N99" s="31"/>
      <c r="O99" s="31"/>
      <c r="P99" s="19"/>
      <c r="Q99" s="19"/>
    </row>
    <row r="100" spans="1:17" ht="46.5" customHeight="1" x14ac:dyDescent="0.7">
      <c r="A100" s="19"/>
      <c r="B100" s="19"/>
      <c r="C100" s="19"/>
      <c r="D100" s="31"/>
      <c r="E100" s="31"/>
      <c r="F100" s="31"/>
      <c r="G100" s="31"/>
      <c r="H100" s="31"/>
      <c r="I100" s="31"/>
      <c r="J100" s="31"/>
      <c r="K100" s="19"/>
      <c r="L100" s="19"/>
      <c r="M100" s="19"/>
      <c r="N100" s="31"/>
      <c r="O100" s="31"/>
      <c r="P100" s="19"/>
      <c r="Q100" s="19"/>
    </row>
    <row r="101" spans="1:17" ht="46.5" customHeight="1" x14ac:dyDescent="0.7">
      <c r="A101" s="19"/>
      <c r="B101" s="19"/>
      <c r="C101" s="19"/>
      <c r="D101" s="31"/>
      <c r="E101" s="31"/>
      <c r="F101" s="31"/>
      <c r="G101" s="31"/>
      <c r="H101" s="31"/>
      <c r="I101" s="31"/>
      <c r="J101" s="31"/>
      <c r="K101" s="19"/>
      <c r="L101" s="19"/>
      <c r="M101" s="19"/>
      <c r="N101" s="31"/>
      <c r="O101" s="31"/>
      <c r="P101" s="19"/>
      <c r="Q101" s="19"/>
    </row>
    <row r="102" spans="1:17" ht="46.5" customHeight="1" x14ac:dyDescent="0.7">
      <c r="A102" s="19"/>
      <c r="B102" s="19"/>
      <c r="C102" s="19"/>
      <c r="D102" s="31"/>
      <c r="E102" s="31"/>
      <c r="F102" s="31"/>
      <c r="G102" s="31"/>
      <c r="H102" s="31"/>
      <c r="I102" s="31"/>
      <c r="J102" s="31"/>
      <c r="K102" s="19"/>
      <c r="L102" s="19"/>
      <c r="M102" s="19"/>
      <c r="N102" s="31"/>
      <c r="O102" s="31"/>
      <c r="P102" s="19"/>
      <c r="Q102" s="19"/>
    </row>
    <row r="103" spans="1:17" ht="46.5" customHeight="1" x14ac:dyDescent="0.7">
      <c r="A103" s="19"/>
      <c r="B103" s="19"/>
      <c r="C103" s="19"/>
      <c r="D103" s="31"/>
      <c r="E103" s="31"/>
      <c r="F103" s="31"/>
      <c r="G103" s="31"/>
      <c r="H103" s="31"/>
      <c r="I103" s="31"/>
      <c r="J103" s="31"/>
      <c r="K103" s="19"/>
      <c r="L103" s="19"/>
      <c r="M103" s="19"/>
      <c r="N103" s="31"/>
      <c r="O103" s="31"/>
      <c r="P103" s="19"/>
      <c r="Q103" s="19"/>
    </row>
    <row r="104" spans="1:17" ht="46.5" customHeight="1" x14ac:dyDescent="0.7">
      <c r="A104" s="19"/>
      <c r="B104" s="19"/>
      <c r="C104" s="19"/>
      <c r="D104" s="31"/>
      <c r="E104" s="31"/>
      <c r="F104" s="31"/>
      <c r="G104" s="31"/>
      <c r="H104" s="31"/>
      <c r="I104" s="31"/>
      <c r="J104" s="31"/>
      <c r="K104" s="19"/>
      <c r="L104" s="19"/>
      <c r="M104" s="19"/>
      <c r="N104" s="31"/>
      <c r="O104" s="31"/>
      <c r="P104" s="19"/>
      <c r="Q104" s="19"/>
    </row>
    <row r="105" spans="1:17" ht="46.5" customHeight="1" x14ac:dyDescent="0.7">
      <c r="A105" s="19"/>
      <c r="B105" s="19"/>
      <c r="C105" s="19"/>
      <c r="D105" s="31"/>
      <c r="E105" s="31"/>
      <c r="F105" s="31"/>
      <c r="G105" s="31"/>
      <c r="H105" s="31"/>
      <c r="I105" s="31"/>
      <c r="J105" s="31"/>
      <c r="K105" s="19"/>
      <c r="L105" s="19"/>
      <c r="M105" s="19"/>
      <c r="N105" s="31"/>
      <c r="O105" s="31"/>
      <c r="P105" s="19"/>
      <c r="Q105" s="19"/>
    </row>
    <row r="106" spans="1:17" ht="46.5" customHeight="1" x14ac:dyDescent="0.7">
      <c r="A106" s="19"/>
      <c r="B106" s="19"/>
      <c r="C106" s="19"/>
      <c r="D106" s="31"/>
      <c r="E106" s="31"/>
      <c r="F106" s="31"/>
      <c r="G106" s="31"/>
      <c r="H106" s="31"/>
      <c r="I106" s="31"/>
      <c r="J106" s="31"/>
      <c r="K106" s="19"/>
      <c r="L106" s="19"/>
      <c r="M106" s="19"/>
      <c r="N106" s="31"/>
      <c r="O106" s="31"/>
      <c r="P106" s="19"/>
      <c r="Q106" s="19"/>
    </row>
    <row r="107" spans="1:17" ht="46.5" customHeight="1" x14ac:dyDescent="0.7">
      <c r="A107" s="19"/>
      <c r="B107" s="19"/>
      <c r="C107" s="19"/>
      <c r="D107" s="31"/>
      <c r="E107" s="31"/>
      <c r="F107" s="31"/>
      <c r="G107" s="31"/>
      <c r="H107" s="31"/>
      <c r="I107" s="31"/>
      <c r="J107" s="31"/>
      <c r="K107" s="19"/>
      <c r="L107" s="19"/>
      <c r="M107" s="19"/>
      <c r="N107" s="31"/>
      <c r="O107" s="31"/>
      <c r="P107" s="19"/>
      <c r="Q107" s="19"/>
    </row>
    <row r="108" spans="1:17" ht="46.5" customHeight="1" x14ac:dyDescent="0.7">
      <c r="A108" s="19"/>
      <c r="B108" s="19"/>
      <c r="C108" s="19"/>
      <c r="D108" s="31"/>
      <c r="E108" s="31"/>
      <c r="F108" s="31"/>
      <c r="G108" s="31"/>
      <c r="H108" s="31"/>
      <c r="I108" s="31"/>
      <c r="J108" s="31"/>
      <c r="K108" s="19"/>
      <c r="L108" s="19"/>
      <c r="M108" s="19"/>
      <c r="N108" s="31"/>
      <c r="O108" s="31"/>
      <c r="P108" s="19"/>
      <c r="Q108" s="19"/>
    </row>
    <row r="109" spans="1:17" ht="46.5" customHeight="1" x14ac:dyDescent="0.7">
      <c r="A109" s="19"/>
      <c r="B109" s="19"/>
      <c r="C109" s="19"/>
      <c r="D109" s="31"/>
      <c r="E109" s="31"/>
      <c r="F109" s="31"/>
      <c r="G109" s="31"/>
      <c r="H109" s="31"/>
      <c r="I109" s="31"/>
      <c r="J109" s="31"/>
      <c r="K109" s="19"/>
      <c r="L109" s="19"/>
      <c r="M109" s="19"/>
      <c r="N109" s="31"/>
      <c r="O109" s="31"/>
      <c r="P109" s="19"/>
      <c r="Q109" s="19"/>
    </row>
    <row r="110" spans="1:17" ht="46.5" customHeight="1" x14ac:dyDescent="0.7">
      <c r="A110" s="19"/>
      <c r="B110" s="19"/>
      <c r="C110" s="19"/>
      <c r="D110" s="31"/>
      <c r="E110" s="31"/>
      <c r="F110" s="31"/>
      <c r="G110" s="31"/>
      <c r="H110" s="31"/>
      <c r="I110" s="31"/>
      <c r="J110" s="31"/>
      <c r="K110" s="19"/>
      <c r="L110" s="19"/>
      <c r="M110" s="19"/>
      <c r="N110" s="31"/>
      <c r="O110" s="31"/>
      <c r="P110" s="19"/>
      <c r="Q110" s="19"/>
    </row>
    <row r="111" spans="1:17" ht="46.5" customHeight="1" x14ac:dyDescent="0.7">
      <c r="A111" s="19"/>
      <c r="B111" s="19"/>
      <c r="C111" s="19"/>
      <c r="D111" s="31"/>
      <c r="E111" s="31"/>
      <c r="F111" s="31"/>
      <c r="G111" s="31"/>
      <c r="H111" s="31"/>
      <c r="I111" s="31"/>
      <c r="J111" s="31"/>
      <c r="K111" s="19"/>
      <c r="L111" s="19"/>
      <c r="M111" s="19"/>
      <c r="N111" s="31"/>
      <c r="O111" s="31"/>
      <c r="P111" s="19"/>
      <c r="Q111" s="19"/>
    </row>
    <row r="112" spans="1:17" ht="46.5" customHeight="1" x14ac:dyDescent="0.7">
      <c r="A112" s="19"/>
      <c r="B112" s="19"/>
      <c r="C112" s="19"/>
      <c r="D112" s="31"/>
      <c r="E112" s="31"/>
      <c r="F112" s="31"/>
      <c r="G112" s="31"/>
      <c r="H112" s="31"/>
      <c r="I112" s="31"/>
      <c r="J112" s="31"/>
      <c r="K112" s="19"/>
      <c r="L112" s="19"/>
      <c r="M112" s="19"/>
      <c r="N112" s="31"/>
      <c r="O112" s="31"/>
      <c r="P112" s="19"/>
      <c r="Q112" s="19"/>
    </row>
    <row r="113" spans="1:17" ht="46.5" customHeight="1" x14ac:dyDescent="0.7">
      <c r="A113" s="19"/>
      <c r="B113" s="19"/>
      <c r="C113" s="19"/>
      <c r="D113" s="31"/>
      <c r="E113" s="31"/>
      <c r="F113" s="31"/>
      <c r="G113" s="31"/>
      <c r="H113" s="31"/>
      <c r="I113" s="31"/>
      <c r="J113" s="31"/>
      <c r="K113" s="19"/>
      <c r="L113" s="19"/>
      <c r="M113" s="19"/>
      <c r="N113" s="31"/>
      <c r="O113" s="31"/>
      <c r="P113" s="19"/>
      <c r="Q113" s="19"/>
    </row>
    <row r="114" spans="1:17" ht="46.5" customHeight="1" x14ac:dyDescent="0.7">
      <c r="A114" s="19"/>
      <c r="B114" s="19"/>
      <c r="C114" s="19"/>
      <c r="D114" s="31"/>
      <c r="E114" s="31"/>
      <c r="F114" s="31"/>
      <c r="G114" s="31"/>
      <c r="H114" s="31"/>
      <c r="I114" s="31"/>
      <c r="J114" s="31"/>
      <c r="K114" s="19"/>
      <c r="L114" s="19"/>
      <c r="M114" s="19"/>
      <c r="N114" s="31"/>
      <c r="O114" s="31"/>
      <c r="P114" s="19"/>
      <c r="Q114" s="19"/>
    </row>
    <row r="115" spans="1:17" ht="46.5" customHeight="1" x14ac:dyDescent="0.7">
      <c r="A115" s="19"/>
      <c r="B115" s="19"/>
      <c r="C115" s="19"/>
      <c r="D115" s="31"/>
      <c r="E115" s="31"/>
      <c r="F115" s="31"/>
      <c r="G115" s="31"/>
      <c r="H115" s="31"/>
      <c r="I115" s="31"/>
      <c r="J115" s="31"/>
      <c r="K115" s="19"/>
      <c r="L115" s="19"/>
      <c r="M115" s="19"/>
      <c r="N115" s="31"/>
      <c r="O115" s="31"/>
      <c r="P115" s="19"/>
      <c r="Q115" s="19"/>
    </row>
    <row r="116" spans="1:17" ht="46.5" customHeight="1" x14ac:dyDescent="0.7">
      <c r="A116" s="19"/>
      <c r="B116" s="19"/>
      <c r="C116" s="19"/>
      <c r="D116" s="31"/>
      <c r="E116" s="31"/>
      <c r="F116" s="31"/>
      <c r="G116" s="31"/>
      <c r="H116" s="31"/>
      <c r="I116" s="31"/>
      <c r="J116" s="31"/>
      <c r="K116" s="19"/>
      <c r="L116" s="19"/>
      <c r="M116" s="19"/>
      <c r="N116" s="31"/>
      <c r="O116" s="31"/>
      <c r="P116" s="19"/>
      <c r="Q116" s="19"/>
    </row>
    <row r="117" spans="1:17" ht="46.5" customHeight="1" x14ac:dyDescent="0.7">
      <c r="A117" s="19"/>
      <c r="B117" s="19"/>
      <c r="C117" s="19"/>
      <c r="D117" s="31"/>
      <c r="E117" s="31"/>
      <c r="F117" s="31"/>
      <c r="G117" s="31"/>
      <c r="H117" s="31"/>
      <c r="I117" s="31"/>
      <c r="J117" s="31"/>
      <c r="K117" s="19"/>
      <c r="L117" s="19"/>
      <c r="M117" s="19"/>
      <c r="N117" s="31"/>
      <c r="O117" s="31"/>
      <c r="P117" s="19"/>
      <c r="Q117" s="19"/>
    </row>
    <row r="118" spans="1:17" ht="46.5" customHeight="1" x14ac:dyDescent="0.7">
      <c r="A118" s="19"/>
      <c r="B118" s="19"/>
      <c r="C118" s="19"/>
      <c r="D118" s="31"/>
      <c r="E118" s="31"/>
      <c r="F118" s="31"/>
      <c r="G118" s="31"/>
      <c r="H118" s="31"/>
      <c r="I118" s="31"/>
      <c r="J118" s="31"/>
      <c r="K118" s="19"/>
      <c r="L118" s="19"/>
      <c r="M118" s="19"/>
      <c r="N118" s="31"/>
      <c r="O118" s="31"/>
      <c r="P118" s="19"/>
      <c r="Q118" s="19"/>
    </row>
    <row r="119" spans="1:17" ht="46.5" customHeight="1" x14ac:dyDescent="0.7">
      <c r="A119" s="19"/>
      <c r="B119" s="19"/>
      <c r="C119" s="19"/>
      <c r="D119" s="31"/>
      <c r="E119" s="31"/>
      <c r="F119" s="31"/>
      <c r="G119" s="31"/>
      <c r="H119" s="31"/>
      <c r="I119" s="31"/>
      <c r="J119" s="31"/>
      <c r="K119" s="19"/>
      <c r="L119" s="19"/>
      <c r="M119" s="19"/>
      <c r="N119" s="31"/>
      <c r="O119" s="31"/>
      <c r="P119" s="19"/>
      <c r="Q119" s="19"/>
    </row>
    <row r="120" spans="1:17" ht="46.5" customHeight="1" x14ac:dyDescent="0.7">
      <c r="A120" s="19"/>
      <c r="B120" s="19"/>
      <c r="C120" s="19"/>
      <c r="D120" s="31"/>
      <c r="E120" s="31"/>
      <c r="F120" s="31"/>
      <c r="G120" s="31"/>
      <c r="H120" s="31"/>
      <c r="I120" s="31"/>
      <c r="J120" s="31"/>
      <c r="K120" s="19"/>
      <c r="L120" s="19"/>
      <c r="M120" s="19"/>
      <c r="N120" s="31"/>
      <c r="O120" s="31"/>
      <c r="P120" s="19"/>
      <c r="Q120" s="19"/>
    </row>
    <row r="121" spans="1:17" ht="46.5" customHeight="1" x14ac:dyDescent="0.7">
      <c r="A121" s="19"/>
      <c r="B121" s="19"/>
      <c r="C121" s="19"/>
      <c r="D121" s="31"/>
      <c r="E121" s="31"/>
      <c r="F121" s="31"/>
      <c r="G121" s="31"/>
      <c r="H121" s="31"/>
      <c r="I121" s="31"/>
      <c r="J121" s="31"/>
      <c r="K121" s="19"/>
      <c r="L121" s="19"/>
      <c r="M121" s="19"/>
      <c r="N121" s="31"/>
      <c r="O121" s="31"/>
      <c r="P121" s="19"/>
      <c r="Q121" s="19"/>
    </row>
    <row r="122" spans="1:17" ht="46.5" customHeight="1" x14ac:dyDescent="0.7">
      <c r="A122" s="19"/>
      <c r="B122" s="19"/>
      <c r="C122" s="19"/>
      <c r="D122" s="31"/>
      <c r="E122" s="31"/>
      <c r="F122" s="31"/>
      <c r="G122" s="31"/>
      <c r="H122" s="31"/>
      <c r="I122" s="31"/>
      <c r="J122" s="31"/>
      <c r="K122" s="19"/>
      <c r="L122" s="19"/>
      <c r="M122" s="19"/>
      <c r="N122" s="31"/>
      <c r="O122" s="31"/>
      <c r="P122" s="19"/>
      <c r="Q122" s="19"/>
    </row>
    <row r="123" spans="1:17" ht="46.5" customHeight="1" x14ac:dyDescent="0.7">
      <c r="A123" s="19"/>
      <c r="B123" s="19"/>
      <c r="C123" s="19"/>
      <c r="D123" s="31"/>
      <c r="E123" s="31"/>
      <c r="F123" s="31"/>
      <c r="G123" s="31"/>
      <c r="H123" s="31"/>
      <c r="I123" s="31"/>
      <c r="J123" s="31"/>
      <c r="K123" s="19"/>
      <c r="L123" s="19"/>
      <c r="M123" s="19"/>
      <c r="N123" s="31"/>
      <c r="O123" s="31"/>
      <c r="P123" s="19"/>
      <c r="Q123" s="19"/>
    </row>
    <row r="124" spans="1:17" ht="46.5" customHeight="1" x14ac:dyDescent="0.7">
      <c r="A124" s="19"/>
      <c r="B124" s="19"/>
      <c r="C124" s="19"/>
      <c r="D124" s="31"/>
      <c r="E124" s="31"/>
      <c r="F124" s="31"/>
      <c r="G124" s="31"/>
      <c r="H124" s="31"/>
      <c r="I124" s="31"/>
      <c r="J124" s="31"/>
      <c r="K124" s="19"/>
      <c r="L124" s="19"/>
      <c r="M124" s="19"/>
      <c r="N124" s="31"/>
      <c r="O124" s="31"/>
      <c r="P124" s="19"/>
      <c r="Q124" s="19"/>
    </row>
    <row r="125" spans="1:17" ht="46.5" customHeight="1" x14ac:dyDescent="0.7">
      <c r="A125" s="19"/>
      <c r="B125" s="19"/>
      <c r="C125" s="19"/>
      <c r="D125" s="31"/>
      <c r="E125" s="31"/>
      <c r="F125" s="31"/>
      <c r="G125" s="31"/>
      <c r="H125" s="31"/>
      <c r="I125" s="31"/>
      <c r="J125" s="31"/>
      <c r="K125" s="19"/>
      <c r="L125" s="19"/>
      <c r="M125" s="19"/>
      <c r="N125" s="31"/>
      <c r="O125" s="31"/>
      <c r="P125" s="19"/>
      <c r="Q125" s="19"/>
    </row>
    <row r="126" spans="1:17" ht="46.5" customHeight="1" x14ac:dyDescent="0.7">
      <c r="A126" s="19"/>
      <c r="B126" s="19"/>
      <c r="C126" s="19"/>
      <c r="D126" s="31"/>
      <c r="E126" s="31"/>
      <c r="F126" s="31"/>
      <c r="G126" s="31"/>
      <c r="H126" s="31"/>
      <c r="I126" s="31"/>
      <c r="J126" s="31"/>
      <c r="K126" s="19"/>
      <c r="L126" s="19"/>
      <c r="M126" s="19"/>
      <c r="N126" s="31"/>
      <c r="O126" s="31"/>
      <c r="P126" s="19"/>
      <c r="Q126" s="19"/>
    </row>
    <row r="127" spans="1:17" ht="46.5" customHeight="1" x14ac:dyDescent="0.7">
      <c r="A127" s="19"/>
      <c r="B127" s="19"/>
      <c r="C127" s="19"/>
      <c r="D127" s="31"/>
      <c r="E127" s="31"/>
      <c r="F127" s="31"/>
      <c r="G127" s="31"/>
      <c r="H127" s="31"/>
      <c r="I127" s="31"/>
      <c r="J127" s="31"/>
      <c r="K127" s="19"/>
      <c r="L127" s="19"/>
      <c r="M127" s="19"/>
      <c r="N127" s="31"/>
      <c r="O127" s="31"/>
      <c r="P127" s="19"/>
      <c r="Q127" s="19"/>
    </row>
    <row r="128" spans="1:17" ht="46.5" customHeight="1" x14ac:dyDescent="0.7">
      <c r="A128" s="19"/>
      <c r="B128" s="19"/>
      <c r="C128" s="19"/>
      <c r="D128" s="31"/>
      <c r="E128" s="31"/>
      <c r="F128" s="31"/>
      <c r="G128" s="31"/>
      <c r="H128" s="31"/>
      <c r="I128" s="31"/>
      <c r="J128" s="31"/>
      <c r="K128" s="19"/>
      <c r="L128" s="19"/>
      <c r="M128" s="19"/>
      <c r="N128" s="31"/>
      <c r="O128" s="31"/>
      <c r="P128" s="19"/>
      <c r="Q128" s="19"/>
    </row>
    <row r="129" spans="1:17" ht="46.5" customHeight="1" x14ac:dyDescent="0.7">
      <c r="A129" s="19"/>
      <c r="B129" s="19"/>
      <c r="C129" s="19"/>
      <c r="D129" s="31"/>
      <c r="E129" s="31"/>
      <c r="F129" s="31"/>
      <c r="G129" s="31"/>
      <c r="H129" s="31"/>
      <c r="I129" s="31"/>
      <c r="J129" s="31"/>
      <c r="K129" s="19"/>
      <c r="L129" s="19"/>
      <c r="M129" s="19"/>
      <c r="N129" s="31"/>
      <c r="O129" s="31"/>
      <c r="P129" s="19"/>
      <c r="Q129" s="19"/>
    </row>
    <row r="130" spans="1:17" ht="46.5" customHeight="1" x14ac:dyDescent="0.7">
      <c r="A130" s="19"/>
      <c r="B130" s="19"/>
      <c r="C130" s="19"/>
      <c r="D130" s="31"/>
      <c r="E130" s="31"/>
      <c r="F130" s="31"/>
      <c r="G130" s="31"/>
      <c r="H130" s="31"/>
      <c r="I130" s="31"/>
      <c r="J130" s="31"/>
      <c r="K130" s="19"/>
      <c r="L130" s="19"/>
      <c r="M130" s="19"/>
      <c r="N130" s="31"/>
      <c r="O130" s="31"/>
      <c r="P130" s="19"/>
      <c r="Q130" s="19"/>
    </row>
    <row r="131" spans="1:17" ht="46.5" customHeight="1" x14ac:dyDescent="0.7">
      <c r="A131" s="19"/>
      <c r="B131" s="19"/>
      <c r="C131" s="19"/>
      <c r="D131" s="31"/>
      <c r="E131" s="31"/>
      <c r="F131" s="31"/>
      <c r="G131" s="31"/>
      <c r="H131" s="31"/>
      <c r="I131" s="31"/>
      <c r="J131" s="31"/>
      <c r="K131" s="19"/>
      <c r="L131" s="19"/>
      <c r="M131" s="19"/>
      <c r="N131" s="31"/>
      <c r="O131" s="31"/>
      <c r="P131" s="19"/>
      <c r="Q131" s="19"/>
    </row>
    <row r="132" spans="1:17" ht="46.5" customHeight="1" x14ac:dyDescent="0.7">
      <c r="A132" s="19"/>
      <c r="B132" s="19"/>
      <c r="C132" s="19"/>
      <c r="D132" s="31"/>
      <c r="E132" s="31"/>
      <c r="F132" s="31"/>
      <c r="G132" s="31"/>
      <c r="H132" s="31"/>
      <c r="I132" s="31"/>
      <c r="J132" s="31"/>
      <c r="K132" s="19"/>
      <c r="L132" s="19"/>
      <c r="M132" s="19"/>
      <c r="N132" s="31"/>
      <c r="O132" s="31"/>
      <c r="P132" s="19"/>
      <c r="Q132" s="19"/>
    </row>
    <row r="133" spans="1:17" ht="46.5" customHeight="1" x14ac:dyDescent="0.7">
      <c r="A133" s="19"/>
      <c r="B133" s="19"/>
      <c r="C133" s="19"/>
      <c r="D133" s="31"/>
      <c r="E133" s="31"/>
      <c r="F133" s="31"/>
      <c r="G133" s="31"/>
      <c r="H133" s="31"/>
      <c r="I133" s="31"/>
      <c r="J133" s="31"/>
      <c r="K133" s="19"/>
      <c r="L133" s="19"/>
      <c r="M133" s="19"/>
      <c r="N133" s="31"/>
      <c r="O133" s="31"/>
      <c r="P133" s="19"/>
      <c r="Q133" s="19"/>
    </row>
    <row r="134" spans="1:17" ht="46.5" customHeight="1" x14ac:dyDescent="0.7">
      <c r="A134" s="19"/>
      <c r="B134" s="19"/>
      <c r="C134" s="19"/>
      <c r="D134" s="31"/>
      <c r="E134" s="31"/>
      <c r="F134" s="31"/>
      <c r="G134" s="31"/>
      <c r="H134" s="31"/>
      <c r="I134" s="31"/>
      <c r="J134" s="31"/>
      <c r="K134" s="19"/>
      <c r="L134" s="19"/>
      <c r="M134" s="19"/>
      <c r="N134" s="31"/>
      <c r="O134" s="31"/>
      <c r="P134" s="19"/>
      <c r="Q134" s="19"/>
    </row>
    <row r="135" spans="1:17" ht="46.5" customHeight="1" x14ac:dyDescent="0.7">
      <c r="A135" s="19"/>
      <c r="B135" s="19"/>
      <c r="C135" s="19"/>
      <c r="D135" s="31"/>
      <c r="E135" s="31"/>
      <c r="F135" s="31"/>
      <c r="G135" s="31"/>
      <c r="H135" s="31"/>
      <c r="I135" s="31"/>
      <c r="J135" s="31"/>
      <c r="K135" s="19"/>
      <c r="L135" s="19"/>
      <c r="M135" s="19"/>
      <c r="N135" s="31"/>
      <c r="O135" s="31"/>
      <c r="P135" s="19"/>
      <c r="Q135" s="19"/>
    </row>
    <row r="136" spans="1:17" ht="46.5" customHeight="1" x14ac:dyDescent="0.7">
      <c r="A136" s="19"/>
      <c r="B136" s="19"/>
      <c r="C136" s="19"/>
      <c r="D136" s="31"/>
      <c r="E136" s="31"/>
      <c r="F136" s="31"/>
      <c r="G136" s="31"/>
      <c r="H136" s="31"/>
      <c r="I136" s="31"/>
      <c r="J136" s="31"/>
      <c r="K136" s="19"/>
      <c r="L136" s="19"/>
      <c r="M136" s="19"/>
      <c r="N136" s="31"/>
      <c r="O136" s="31"/>
      <c r="P136" s="19"/>
      <c r="Q136" s="19"/>
    </row>
    <row r="137" spans="1:17" ht="46.5" customHeight="1" x14ac:dyDescent="0.7">
      <c r="A137" s="19"/>
      <c r="B137" s="19"/>
      <c r="C137" s="19"/>
      <c r="D137" s="31"/>
      <c r="E137" s="31"/>
      <c r="F137" s="31"/>
      <c r="G137" s="31"/>
      <c r="H137" s="31"/>
      <c r="I137" s="31"/>
      <c r="J137" s="31"/>
      <c r="K137" s="19"/>
      <c r="L137" s="19"/>
      <c r="M137" s="19"/>
      <c r="N137" s="31"/>
      <c r="O137" s="31"/>
      <c r="P137" s="19"/>
      <c r="Q137" s="19"/>
    </row>
    <row r="138" spans="1:17" ht="46.5" customHeight="1" x14ac:dyDescent="0.7">
      <c r="A138" s="19"/>
      <c r="B138" s="19"/>
      <c r="C138" s="19"/>
      <c r="D138" s="31"/>
      <c r="E138" s="31"/>
      <c r="F138" s="31"/>
      <c r="G138" s="31"/>
      <c r="H138" s="31"/>
      <c r="I138" s="31"/>
      <c r="J138" s="31"/>
      <c r="K138" s="19"/>
      <c r="L138" s="19"/>
      <c r="M138" s="19"/>
      <c r="N138" s="31"/>
      <c r="O138" s="31"/>
      <c r="P138" s="19"/>
      <c r="Q138" s="19"/>
    </row>
    <row r="139" spans="1:17" ht="46.5" customHeight="1" x14ac:dyDescent="0.7">
      <c r="A139" s="19"/>
      <c r="B139" s="19"/>
      <c r="C139" s="19"/>
      <c r="D139" s="31"/>
      <c r="E139" s="31"/>
      <c r="F139" s="31"/>
      <c r="G139" s="31"/>
      <c r="H139" s="31"/>
      <c r="I139" s="31"/>
      <c r="J139" s="31"/>
      <c r="K139" s="19"/>
      <c r="L139" s="19"/>
      <c r="M139" s="19"/>
      <c r="N139" s="31"/>
      <c r="O139" s="31"/>
      <c r="P139" s="19"/>
      <c r="Q139" s="19"/>
    </row>
    <row r="140" spans="1:17" ht="46.5" customHeight="1" x14ac:dyDescent="0.7">
      <c r="A140" s="19"/>
      <c r="B140" s="19"/>
      <c r="C140" s="19"/>
      <c r="D140" s="31"/>
      <c r="E140" s="31"/>
      <c r="F140" s="31"/>
      <c r="G140" s="31"/>
      <c r="H140" s="31"/>
      <c r="I140" s="31"/>
      <c r="J140" s="31"/>
      <c r="K140" s="19"/>
      <c r="L140" s="19"/>
      <c r="M140" s="19"/>
      <c r="N140" s="31"/>
      <c r="O140" s="31"/>
      <c r="P140" s="19"/>
      <c r="Q140" s="19"/>
    </row>
    <row r="141" spans="1:17" ht="46.5" customHeight="1" x14ac:dyDescent="0.7">
      <c r="A141" s="19"/>
      <c r="B141" s="19"/>
      <c r="C141" s="19"/>
      <c r="D141" s="31"/>
      <c r="E141" s="31"/>
      <c r="F141" s="31"/>
      <c r="G141" s="31"/>
      <c r="H141" s="31"/>
      <c r="I141" s="31"/>
      <c r="J141" s="31"/>
      <c r="K141" s="19"/>
      <c r="L141" s="19"/>
      <c r="M141" s="19"/>
      <c r="N141" s="31"/>
      <c r="O141" s="31"/>
      <c r="P141" s="19"/>
      <c r="Q141" s="19"/>
    </row>
    <row r="142" spans="1:17" ht="46.5" customHeight="1" x14ac:dyDescent="0.7">
      <c r="A142" s="19"/>
      <c r="B142" s="19"/>
      <c r="C142" s="19"/>
      <c r="D142" s="31"/>
      <c r="E142" s="31"/>
      <c r="F142" s="31"/>
      <c r="G142" s="31"/>
      <c r="H142" s="31"/>
      <c r="I142" s="31"/>
      <c r="J142" s="31"/>
      <c r="K142" s="19"/>
      <c r="L142" s="19"/>
      <c r="M142" s="19"/>
      <c r="N142" s="31"/>
      <c r="O142" s="31"/>
      <c r="P142" s="19"/>
      <c r="Q142" s="19"/>
    </row>
    <row r="143" spans="1:17" ht="46.5" customHeight="1" x14ac:dyDescent="0.7">
      <c r="A143" s="19"/>
      <c r="B143" s="19"/>
      <c r="C143" s="19"/>
      <c r="D143" s="31"/>
      <c r="E143" s="31"/>
      <c r="F143" s="31"/>
      <c r="G143" s="31"/>
      <c r="H143" s="31"/>
      <c r="I143" s="31"/>
      <c r="J143" s="31"/>
      <c r="K143" s="19"/>
      <c r="L143" s="19"/>
      <c r="M143" s="19"/>
      <c r="N143" s="31"/>
      <c r="O143" s="31"/>
      <c r="P143" s="19"/>
      <c r="Q143" s="19"/>
    </row>
    <row r="144" spans="1:17" ht="46.5" customHeight="1" x14ac:dyDescent="0.7">
      <c r="A144" s="19"/>
      <c r="B144" s="19"/>
      <c r="C144" s="19"/>
      <c r="D144" s="31"/>
      <c r="E144" s="31"/>
      <c r="F144" s="31"/>
      <c r="G144" s="31"/>
      <c r="H144" s="31"/>
      <c r="I144" s="31"/>
      <c r="J144" s="31"/>
      <c r="K144" s="19"/>
      <c r="L144" s="19"/>
      <c r="M144" s="19"/>
      <c r="N144" s="31"/>
      <c r="O144" s="31"/>
      <c r="P144" s="19"/>
      <c r="Q144" s="19"/>
    </row>
    <row r="145" spans="1:17" ht="46.5" customHeight="1" x14ac:dyDescent="0.7">
      <c r="A145" s="19"/>
      <c r="B145" s="19"/>
      <c r="C145" s="19"/>
      <c r="D145" s="31"/>
      <c r="E145" s="31"/>
      <c r="F145" s="31"/>
      <c r="G145" s="31"/>
      <c r="H145" s="31"/>
      <c r="I145" s="31"/>
      <c r="J145" s="31"/>
      <c r="K145" s="19"/>
      <c r="L145" s="19"/>
      <c r="M145" s="19"/>
      <c r="N145" s="31"/>
      <c r="O145" s="31"/>
      <c r="P145" s="19"/>
      <c r="Q145" s="19"/>
    </row>
    <row r="146" spans="1:17" ht="46.5" customHeight="1" x14ac:dyDescent="0.7">
      <c r="A146" s="19"/>
      <c r="B146" s="19"/>
      <c r="C146" s="19"/>
      <c r="D146" s="31"/>
      <c r="E146" s="31"/>
      <c r="F146" s="31"/>
      <c r="G146" s="31"/>
      <c r="H146" s="31"/>
      <c r="I146" s="31"/>
      <c r="J146" s="31"/>
      <c r="K146" s="19"/>
      <c r="L146" s="19"/>
      <c r="M146" s="19"/>
      <c r="N146" s="31"/>
      <c r="O146" s="31"/>
      <c r="P146" s="19"/>
      <c r="Q146" s="19"/>
    </row>
    <row r="147" spans="1:17" ht="46.5" customHeight="1" x14ac:dyDescent="0.7">
      <c r="A147" s="19"/>
      <c r="B147" s="19"/>
      <c r="C147" s="19"/>
      <c r="D147" s="31"/>
      <c r="E147" s="31"/>
      <c r="F147" s="31"/>
      <c r="G147" s="31"/>
      <c r="H147" s="31"/>
      <c r="I147" s="31"/>
      <c r="J147" s="31"/>
      <c r="K147" s="19"/>
      <c r="L147" s="19"/>
      <c r="M147" s="19"/>
      <c r="N147" s="31"/>
      <c r="O147" s="31"/>
      <c r="P147" s="19"/>
      <c r="Q147" s="19"/>
    </row>
    <row r="148" spans="1:17" ht="46.5" customHeight="1" x14ac:dyDescent="0.7">
      <c r="A148" s="19"/>
      <c r="B148" s="19"/>
      <c r="C148" s="19"/>
      <c r="D148" s="31"/>
      <c r="E148" s="31"/>
      <c r="F148" s="31"/>
      <c r="G148" s="31"/>
      <c r="H148" s="31"/>
      <c r="I148" s="31"/>
      <c r="J148" s="31"/>
      <c r="K148" s="19"/>
      <c r="L148" s="19"/>
      <c r="M148" s="19"/>
      <c r="N148" s="31"/>
      <c r="O148" s="31"/>
      <c r="P148" s="19"/>
      <c r="Q148" s="19"/>
    </row>
    <row r="149" spans="1:17" ht="46.5" customHeight="1" x14ac:dyDescent="0.7">
      <c r="A149" s="19"/>
      <c r="B149" s="19"/>
      <c r="C149" s="19"/>
      <c r="D149" s="31"/>
      <c r="E149" s="31"/>
      <c r="F149" s="31"/>
      <c r="G149" s="31"/>
      <c r="H149" s="31"/>
      <c r="I149" s="31"/>
      <c r="J149" s="31"/>
      <c r="K149" s="19"/>
      <c r="L149" s="19"/>
      <c r="M149" s="19"/>
      <c r="N149" s="31"/>
      <c r="O149" s="31"/>
      <c r="P149" s="19"/>
      <c r="Q149" s="19"/>
    </row>
    <row r="150" spans="1:17" ht="46.5" customHeight="1" x14ac:dyDescent="0.7">
      <c r="A150" s="19"/>
      <c r="B150" s="19"/>
      <c r="C150" s="19"/>
      <c r="D150" s="31"/>
      <c r="E150" s="31"/>
      <c r="F150" s="31"/>
      <c r="G150" s="31"/>
      <c r="H150" s="31"/>
      <c r="I150" s="31"/>
      <c r="J150" s="31"/>
      <c r="K150" s="19"/>
      <c r="L150" s="19"/>
      <c r="M150" s="19"/>
      <c r="N150" s="31"/>
      <c r="O150" s="31"/>
      <c r="P150" s="19"/>
      <c r="Q150" s="19"/>
    </row>
    <row r="151" spans="1:17" ht="46.5" customHeight="1" x14ac:dyDescent="0.7">
      <c r="A151" s="19"/>
      <c r="B151" s="19"/>
      <c r="C151" s="19"/>
      <c r="D151" s="31"/>
      <c r="E151" s="31"/>
      <c r="F151" s="31"/>
      <c r="G151" s="31"/>
      <c r="H151" s="31"/>
      <c r="I151" s="31"/>
      <c r="J151" s="31"/>
      <c r="K151" s="19"/>
      <c r="L151" s="19"/>
      <c r="M151" s="19"/>
      <c r="N151" s="31"/>
      <c r="O151" s="31"/>
      <c r="P151" s="19"/>
      <c r="Q151" s="19"/>
    </row>
    <row r="152" spans="1:17" ht="46.5" customHeight="1" x14ac:dyDescent="0.7">
      <c r="A152" s="19"/>
      <c r="B152" s="19"/>
      <c r="C152" s="19"/>
      <c r="D152" s="31"/>
      <c r="E152" s="31"/>
      <c r="F152" s="31"/>
      <c r="G152" s="31"/>
      <c r="H152" s="31"/>
      <c r="I152" s="31"/>
      <c r="J152" s="31"/>
      <c r="K152" s="19"/>
      <c r="L152" s="19"/>
      <c r="M152" s="19"/>
      <c r="N152" s="31"/>
      <c r="O152" s="31"/>
      <c r="P152" s="19"/>
      <c r="Q152" s="19"/>
    </row>
    <row r="153" spans="1:17" ht="46.5" customHeight="1" x14ac:dyDescent="0.7">
      <c r="A153" s="19"/>
      <c r="B153" s="19"/>
      <c r="C153" s="19"/>
      <c r="D153" s="31"/>
      <c r="E153" s="31"/>
      <c r="F153" s="31"/>
      <c r="G153" s="31"/>
      <c r="H153" s="31"/>
      <c r="I153" s="31"/>
      <c r="J153" s="31"/>
      <c r="K153" s="19"/>
      <c r="L153" s="19"/>
      <c r="M153" s="19"/>
      <c r="N153" s="31"/>
      <c r="O153" s="31"/>
      <c r="P153" s="19"/>
      <c r="Q153" s="19"/>
    </row>
    <row r="154" spans="1:17" ht="46.5" customHeight="1" x14ac:dyDescent="0.7">
      <c r="A154" s="19"/>
      <c r="B154" s="19"/>
      <c r="C154" s="19"/>
      <c r="D154" s="31"/>
      <c r="E154" s="31"/>
      <c r="F154" s="31"/>
      <c r="G154" s="31"/>
      <c r="H154" s="31"/>
      <c r="I154" s="31"/>
      <c r="J154" s="31"/>
      <c r="K154" s="19"/>
      <c r="L154" s="19"/>
      <c r="M154" s="19"/>
      <c r="N154" s="31"/>
      <c r="O154" s="31"/>
      <c r="P154" s="19"/>
      <c r="Q154" s="19"/>
    </row>
    <row r="155" spans="1:17" ht="46.5" customHeight="1" x14ac:dyDescent="0.7">
      <c r="A155" s="19"/>
      <c r="B155" s="19"/>
      <c r="C155" s="19"/>
      <c r="D155" s="31"/>
      <c r="E155" s="31"/>
      <c r="F155" s="31"/>
      <c r="G155" s="31"/>
      <c r="H155" s="31"/>
      <c r="I155" s="31"/>
      <c r="J155" s="31"/>
      <c r="K155" s="19"/>
      <c r="L155" s="19"/>
      <c r="M155" s="19"/>
      <c r="N155" s="31"/>
      <c r="O155" s="31"/>
      <c r="P155" s="19"/>
      <c r="Q155" s="19"/>
    </row>
    <row r="156" spans="1:17" ht="46.5" customHeight="1" x14ac:dyDescent="0.7">
      <c r="A156" s="19"/>
      <c r="B156" s="19"/>
      <c r="C156" s="19"/>
      <c r="D156" s="31"/>
      <c r="E156" s="31"/>
      <c r="F156" s="31"/>
      <c r="G156" s="31"/>
      <c r="H156" s="31"/>
      <c r="I156" s="31"/>
      <c r="J156" s="31"/>
      <c r="K156" s="19"/>
      <c r="L156" s="19"/>
      <c r="M156" s="19"/>
      <c r="N156" s="31"/>
      <c r="O156" s="31"/>
      <c r="P156" s="19"/>
      <c r="Q156" s="19"/>
    </row>
    <row r="157" spans="1:17" ht="46.5" customHeight="1" x14ac:dyDescent="0.7">
      <c r="A157" s="19"/>
      <c r="B157" s="19"/>
      <c r="C157" s="19"/>
      <c r="D157" s="31"/>
      <c r="E157" s="31"/>
      <c r="F157" s="31"/>
      <c r="G157" s="31"/>
      <c r="H157" s="31"/>
      <c r="I157" s="31"/>
      <c r="J157" s="31"/>
      <c r="K157" s="19"/>
      <c r="L157" s="19"/>
      <c r="M157" s="19"/>
      <c r="N157" s="31"/>
      <c r="O157" s="31"/>
      <c r="P157" s="19"/>
      <c r="Q157" s="19"/>
    </row>
    <row r="158" spans="1:17" ht="46.5" customHeight="1" x14ac:dyDescent="0.7">
      <c r="A158" s="19"/>
      <c r="B158" s="19"/>
      <c r="C158" s="19"/>
      <c r="D158" s="31"/>
      <c r="E158" s="31"/>
      <c r="F158" s="31"/>
      <c r="G158" s="31"/>
      <c r="H158" s="31"/>
      <c r="I158" s="31"/>
      <c r="J158" s="31"/>
      <c r="K158" s="19"/>
      <c r="L158" s="19"/>
      <c r="M158" s="19"/>
      <c r="N158" s="31"/>
      <c r="O158" s="31"/>
      <c r="P158" s="19"/>
      <c r="Q158" s="19"/>
    </row>
    <row r="159" spans="1:17" ht="46.5" customHeight="1" x14ac:dyDescent="0.7">
      <c r="A159" s="19"/>
      <c r="B159" s="19"/>
      <c r="C159" s="19"/>
      <c r="D159" s="31"/>
      <c r="E159" s="31"/>
      <c r="F159" s="31"/>
      <c r="G159" s="31"/>
      <c r="H159" s="31"/>
      <c r="I159" s="31"/>
      <c r="J159" s="31"/>
      <c r="K159" s="19"/>
      <c r="L159" s="19"/>
      <c r="M159" s="19"/>
      <c r="N159" s="31"/>
      <c r="O159" s="31"/>
      <c r="P159" s="19"/>
      <c r="Q159" s="19"/>
    </row>
    <row r="160" spans="1:17" ht="46.5" customHeight="1" x14ac:dyDescent="0.7">
      <c r="A160" s="19"/>
      <c r="B160" s="19"/>
      <c r="C160" s="19"/>
      <c r="D160" s="31"/>
      <c r="E160" s="31"/>
      <c r="F160" s="31"/>
      <c r="G160" s="31"/>
      <c r="H160" s="31"/>
      <c r="I160" s="31"/>
      <c r="J160" s="31"/>
      <c r="K160" s="19"/>
      <c r="L160" s="19"/>
      <c r="M160" s="19"/>
      <c r="N160" s="31"/>
      <c r="O160" s="31"/>
      <c r="P160" s="19"/>
      <c r="Q160" s="19"/>
    </row>
    <row r="161" spans="1:17" ht="46.5" customHeight="1" x14ac:dyDescent="0.7">
      <c r="A161" s="19"/>
      <c r="B161" s="19"/>
      <c r="C161" s="19"/>
      <c r="D161" s="31"/>
      <c r="E161" s="31"/>
      <c r="F161" s="31"/>
      <c r="G161" s="31"/>
      <c r="H161" s="31"/>
      <c r="I161" s="31"/>
      <c r="J161" s="31"/>
      <c r="K161" s="19"/>
      <c r="L161" s="19"/>
      <c r="M161" s="19"/>
      <c r="N161" s="31"/>
      <c r="O161" s="31"/>
      <c r="P161" s="19"/>
      <c r="Q161" s="19"/>
    </row>
    <row r="162" spans="1:17" ht="46.5" customHeight="1" x14ac:dyDescent="0.7">
      <c r="A162" s="19"/>
      <c r="B162" s="19"/>
      <c r="C162" s="19"/>
      <c r="D162" s="31"/>
      <c r="E162" s="31"/>
      <c r="F162" s="31"/>
      <c r="G162" s="31"/>
      <c r="H162" s="31"/>
      <c r="I162" s="31"/>
      <c r="J162" s="31"/>
      <c r="K162" s="19"/>
      <c r="L162" s="19"/>
      <c r="M162" s="19"/>
      <c r="N162" s="31"/>
      <c r="O162" s="31"/>
      <c r="P162" s="19"/>
      <c r="Q162" s="19"/>
    </row>
    <row r="163" spans="1:17" ht="46.5" customHeight="1" x14ac:dyDescent="0.7">
      <c r="A163" s="19"/>
      <c r="B163" s="19"/>
      <c r="C163" s="19"/>
      <c r="D163" s="31"/>
      <c r="E163" s="31"/>
      <c r="F163" s="31"/>
      <c r="G163" s="31"/>
      <c r="H163" s="31"/>
      <c r="I163" s="31"/>
      <c r="J163" s="31"/>
      <c r="K163" s="19"/>
      <c r="L163" s="19"/>
      <c r="M163" s="19"/>
      <c r="N163" s="31"/>
      <c r="O163" s="31"/>
      <c r="P163" s="19"/>
      <c r="Q163" s="19"/>
    </row>
    <row r="164" spans="1:17" ht="46.5" customHeight="1" x14ac:dyDescent="0.7">
      <c r="A164" s="19"/>
      <c r="B164" s="19"/>
      <c r="C164" s="19"/>
      <c r="D164" s="31"/>
      <c r="E164" s="31"/>
      <c r="F164" s="31"/>
      <c r="G164" s="31"/>
      <c r="H164" s="31"/>
      <c r="I164" s="31"/>
      <c r="J164" s="31"/>
      <c r="K164" s="19"/>
      <c r="L164" s="19"/>
      <c r="M164" s="19"/>
      <c r="N164" s="31"/>
      <c r="O164" s="31"/>
      <c r="P164" s="19"/>
      <c r="Q164" s="19"/>
    </row>
    <row r="165" spans="1:17" ht="46.5" customHeight="1" x14ac:dyDescent="0.7">
      <c r="A165" s="19"/>
      <c r="B165" s="19"/>
      <c r="C165" s="19"/>
      <c r="D165" s="31"/>
      <c r="E165" s="31"/>
      <c r="F165" s="31"/>
      <c r="G165" s="31"/>
      <c r="H165" s="31"/>
      <c r="I165" s="31"/>
      <c r="J165" s="31"/>
      <c r="K165" s="19"/>
      <c r="L165" s="19"/>
      <c r="M165" s="19"/>
      <c r="N165" s="31"/>
      <c r="O165" s="31"/>
      <c r="P165" s="19"/>
      <c r="Q165" s="19"/>
    </row>
    <row r="166" spans="1:17" ht="46.5" customHeight="1" x14ac:dyDescent="0.7">
      <c r="A166" s="19"/>
      <c r="B166" s="19"/>
      <c r="C166" s="19"/>
      <c r="D166" s="31"/>
      <c r="E166" s="31"/>
      <c r="F166" s="31"/>
      <c r="G166" s="31"/>
      <c r="H166" s="31"/>
      <c r="I166" s="31"/>
      <c r="J166" s="31"/>
      <c r="K166" s="19"/>
      <c r="L166" s="19"/>
      <c r="M166" s="19"/>
      <c r="N166" s="31"/>
      <c r="O166" s="31"/>
      <c r="P166" s="19"/>
      <c r="Q166" s="19"/>
    </row>
    <row r="167" spans="1:17" ht="46.5" customHeight="1" x14ac:dyDescent="0.7">
      <c r="A167" s="19"/>
      <c r="B167" s="19"/>
      <c r="C167" s="19"/>
      <c r="D167" s="31"/>
      <c r="E167" s="31"/>
      <c r="F167" s="31"/>
      <c r="G167" s="31"/>
      <c r="H167" s="31"/>
      <c r="I167" s="31"/>
      <c r="J167" s="31"/>
      <c r="K167" s="19"/>
      <c r="L167" s="19"/>
      <c r="M167" s="19"/>
      <c r="N167" s="31"/>
      <c r="O167" s="31"/>
      <c r="P167" s="19"/>
      <c r="Q167" s="19"/>
    </row>
    <row r="168" spans="1:17" ht="46.5" customHeight="1" x14ac:dyDescent="0.7">
      <c r="A168" s="19"/>
      <c r="B168" s="19"/>
      <c r="C168" s="19"/>
      <c r="D168" s="31"/>
      <c r="E168" s="31"/>
      <c r="F168" s="31"/>
      <c r="G168" s="31"/>
      <c r="H168" s="31"/>
      <c r="I168" s="31"/>
      <c r="J168" s="31"/>
      <c r="K168" s="19"/>
      <c r="L168" s="19"/>
      <c r="M168" s="19"/>
      <c r="N168" s="31"/>
      <c r="O168" s="31"/>
      <c r="P168" s="19"/>
      <c r="Q168" s="19"/>
    </row>
    <row r="169" spans="1:17" ht="46.5" customHeight="1" x14ac:dyDescent="0.7">
      <c r="A169" s="19"/>
      <c r="B169" s="19"/>
      <c r="C169" s="19"/>
      <c r="D169" s="31"/>
      <c r="E169" s="31"/>
      <c r="F169" s="31"/>
      <c r="G169" s="31"/>
      <c r="H169" s="31"/>
      <c r="I169" s="31"/>
      <c r="J169" s="31"/>
      <c r="K169" s="19"/>
      <c r="L169" s="19"/>
      <c r="M169" s="19"/>
      <c r="N169" s="31"/>
      <c r="O169" s="31"/>
      <c r="P169" s="19"/>
      <c r="Q169" s="19"/>
    </row>
    <row r="170" spans="1:17" ht="46.5" customHeight="1" x14ac:dyDescent="0.7">
      <c r="A170" s="19"/>
      <c r="B170" s="19"/>
      <c r="C170" s="19"/>
      <c r="D170" s="31"/>
      <c r="E170" s="31"/>
      <c r="F170" s="31"/>
      <c r="G170" s="31"/>
      <c r="H170" s="31"/>
      <c r="I170" s="31"/>
      <c r="J170" s="31"/>
      <c r="K170" s="19"/>
      <c r="L170" s="19"/>
      <c r="M170" s="19"/>
      <c r="N170" s="31"/>
      <c r="O170" s="31"/>
      <c r="P170" s="19"/>
      <c r="Q170" s="19"/>
    </row>
    <row r="171" spans="1:17" ht="46.5" customHeight="1" x14ac:dyDescent="0.7">
      <c r="A171" s="19"/>
      <c r="B171" s="19"/>
      <c r="C171" s="19"/>
      <c r="D171" s="31"/>
      <c r="E171" s="31"/>
      <c r="F171" s="31"/>
      <c r="G171" s="31"/>
      <c r="H171" s="31"/>
      <c r="I171" s="31"/>
      <c r="J171" s="31"/>
      <c r="K171" s="19"/>
      <c r="L171" s="19"/>
      <c r="M171" s="19"/>
      <c r="N171" s="31"/>
      <c r="O171" s="31"/>
      <c r="P171" s="19"/>
      <c r="Q171" s="19"/>
    </row>
    <row r="172" spans="1:17" ht="46.5" customHeight="1" x14ac:dyDescent="0.7">
      <c r="A172" s="19"/>
      <c r="B172" s="19"/>
      <c r="C172" s="19"/>
      <c r="D172" s="31"/>
      <c r="E172" s="31"/>
      <c r="F172" s="31"/>
      <c r="G172" s="31"/>
      <c r="H172" s="31"/>
      <c r="I172" s="31"/>
      <c r="J172" s="31"/>
      <c r="K172" s="19"/>
      <c r="L172" s="19"/>
      <c r="M172" s="19"/>
      <c r="N172" s="31"/>
      <c r="O172" s="31"/>
      <c r="P172" s="19"/>
      <c r="Q172" s="19"/>
    </row>
    <row r="173" spans="1:17" ht="46.5" customHeight="1" x14ac:dyDescent="0.7">
      <c r="A173" s="19"/>
      <c r="B173" s="19"/>
      <c r="C173" s="19"/>
      <c r="D173" s="31"/>
      <c r="E173" s="31"/>
      <c r="F173" s="31"/>
      <c r="G173" s="31"/>
      <c r="H173" s="31"/>
      <c r="I173" s="31"/>
      <c r="J173" s="31"/>
      <c r="K173" s="19"/>
      <c r="L173" s="19"/>
      <c r="M173" s="19"/>
      <c r="N173" s="31"/>
      <c r="O173" s="31"/>
      <c r="P173" s="19"/>
      <c r="Q173" s="19"/>
    </row>
    <row r="174" spans="1:17" ht="46.5" customHeight="1" x14ac:dyDescent="0.7">
      <c r="A174" s="19"/>
      <c r="B174" s="19"/>
      <c r="C174" s="19"/>
      <c r="D174" s="31"/>
      <c r="E174" s="31"/>
      <c r="F174" s="31"/>
      <c r="G174" s="31"/>
      <c r="H174" s="31"/>
      <c r="I174" s="31"/>
      <c r="J174" s="31"/>
      <c r="K174" s="19"/>
      <c r="L174" s="19"/>
      <c r="M174" s="19"/>
      <c r="N174" s="31"/>
      <c r="O174" s="31"/>
      <c r="P174" s="19"/>
      <c r="Q174" s="19"/>
    </row>
    <row r="175" spans="1:17" ht="46.5" customHeight="1" x14ac:dyDescent="0.7">
      <c r="A175" s="19"/>
      <c r="B175" s="19"/>
      <c r="C175" s="19"/>
      <c r="D175" s="31"/>
      <c r="E175" s="31"/>
      <c r="F175" s="31"/>
      <c r="G175" s="31"/>
      <c r="H175" s="31"/>
      <c r="I175" s="31"/>
      <c r="J175" s="31"/>
      <c r="K175" s="19"/>
      <c r="L175" s="19"/>
      <c r="M175" s="19"/>
      <c r="N175" s="31"/>
      <c r="O175" s="31"/>
      <c r="P175" s="19"/>
      <c r="Q175" s="19"/>
    </row>
    <row r="176" spans="1:17" ht="46.5" customHeight="1" x14ac:dyDescent="0.7">
      <c r="A176" s="19"/>
      <c r="B176" s="19"/>
      <c r="C176" s="19"/>
      <c r="D176" s="31"/>
      <c r="E176" s="31"/>
      <c r="F176" s="31"/>
      <c r="G176" s="31"/>
      <c r="H176" s="31"/>
      <c r="I176" s="31"/>
      <c r="J176" s="31"/>
      <c r="K176" s="19"/>
      <c r="L176" s="19"/>
      <c r="M176" s="19"/>
      <c r="N176" s="31"/>
      <c r="O176" s="31"/>
      <c r="P176" s="19"/>
      <c r="Q176" s="19"/>
    </row>
    <row r="177" spans="1:17" ht="46.5" customHeight="1" x14ac:dyDescent="0.7">
      <c r="A177" s="19"/>
      <c r="B177" s="19"/>
      <c r="C177" s="19"/>
      <c r="D177" s="31"/>
      <c r="E177" s="31"/>
      <c r="F177" s="31"/>
      <c r="G177" s="31"/>
      <c r="H177" s="31"/>
      <c r="I177" s="31"/>
      <c r="J177" s="31"/>
      <c r="K177" s="19"/>
      <c r="L177" s="19"/>
      <c r="M177" s="19"/>
      <c r="N177" s="31"/>
      <c r="O177" s="31"/>
      <c r="P177" s="19"/>
      <c r="Q177" s="19"/>
    </row>
    <row r="178" spans="1:17" ht="46.5" customHeight="1" x14ac:dyDescent="0.7">
      <c r="A178" s="19"/>
      <c r="B178" s="19"/>
      <c r="C178" s="19"/>
      <c r="D178" s="31"/>
      <c r="E178" s="31"/>
      <c r="F178" s="31"/>
      <c r="G178" s="31"/>
      <c r="H178" s="31"/>
      <c r="I178" s="31"/>
      <c r="J178" s="31"/>
      <c r="K178" s="19"/>
      <c r="L178" s="19"/>
      <c r="M178" s="19"/>
      <c r="N178" s="31"/>
      <c r="O178" s="31"/>
      <c r="P178" s="19"/>
      <c r="Q178" s="19"/>
    </row>
    <row r="179" spans="1:17" ht="46.5" customHeight="1" x14ac:dyDescent="0.7">
      <c r="A179" s="19"/>
      <c r="B179" s="19"/>
      <c r="C179" s="19"/>
      <c r="D179" s="31"/>
      <c r="E179" s="31"/>
      <c r="F179" s="31"/>
      <c r="G179" s="31"/>
      <c r="H179" s="31"/>
      <c r="I179" s="31"/>
      <c r="J179" s="31"/>
      <c r="K179" s="19"/>
      <c r="L179" s="19"/>
      <c r="M179" s="19"/>
      <c r="N179" s="31"/>
      <c r="O179" s="31"/>
      <c r="P179" s="19"/>
      <c r="Q179" s="19"/>
    </row>
    <row r="180" spans="1:17" ht="46.5" customHeight="1" x14ac:dyDescent="0.7">
      <c r="A180" s="19"/>
      <c r="B180" s="19"/>
      <c r="C180" s="19"/>
      <c r="D180" s="31"/>
      <c r="E180" s="31"/>
      <c r="F180" s="31"/>
      <c r="G180" s="31"/>
      <c r="H180" s="31"/>
      <c r="I180" s="31"/>
      <c r="J180" s="31"/>
      <c r="K180" s="19"/>
      <c r="L180" s="19"/>
      <c r="M180" s="19"/>
      <c r="N180" s="31"/>
      <c r="O180" s="31"/>
      <c r="P180" s="19"/>
      <c r="Q180" s="19"/>
    </row>
    <row r="181" spans="1:17" ht="46.5" customHeight="1" x14ac:dyDescent="0.7">
      <c r="A181" s="19"/>
      <c r="B181" s="19"/>
      <c r="C181" s="19"/>
      <c r="D181" s="31"/>
      <c r="E181" s="31"/>
      <c r="F181" s="31"/>
      <c r="G181" s="31"/>
      <c r="H181" s="31"/>
      <c r="I181" s="31"/>
      <c r="J181" s="31"/>
      <c r="K181" s="19"/>
      <c r="L181" s="19"/>
      <c r="M181" s="19"/>
      <c r="N181" s="31"/>
      <c r="O181" s="31"/>
      <c r="P181" s="19"/>
      <c r="Q181" s="19"/>
    </row>
    <row r="182" spans="1:17" ht="46.5" customHeight="1" x14ac:dyDescent="0.7">
      <c r="A182" s="19"/>
      <c r="B182" s="19"/>
      <c r="C182" s="19"/>
      <c r="D182" s="31"/>
      <c r="E182" s="31"/>
      <c r="F182" s="31"/>
      <c r="G182" s="31"/>
      <c r="H182" s="31"/>
      <c r="I182" s="31"/>
      <c r="J182" s="31"/>
      <c r="K182" s="19"/>
      <c r="L182" s="19"/>
      <c r="M182" s="19"/>
      <c r="N182" s="31"/>
      <c r="O182" s="31"/>
      <c r="P182" s="19"/>
      <c r="Q182" s="19"/>
    </row>
    <row r="183" spans="1:17" ht="46.5" customHeight="1" x14ac:dyDescent="0.7">
      <c r="A183" s="19"/>
      <c r="B183" s="19"/>
      <c r="C183" s="19"/>
      <c r="D183" s="31"/>
      <c r="E183" s="31"/>
      <c r="F183" s="31"/>
      <c r="G183" s="31"/>
      <c r="H183" s="31"/>
      <c r="I183" s="31"/>
      <c r="J183" s="31"/>
      <c r="K183" s="19"/>
      <c r="L183" s="19"/>
      <c r="M183" s="19"/>
      <c r="N183" s="31"/>
      <c r="O183" s="31"/>
      <c r="P183" s="19"/>
      <c r="Q183" s="19"/>
    </row>
    <row r="184" spans="1:17" ht="46.5" customHeight="1" x14ac:dyDescent="0.7">
      <c r="A184" s="19"/>
      <c r="B184" s="19"/>
      <c r="C184" s="19"/>
      <c r="D184" s="31"/>
      <c r="E184" s="31"/>
      <c r="F184" s="31"/>
      <c r="G184" s="31"/>
      <c r="H184" s="31"/>
      <c r="I184" s="31"/>
      <c r="J184" s="31"/>
      <c r="K184" s="19"/>
      <c r="L184" s="19"/>
      <c r="M184" s="19"/>
      <c r="N184" s="31"/>
      <c r="O184" s="31"/>
      <c r="P184" s="19"/>
      <c r="Q184" s="19"/>
    </row>
    <row r="185" spans="1:17" ht="46.5" customHeight="1" x14ac:dyDescent="0.7">
      <c r="A185" s="19"/>
      <c r="B185" s="19"/>
      <c r="C185" s="19"/>
      <c r="D185" s="31"/>
      <c r="E185" s="31"/>
      <c r="F185" s="31"/>
      <c r="G185" s="31"/>
      <c r="H185" s="31"/>
      <c r="I185" s="31"/>
      <c r="J185" s="31"/>
      <c r="K185" s="19"/>
      <c r="L185" s="19"/>
      <c r="M185" s="19"/>
      <c r="N185" s="31"/>
      <c r="O185" s="31"/>
      <c r="P185" s="19"/>
      <c r="Q185" s="19"/>
    </row>
    <row r="186" spans="1:17" ht="46.5" customHeight="1" x14ac:dyDescent="0.7">
      <c r="A186" s="19"/>
      <c r="B186" s="19"/>
      <c r="C186" s="19"/>
      <c r="D186" s="31"/>
      <c r="E186" s="31"/>
      <c r="F186" s="31"/>
      <c r="G186" s="31"/>
      <c r="H186" s="31"/>
      <c r="I186" s="31"/>
      <c r="J186" s="31"/>
      <c r="K186" s="19"/>
      <c r="L186" s="19"/>
      <c r="M186" s="19"/>
      <c r="N186" s="31"/>
      <c r="O186" s="31"/>
      <c r="P186" s="19"/>
      <c r="Q186" s="19"/>
    </row>
    <row r="187" spans="1:17" ht="46.5" customHeight="1" x14ac:dyDescent="0.7">
      <c r="A187" s="19"/>
      <c r="B187" s="19"/>
      <c r="C187" s="19"/>
      <c r="D187" s="31"/>
      <c r="E187" s="31"/>
      <c r="F187" s="31"/>
      <c r="G187" s="31"/>
      <c r="H187" s="31"/>
      <c r="I187" s="31"/>
      <c r="J187" s="31"/>
      <c r="K187" s="19"/>
      <c r="L187" s="19"/>
      <c r="M187" s="19"/>
      <c r="N187" s="31"/>
      <c r="O187" s="31"/>
      <c r="P187" s="19"/>
      <c r="Q187" s="19"/>
    </row>
    <row r="188" spans="1:17" ht="46.5" customHeight="1" x14ac:dyDescent="0.7">
      <c r="A188" s="19"/>
      <c r="B188" s="19"/>
      <c r="C188" s="19"/>
      <c r="D188" s="31"/>
      <c r="E188" s="31"/>
      <c r="F188" s="31"/>
      <c r="G188" s="31"/>
      <c r="H188" s="31"/>
      <c r="I188" s="31"/>
      <c r="J188" s="31"/>
      <c r="K188" s="19"/>
      <c r="L188" s="19"/>
      <c r="M188" s="19"/>
      <c r="N188" s="31"/>
      <c r="O188" s="31"/>
      <c r="P188" s="19"/>
      <c r="Q188" s="19"/>
    </row>
    <row r="189" spans="1:17" ht="46.5" customHeight="1" x14ac:dyDescent="0.7">
      <c r="A189" s="19"/>
      <c r="B189" s="19"/>
      <c r="C189" s="19"/>
      <c r="D189" s="31"/>
      <c r="E189" s="31"/>
      <c r="F189" s="31"/>
      <c r="G189" s="31"/>
      <c r="H189" s="31"/>
      <c r="I189" s="31"/>
      <c r="J189" s="31"/>
      <c r="K189" s="19"/>
      <c r="L189" s="19"/>
      <c r="M189" s="19"/>
      <c r="N189" s="31"/>
      <c r="O189" s="31"/>
      <c r="P189" s="19"/>
      <c r="Q189" s="19"/>
    </row>
    <row r="190" spans="1:17" ht="46.5" customHeight="1" x14ac:dyDescent="0.7">
      <c r="A190" s="19"/>
      <c r="B190" s="19"/>
      <c r="C190" s="19"/>
      <c r="D190" s="31"/>
      <c r="E190" s="31"/>
      <c r="F190" s="31"/>
      <c r="G190" s="31"/>
      <c r="H190" s="31"/>
      <c r="I190" s="31"/>
      <c r="J190" s="31"/>
      <c r="K190" s="19"/>
      <c r="L190" s="19"/>
      <c r="M190" s="19"/>
      <c r="N190" s="31"/>
      <c r="O190" s="31"/>
      <c r="P190" s="19"/>
      <c r="Q190" s="19"/>
    </row>
    <row r="191" spans="1:17" ht="46.5" customHeight="1" x14ac:dyDescent="0.7">
      <c r="A191" s="19"/>
      <c r="B191" s="19"/>
      <c r="C191" s="19"/>
      <c r="D191" s="31"/>
      <c r="E191" s="31"/>
      <c r="F191" s="31"/>
      <c r="G191" s="31"/>
      <c r="H191" s="31"/>
      <c r="I191" s="31"/>
      <c r="J191" s="31"/>
      <c r="K191" s="19"/>
      <c r="L191" s="19"/>
      <c r="M191" s="19"/>
      <c r="N191" s="31"/>
      <c r="O191" s="31"/>
      <c r="P191" s="19"/>
      <c r="Q191" s="19"/>
    </row>
    <row r="192" spans="1:17" ht="46.5" customHeight="1" x14ac:dyDescent="0.7">
      <c r="A192" s="19"/>
      <c r="B192" s="19"/>
      <c r="C192" s="19"/>
      <c r="D192" s="31"/>
      <c r="E192" s="31"/>
      <c r="F192" s="31"/>
      <c r="G192" s="31"/>
      <c r="H192" s="31"/>
      <c r="I192" s="31"/>
      <c r="J192" s="31"/>
      <c r="K192" s="19"/>
      <c r="L192" s="19"/>
      <c r="M192" s="19"/>
      <c r="N192" s="31"/>
      <c r="O192" s="31"/>
      <c r="P192" s="19"/>
      <c r="Q192" s="19"/>
    </row>
    <row r="193" spans="1:17" ht="46.5" customHeight="1" x14ac:dyDescent="0.7">
      <c r="A193" s="19"/>
      <c r="B193" s="19"/>
      <c r="C193" s="19"/>
      <c r="D193" s="31"/>
      <c r="E193" s="31"/>
      <c r="F193" s="31"/>
      <c r="G193" s="31"/>
      <c r="H193" s="31"/>
      <c r="I193" s="31"/>
      <c r="J193" s="31"/>
      <c r="K193" s="19"/>
      <c r="L193" s="19"/>
      <c r="M193" s="19"/>
      <c r="N193" s="31"/>
      <c r="O193" s="31"/>
      <c r="P193" s="19"/>
      <c r="Q193" s="19"/>
    </row>
    <row r="194" spans="1:17" ht="46.5" customHeight="1" x14ac:dyDescent="0.7">
      <c r="A194" s="19"/>
      <c r="B194" s="19"/>
      <c r="C194" s="19"/>
      <c r="D194" s="31"/>
      <c r="E194" s="31"/>
      <c r="F194" s="31"/>
      <c r="G194" s="31"/>
      <c r="H194" s="31"/>
      <c r="I194" s="31"/>
      <c r="J194" s="31"/>
      <c r="K194" s="19"/>
      <c r="L194" s="19"/>
      <c r="M194" s="19"/>
      <c r="N194" s="31"/>
      <c r="O194" s="31"/>
      <c r="P194" s="19"/>
      <c r="Q194" s="19"/>
    </row>
    <row r="195" spans="1:17" ht="46.5" customHeight="1" x14ac:dyDescent="0.7">
      <c r="A195" s="19"/>
      <c r="B195" s="19"/>
      <c r="C195" s="19"/>
      <c r="D195" s="31"/>
      <c r="E195" s="31"/>
      <c r="F195" s="31"/>
      <c r="G195" s="31"/>
      <c r="H195" s="31"/>
      <c r="I195" s="31"/>
      <c r="J195" s="31"/>
      <c r="K195" s="19"/>
      <c r="L195" s="19"/>
      <c r="M195" s="19"/>
      <c r="N195" s="31"/>
      <c r="O195" s="31"/>
      <c r="P195" s="19"/>
      <c r="Q195" s="19"/>
    </row>
    <row r="196" spans="1:17" ht="46.5" customHeight="1" x14ac:dyDescent="0.7">
      <c r="A196" s="19"/>
      <c r="B196" s="19"/>
      <c r="C196" s="19"/>
      <c r="D196" s="31"/>
      <c r="E196" s="31"/>
      <c r="F196" s="31"/>
      <c r="G196" s="31"/>
      <c r="H196" s="31"/>
      <c r="I196" s="31"/>
      <c r="J196" s="31"/>
      <c r="K196" s="19"/>
      <c r="L196" s="19"/>
      <c r="M196" s="19"/>
      <c r="N196" s="31"/>
      <c r="O196" s="31"/>
      <c r="P196" s="19"/>
      <c r="Q196" s="19"/>
    </row>
    <row r="197" spans="1:17" ht="46.5" customHeight="1" x14ac:dyDescent="0.7">
      <c r="A197" s="19"/>
      <c r="B197" s="19"/>
      <c r="C197" s="19"/>
      <c r="D197" s="31"/>
      <c r="E197" s="31"/>
      <c r="F197" s="31"/>
      <c r="G197" s="31"/>
      <c r="H197" s="31"/>
      <c r="I197" s="31"/>
      <c r="J197" s="31"/>
      <c r="K197" s="19"/>
      <c r="L197" s="19"/>
      <c r="M197" s="19"/>
      <c r="N197" s="31"/>
      <c r="O197" s="31"/>
      <c r="P197" s="19"/>
      <c r="Q197" s="19"/>
    </row>
    <row r="198" spans="1:17" ht="46.5" customHeight="1" x14ac:dyDescent="0.7">
      <c r="A198" s="19"/>
      <c r="B198" s="19"/>
      <c r="C198" s="19"/>
      <c r="D198" s="31"/>
      <c r="E198" s="31"/>
      <c r="F198" s="31"/>
      <c r="G198" s="31"/>
      <c r="H198" s="31"/>
      <c r="I198" s="31"/>
      <c r="J198" s="31"/>
      <c r="K198" s="19"/>
      <c r="L198" s="19"/>
      <c r="M198" s="19"/>
      <c r="N198" s="31"/>
      <c r="O198" s="31"/>
      <c r="P198" s="19"/>
      <c r="Q198" s="19"/>
    </row>
    <row r="199" spans="1:17" ht="46.5" customHeight="1" x14ac:dyDescent="0.7">
      <c r="A199" s="19"/>
      <c r="B199" s="19"/>
      <c r="C199" s="19"/>
      <c r="D199" s="31"/>
      <c r="E199" s="31"/>
      <c r="F199" s="31"/>
      <c r="G199" s="31"/>
      <c r="H199" s="31"/>
      <c r="I199" s="31"/>
      <c r="J199" s="31"/>
      <c r="K199" s="19"/>
      <c r="L199" s="19"/>
      <c r="M199" s="19"/>
      <c r="N199" s="31"/>
      <c r="O199" s="31"/>
      <c r="P199" s="19"/>
      <c r="Q199" s="19"/>
    </row>
    <row r="200" spans="1:17" ht="46.5" customHeight="1" x14ac:dyDescent="0.7">
      <c r="A200" s="19"/>
      <c r="B200" s="19"/>
      <c r="C200" s="19"/>
      <c r="D200" s="31"/>
      <c r="E200" s="31"/>
      <c r="F200" s="31"/>
      <c r="G200" s="31"/>
      <c r="H200" s="31"/>
      <c r="I200" s="31"/>
      <c r="J200" s="31"/>
      <c r="K200" s="19"/>
      <c r="L200" s="19"/>
      <c r="M200" s="19"/>
      <c r="N200" s="31"/>
      <c r="O200" s="31"/>
      <c r="P200" s="19"/>
      <c r="Q200" s="19"/>
    </row>
    <row r="201" spans="1:17" ht="46.5" customHeight="1" x14ac:dyDescent="0.7">
      <c r="A201" s="19"/>
      <c r="B201" s="19"/>
      <c r="C201" s="19"/>
      <c r="D201" s="31"/>
      <c r="E201" s="31"/>
      <c r="F201" s="31"/>
      <c r="G201" s="31"/>
      <c r="H201" s="31"/>
      <c r="I201" s="31"/>
      <c r="J201" s="31"/>
      <c r="K201" s="19"/>
      <c r="L201" s="19"/>
      <c r="M201" s="19"/>
      <c r="N201" s="31"/>
      <c r="O201" s="31"/>
      <c r="P201" s="19"/>
      <c r="Q201" s="19"/>
    </row>
    <row r="202" spans="1:17" ht="46.5" customHeight="1" x14ac:dyDescent="0.7">
      <c r="A202" s="19"/>
      <c r="B202" s="19"/>
      <c r="C202" s="19"/>
      <c r="D202" s="31"/>
      <c r="E202" s="31"/>
      <c r="F202" s="31"/>
      <c r="G202" s="31"/>
      <c r="H202" s="31"/>
      <c r="I202" s="31"/>
      <c r="J202" s="31"/>
      <c r="K202" s="19"/>
      <c r="L202" s="19"/>
      <c r="M202" s="19"/>
      <c r="N202" s="31"/>
      <c r="O202" s="31"/>
      <c r="P202" s="19"/>
      <c r="Q202" s="19"/>
    </row>
    <row r="203" spans="1:17" ht="46.5" customHeight="1" x14ac:dyDescent="0.7">
      <c r="A203" s="19"/>
      <c r="B203" s="19"/>
      <c r="C203" s="19"/>
      <c r="D203" s="31"/>
      <c r="E203" s="31"/>
      <c r="F203" s="31"/>
      <c r="G203" s="31"/>
      <c r="H203" s="31"/>
      <c r="I203" s="31"/>
      <c r="J203" s="31"/>
      <c r="K203" s="19"/>
      <c r="L203" s="19"/>
      <c r="M203" s="19"/>
      <c r="N203" s="31"/>
      <c r="O203" s="31"/>
      <c r="P203" s="19"/>
      <c r="Q203" s="19"/>
    </row>
    <row r="204" spans="1:17" ht="46.5" customHeight="1" x14ac:dyDescent="0.7">
      <c r="A204" s="19"/>
      <c r="B204" s="19"/>
      <c r="C204" s="19"/>
      <c r="D204" s="31"/>
      <c r="E204" s="31"/>
      <c r="F204" s="31"/>
      <c r="G204" s="31"/>
      <c r="H204" s="31"/>
      <c r="I204" s="31"/>
      <c r="J204" s="31"/>
      <c r="K204" s="19"/>
      <c r="L204" s="19"/>
      <c r="M204" s="19"/>
      <c r="N204" s="31"/>
      <c r="O204" s="31"/>
      <c r="P204" s="19"/>
      <c r="Q204" s="19"/>
    </row>
    <row r="205" spans="1:17" ht="46.5" customHeight="1" x14ac:dyDescent="0.7">
      <c r="A205" s="19"/>
      <c r="B205" s="19"/>
      <c r="C205" s="19"/>
      <c r="D205" s="31"/>
      <c r="E205" s="31"/>
      <c r="F205" s="31"/>
      <c r="G205" s="31"/>
      <c r="H205" s="31"/>
      <c r="I205" s="31"/>
      <c r="J205" s="31"/>
      <c r="K205" s="19"/>
      <c r="L205" s="19"/>
      <c r="M205" s="19"/>
      <c r="N205" s="31"/>
      <c r="O205" s="31"/>
      <c r="P205" s="19"/>
      <c r="Q205" s="19"/>
    </row>
    <row r="206" spans="1:17" ht="46.5" customHeight="1" x14ac:dyDescent="0.7">
      <c r="A206" s="19"/>
      <c r="B206" s="19"/>
      <c r="C206" s="19"/>
      <c r="D206" s="31"/>
      <c r="E206" s="31"/>
      <c r="F206" s="31"/>
      <c r="G206" s="31"/>
      <c r="H206" s="31"/>
      <c r="I206" s="31"/>
      <c r="J206" s="31"/>
      <c r="K206" s="19"/>
      <c r="L206" s="19"/>
      <c r="M206" s="19"/>
      <c r="N206" s="31"/>
      <c r="O206" s="31"/>
      <c r="P206" s="19"/>
      <c r="Q206" s="19"/>
    </row>
    <row r="207" spans="1:17" ht="46.5" customHeight="1" x14ac:dyDescent="0.7">
      <c r="A207" s="19"/>
      <c r="B207" s="19"/>
      <c r="C207" s="19"/>
      <c r="D207" s="31"/>
      <c r="E207" s="31"/>
      <c r="F207" s="31"/>
      <c r="G207" s="31"/>
      <c r="H207" s="31"/>
      <c r="I207" s="31"/>
      <c r="J207" s="31"/>
      <c r="K207" s="19"/>
      <c r="L207" s="19"/>
      <c r="M207" s="19"/>
      <c r="N207" s="31"/>
      <c r="O207" s="31"/>
      <c r="P207" s="19"/>
      <c r="Q207" s="19"/>
    </row>
    <row r="208" spans="1:17" ht="46.5" customHeight="1" x14ac:dyDescent="0.7">
      <c r="A208" s="19"/>
      <c r="B208" s="19"/>
      <c r="C208" s="19"/>
      <c r="D208" s="31"/>
      <c r="E208" s="31"/>
      <c r="F208" s="31"/>
      <c r="G208" s="31"/>
      <c r="H208" s="31"/>
      <c r="I208" s="31"/>
      <c r="J208" s="31"/>
      <c r="K208" s="19"/>
      <c r="L208" s="19"/>
      <c r="M208" s="19"/>
      <c r="N208" s="31"/>
      <c r="O208" s="31"/>
      <c r="P208" s="19"/>
      <c r="Q208" s="19"/>
    </row>
    <row r="209" spans="1:17" ht="46.5" customHeight="1" x14ac:dyDescent="0.7">
      <c r="A209" s="19"/>
      <c r="B209" s="19"/>
      <c r="C209" s="19"/>
      <c r="D209" s="31"/>
      <c r="E209" s="31"/>
      <c r="F209" s="31"/>
      <c r="G209" s="31"/>
      <c r="H209" s="31"/>
      <c r="I209" s="31"/>
      <c r="J209" s="31"/>
      <c r="K209" s="19"/>
      <c r="L209" s="19"/>
      <c r="M209" s="19"/>
      <c r="N209" s="31"/>
      <c r="O209" s="31"/>
      <c r="P209" s="19"/>
      <c r="Q209" s="19"/>
    </row>
    <row r="210" spans="1:17" ht="46.5" customHeight="1" x14ac:dyDescent="0.7">
      <c r="A210" s="19"/>
      <c r="B210" s="19"/>
      <c r="C210" s="19"/>
      <c r="D210" s="31"/>
      <c r="E210" s="31"/>
      <c r="F210" s="31"/>
      <c r="G210" s="31"/>
      <c r="H210" s="31"/>
      <c r="I210" s="31"/>
      <c r="J210" s="31"/>
      <c r="K210" s="19"/>
      <c r="L210" s="19"/>
      <c r="M210" s="19"/>
      <c r="N210" s="31"/>
      <c r="O210" s="31"/>
      <c r="P210" s="19"/>
      <c r="Q210" s="19"/>
    </row>
    <row r="211" spans="1:17" ht="46.5" customHeight="1" x14ac:dyDescent="0.7">
      <c r="A211" s="19"/>
      <c r="B211" s="19"/>
      <c r="C211" s="19"/>
      <c r="D211" s="31"/>
      <c r="E211" s="31"/>
      <c r="F211" s="31"/>
      <c r="G211" s="31"/>
      <c r="H211" s="31"/>
      <c r="I211" s="31"/>
      <c r="J211" s="31"/>
      <c r="K211" s="19"/>
      <c r="L211" s="19"/>
      <c r="M211" s="19"/>
      <c r="N211" s="31"/>
      <c r="O211" s="31"/>
      <c r="P211" s="19"/>
      <c r="Q211" s="19"/>
    </row>
    <row r="212" spans="1:17" ht="46.5" customHeight="1" x14ac:dyDescent="0.7">
      <c r="A212" s="19"/>
      <c r="B212" s="19"/>
      <c r="C212" s="19"/>
      <c r="D212" s="31"/>
      <c r="E212" s="31"/>
      <c r="F212" s="31"/>
      <c r="G212" s="31"/>
      <c r="H212" s="31"/>
      <c r="I212" s="31"/>
      <c r="J212" s="31"/>
      <c r="K212" s="19"/>
      <c r="L212" s="19"/>
      <c r="M212" s="19"/>
      <c r="N212" s="31"/>
      <c r="O212" s="31"/>
      <c r="P212" s="19"/>
      <c r="Q212" s="19"/>
    </row>
    <row r="213" spans="1:17" ht="46.5" customHeight="1" x14ac:dyDescent="0.7">
      <c r="A213" s="19"/>
      <c r="B213" s="19"/>
      <c r="C213" s="19"/>
      <c r="D213" s="31"/>
      <c r="E213" s="31"/>
      <c r="F213" s="31"/>
      <c r="G213" s="31"/>
      <c r="H213" s="31"/>
      <c r="I213" s="31"/>
      <c r="J213" s="31"/>
      <c r="K213" s="19"/>
      <c r="L213" s="19"/>
      <c r="M213" s="19"/>
      <c r="N213" s="31"/>
      <c r="O213" s="31"/>
      <c r="P213" s="19"/>
      <c r="Q213" s="19"/>
    </row>
    <row r="214" spans="1:17" ht="46.5" customHeight="1" x14ac:dyDescent="0.7">
      <c r="A214" s="19"/>
      <c r="B214" s="19"/>
      <c r="C214" s="19"/>
      <c r="D214" s="31"/>
      <c r="E214" s="31"/>
      <c r="F214" s="31"/>
      <c r="G214" s="31"/>
      <c r="H214" s="31"/>
      <c r="I214" s="31"/>
      <c r="J214" s="31"/>
      <c r="K214" s="19"/>
      <c r="L214" s="19"/>
      <c r="M214" s="19"/>
      <c r="N214" s="31"/>
      <c r="O214" s="31"/>
      <c r="P214" s="19"/>
      <c r="Q214" s="19"/>
    </row>
    <row r="215" spans="1:17" ht="46.5" customHeight="1" x14ac:dyDescent="0.7">
      <c r="A215" s="19"/>
      <c r="B215" s="19"/>
      <c r="C215" s="19"/>
      <c r="D215" s="31"/>
      <c r="E215" s="31"/>
      <c r="F215" s="31"/>
      <c r="G215" s="31"/>
      <c r="H215" s="31"/>
      <c r="I215" s="31"/>
      <c r="J215" s="31"/>
      <c r="K215" s="19"/>
      <c r="L215" s="19"/>
      <c r="M215" s="19"/>
      <c r="N215" s="31"/>
      <c r="O215" s="31"/>
      <c r="P215" s="19"/>
      <c r="Q215" s="19"/>
    </row>
    <row r="216" spans="1:17" ht="46.5" customHeight="1" x14ac:dyDescent="0.7">
      <c r="A216" s="19"/>
      <c r="B216" s="19"/>
      <c r="C216" s="19"/>
      <c r="D216" s="31"/>
      <c r="E216" s="31"/>
      <c r="F216" s="31"/>
      <c r="G216" s="31"/>
      <c r="H216" s="31"/>
      <c r="I216" s="31"/>
      <c r="J216" s="31"/>
      <c r="K216" s="19"/>
      <c r="L216" s="19"/>
      <c r="M216" s="19"/>
      <c r="N216" s="31"/>
      <c r="O216" s="31"/>
      <c r="P216" s="19"/>
      <c r="Q216" s="19"/>
    </row>
    <row r="217" spans="1:17" ht="46.5" customHeight="1" x14ac:dyDescent="0.7">
      <c r="A217" s="19"/>
      <c r="B217" s="19"/>
      <c r="C217" s="19"/>
      <c r="D217" s="31"/>
      <c r="E217" s="31"/>
      <c r="F217" s="31"/>
      <c r="G217" s="31"/>
      <c r="H217" s="31"/>
      <c r="I217" s="31"/>
      <c r="J217" s="31"/>
      <c r="K217" s="19"/>
      <c r="L217" s="19"/>
      <c r="M217" s="19"/>
      <c r="N217" s="31"/>
      <c r="O217" s="31"/>
      <c r="P217" s="19"/>
      <c r="Q217" s="19"/>
    </row>
    <row r="218" spans="1:17" ht="46.5" customHeight="1" x14ac:dyDescent="0.7">
      <c r="A218" s="19"/>
      <c r="B218" s="19"/>
      <c r="C218" s="19"/>
      <c r="D218" s="31"/>
      <c r="E218" s="31"/>
      <c r="F218" s="31"/>
      <c r="G218" s="31"/>
      <c r="H218" s="31"/>
      <c r="I218" s="31"/>
      <c r="J218" s="31"/>
      <c r="K218" s="19"/>
      <c r="L218" s="19"/>
      <c r="M218" s="19"/>
      <c r="N218" s="31"/>
      <c r="O218" s="31"/>
      <c r="P218" s="19"/>
      <c r="Q218" s="19"/>
    </row>
    <row r="219" spans="1:17" ht="46.5" customHeight="1" x14ac:dyDescent="0.7">
      <c r="A219" s="19"/>
      <c r="B219" s="19"/>
      <c r="C219" s="19"/>
      <c r="D219" s="31"/>
      <c r="E219" s="31"/>
      <c r="F219" s="31"/>
      <c r="G219" s="31"/>
      <c r="H219" s="31"/>
      <c r="I219" s="31"/>
      <c r="J219" s="31"/>
      <c r="K219" s="19"/>
      <c r="L219" s="19"/>
      <c r="M219" s="19"/>
      <c r="N219" s="31"/>
      <c r="O219" s="31"/>
      <c r="P219" s="19"/>
      <c r="Q219" s="19"/>
    </row>
    <row r="220" spans="1:17" ht="46.5" customHeight="1" x14ac:dyDescent="0.7">
      <c r="A220" s="19"/>
      <c r="B220" s="19"/>
      <c r="C220" s="19"/>
      <c r="D220" s="31"/>
      <c r="E220" s="31"/>
      <c r="F220" s="31"/>
      <c r="G220" s="31"/>
      <c r="H220" s="31"/>
      <c r="I220" s="31"/>
      <c r="J220" s="31"/>
      <c r="K220" s="19"/>
      <c r="L220" s="19"/>
      <c r="M220" s="19"/>
      <c r="N220" s="31"/>
      <c r="O220" s="31"/>
      <c r="P220" s="19"/>
      <c r="Q220" s="19"/>
    </row>
    <row r="221" spans="1:17" ht="46.5" customHeight="1" x14ac:dyDescent="0.7">
      <c r="A221" s="19"/>
      <c r="B221" s="19"/>
      <c r="C221" s="19"/>
      <c r="D221" s="31"/>
      <c r="E221" s="31"/>
      <c r="F221" s="31"/>
      <c r="G221" s="31"/>
      <c r="H221" s="31"/>
      <c r="I221" s="31"/>
      <c r="J221" s="31"/>
      <c r="K221" s="19"/>
      <c r="L221" s="19"/>
      <c r="M221" s="19"/>
      <c r="N221" s="31"/>
      <c r="O221" s="31"/>
      <c r="P221" s="19"/>
      <c r="Q221" s="19"/>
    </row>
    <row r="222" spans="1:17" ht="46.5" customHeight="1" x14ac:dyDescent="0.7">
      <c r="A222" s="19"/>
      <c r="B222" s="19"/>
      <c r="C222" s="19"/>
      <c r="D222" s="31"/>
      <c r="E222" s="31"/>
      <c r="F222" s="31"/>
      <c r="G222" s="31"/>
      <c r="H222" s="31"/>
      <c r="I222" s="31"/>
      <c r="J222" s="31"/>
      <c r="K222" s="19"/>
      <c r="L222" s="19"/>
      <c r="M222" s="19"/>
      <c r="N222" s="31"/>
      <c r="O222" s="31"/>
      <c r="P222" s="19"/>
      <c r="Q222" s="19"/>
    </row>
    <row r="223" spans="1:17" ht="46.5" customHeight="1" x14ac:dyDescent="0.7">
      <c r="A223" s="19"/>
      <c r="B223" s="19"/>
      <c r="C223" s="19"/>
      <c r="D223" s="31"/>
      <c r="E223" s="31"/>
      <c r="F223" s="31"/>
      <c r="G223" s="31"/>
      <c r="H223" s="31"/>
      <c r="I223" s="31"/>
      <c r="J223" s="31"/>
      <c r="K223" s="19"/>
      <c r="L223" s="19"/>
      <c r="M223" s="19"/>
      <c r="N223" s="31"/>
      <c r="O223" s="31"/>
      <c r="P223" s="19"/>
      <c r="Q223" s="19"/>
    </row>
    <row r="224" spans="1:17" ht="46.5" customHeight="1" x14ac:dyDescent="0.7">
      <c r="A224" s="19"/>
      <c r="B224" s="19"/>
      <c r="C224" s="19"/>
      <c r="D224" s="31"/>
      <c r="E224" s="31"/>
      <c r="F224" s="31"/>
      <c r="G224" s="31"/>
      <c r="H224" s="31"/>
      <c r="I224" s="31"/>
      <c r="J224" s="31"/>
      <c r="K224" s="19"/>
      <c r="L224" s="19"/>
      <c r="M224" s="19"/>
      <c r="N224" s="31"/>
      <c r="O224" s="31"/>
      <c r="P224" s="19"/>
      <c r="Q224" s="19"/>
    </row>
    <row r="225" spans="1:17" ht="46.5" customHeight="1" x14ac:dyDescent="0.7">
      <c r="A225" s="19"/>
      <c r="B225" s="19"/>
      <c r="C225" s="19"/>
      <c r="D225" s="31"/>
      <c r="E225" s="31"/>
      <c r="F225" s="31"/>
      <c r="G225" s="31"/>
      <c r="H225" s="31"/>
      <c r="I225" s="31"/>
      <c r="J225" s="31"/>
      <c r="K225" s="19"/>
      <c r="L225" s="19"/>
      <c r="M225" s="19"/>
      <c r="N225" s="31"/>
      <c r="O225" s="31"/>
      <c r="P225" s="19"/>
      <c r="Q225" s="19"/>
    </row>
    <row r="226" spans="1:17" ht="46.5" customHeight="1" x14ac:dyDescent="0.7">
      <c r="A226" s="19"/>
      <c r="B226" s="19"/>
      <c r="C226" s="19"/>
      <c r="D226" s="31"/>
      <c r="E226" s="31"/>
      <c r="F226" s="31"/>
      <c r="G226" s="31"/>
      <c r="H226" s="31"/>
      <c r="I226" s="31"/>
      <c r="J226" s="31"/>
      <c r="K226" s="19"/>
      <c r="L226" s="19"/>
      <c r="M226" s="19"/>
      <c r="N226" s="31"/>
      <c r="O226" s="31"/>
      <c r="P226" s="19"/>
      <c r="Q226" s="19"/>
    </row>
    <row r="227" spans="1:17" ht="46.5" customHeight="1" x14ac:dyDescent="0.7">
      <c r="A227" s="19"/>
      <c r="B227" s="19"/>
      <c r="C227" s="19"/>
      <c r="D227" s="31"/>
      <c r="E227" s="31"/>
      <c r="F227" s="31"/>
      <c r="G227" s="31"/>
      <c r="H227" s="31"/>
      <c r="I227" s="31"/>
      <c r="J227" s="31"/>
      <c r="K227" s="19"/>
      <c r="L227" s="19"/>
      <c r="M227" s="19"/>
      <c r="N227" s="31"/>
      <c r="O227" s="31"/>
      <c r="P227" s="19"/>
      <c r="Q227" s="19"/>
    </row>
    <row r="228" spans="1:17" ht="46.5" customHeight="1" x14ac:dyDescent="0.7">
      <c r="A228" s="19"/>
      <c r="B228" s="19"/>
      <c r="C228" s="19"/>
      <c r="D228" s="31"/>
      <c r="E228" s="31"/>
      <c r="F228" s="31"/>
      <c r="G228" s="31"/>
      <c r="H228" s="31"/>
      <c r="I228" s="31"/>
      <c r="J228" s="31"/>
      <c r="K228" s="19"/>
      <c r="L228" s="19"/>
      <c r="M228" s="19"/>
      <c r="N228" s="31"/>
      <c r="O228" s="31"/>
      <c r="P228" s="19"/>
      <c r="Q228" s="19"/>
    </row>
    <row r="229" spans="1:17" ht="46.5" customHeight="1" x14ac:dyDescent="0.7">
      <c r="A229" s="19"/>
      <c r="B229" s="19"/>
      <c r="C229" s="19"/>
      <c r="D229" s="31"/>
      <c r="E229" s="31"/>
      <c r="F229" s="31"/>
      <c r="G229" s="31"/>
      <c r="H229" s="31"/>
      <c r="I229" s="31"/>
      <c r="J229" s="31"/>
      <c r="K229" s="19"/>
      <c r="L229" s="19"/>
      <c r="M229" s="19"/>
      <c r="N229" s="31"/>
      <c r="O229" s="31"/>
      <c r="P229" s="19"/>
      <c r="Q229" s="19"/>
    </row>
    <row r="230" spans="1:17" ht="46.5" customHeight="1" x14ac:dyDescent="0.7">
      <c r="A230" s="19"/>
      <c r="B230" s="19"/>
      <c r="C230" s="19"/>
      <c r="D230" s="31"/>
      <c r="E230" s="31"/>
      <c r="F230" s="31"/>
      <c r="G230" s="31"/>
      <c r="H230" s="31"/>
      <c r="I230" s="31"/>
      <c r="J230" s="31"/>
      <c r="K230" s="19"/>
      <c r="L230" s="19"/>
      <c r="M230" s="19"/>
      <c r="N230" s="31"/>
      <c r="O230" s="31"/>
      <c r="P230" s="19"/>
      <c r="Q230" s="19"/>
    </row>
    <row r="231" spans="1:17" ht="46.5" customHeight="1" x14ac:dyDescent="0.7">
      <c r="A231" s="19"/>
      <c r="B231" s="19"/>
      <c r="C231" s="19"/>
      <c r="D231" s="31"/>
      <c r="E231" s="31"/>
      <c r="F231" s="31"/>
      <c r="G231" s="31"/>
      <c r="H231" s="31"/>
      <c r="I231" s="31"/>
      <c r="J231" s="31"/>
      <c r="K231" s="19"/>
      <c r="L231" s="19"/>
      <c r="M231" s="19"/>
      <c r="N231" s="31"/>
      <c r="O231" s="31"/>
      <c r="P231" s="19"/>
      <c r="Q231" s="19"/>
    </row>
    <row r="232" spans="1:17" ht="46.5" customHeight="1" x14ac:dyDescent="0.7">
      <c r="A232" s="19"/>
      <c r="B232" s="19"/>
      <c r="C232" s="19"/>
      <c r="D232" s="31"/>
      <c r="E232" s="31"/>
      <c r="F232" s="31"/>
      <c r="G232" s="31"/>
      <c r="H232" s="31"/>
      <c r="I232" s="31"/>
      <c r="J232" s="31"/>
      <c r="K232" s="19"/>
      <c r="L232" s="19"/>
      <c r="M232" s="19"/>
      <c r="N232" s="31"/>
      <c r="O232" s="31"/>
      <c r="P232" s="19"/>
      <c r="Q232" s="19"/>
    </row>
    <row r="233" spans="1:17" ht="46.5" customHeight="1" x14ac:dyDescent="0.7">
      <c r="A233" s="19"/>
      <c r="B233" s="19"/>
      <c r="C233" s="19"/>
      <c r="D233" s="31"/>
      <c r="E233" s="31"/>
      <c r="F233" s="31"/>
      <c r="G233" s="31"/>
      <c r="H233" s="31"/>
      <c r="I233" s="31"/>
      <c r="J233" s="31"/>
      <c r="K233" s="19"/>
      <c r="L233" s="19"/>
      <c r="M233" s="19"/>
      <c r="N233" s="31"/>
      <c r="O233" s="31"/>
      <c r="P233" s="19"/>
      <c r="Q233" s="19"/>
    </row>
    <row r="234" spans="1:17" ht="46.5" customHeight="1" x14ac:dyDescent="0.7">
      <c r="A234" s="19"/>
      <c r="B234" s="19"/>
      <c r="C234" s="19"/>
      <c r="D234" s="31"/>
      <c r="E234" s="31"/>
      <c r="F234" s="31"/>
      <c r="G234" s="31"/>
      <c r="H234" s="31"/>
      <c r="I234" s="31"/>
      <c r="J234" s="31"/>
      <c r="K234" s="19"/>
      <c r="L234" s="19"/>
      <c r="M234" s="19"/>
      <c r="N234" s="31"/>
      <c r="O234" s="31"/>
      <c r="P234" s="19"/>
      <c r="Q234" s="19"/>
    </row>
    <row r="235" spans="1:17" ht="46.5" customHeight="1" x14ac:dyDescent="0.7">
      <c r="A235" s="19"/>
      <c r="B235" s="19"/>
      <c r="C235" s="19"/>
      <c r="D235" s="31"/>
      <c r="E235" s="31"/>
      <c r="F235" s="31"/>
      <c r="G235" s="31"/>
      <c r="H235" s="31"/>
      <c r="I235" s="31"/>
      <c r="J235" s="31"/>
      <c r="K235" s="19"/>
      <c r="L235" s="19"/>
      <c r="M235" s="19"/>
      <c r="N235" s="31"/>
      <c r="O235" s="31"/>
      <c r="P235" s="19"/>
      <c r="Q235" s="19"/>
    </row>
    <row r="236" spans="1:17" ht="46.5" customHeight="1" x14ac:dyDescent="0.7">
      <c r="A236" s="19"/>
      <c r="B236" s="19"/>
      <c r="C236" s="19"/>
      <c r="D236" s="31"/>
      <c r="E236" s="31"/>
      <c r="F236" s="31"/>
      <c r="G236" s="31"/>
      <c r="H236" s="31"/>
      <c r="I236" s="31"/>
      <c r="J236" s="31"/>
      <c r="K236" s="19"/>
      <c r="L236" s="19"/>
      <c r="M236" s="19"/>
      <c r="N236" s="31"/>
      <c r="O236" s="31"/>
      <c r="P236" s="19"/>
      <c r="Q236" s="19"/>
    </row>
    <row r="237" spans="1:17" ht="46.5" customHeight="1" x14ac:dyDescent="0.7">
      <c r="A237" s="19"/>
      <c r="B237" s="19"/>
      <c r="C237" s="19"/>
      <c r="D237" s="31"/>
      <c r="E237" s="31"/>
      <c r="F237" s="31"/>
      <c r="G237" s="31"/>
      <c r="H237" s="31"/>
      <c r="I237" s="31"/>
      <c r="J237" s="31"/>
      <c r="K237" s="19"/>
      <c r="L237" s="19"/>
      <c r="M237" s="19"/>
      <c r="N237" s="31"/>
      <c r="O237" s="31"/>
      <c r="P237" s="19"/>
      <c r="Q237" s="19"/>
    </row>
    <row r="238" spans="1:17" ht="46.5" customHeight="1" x14ac:dyDescent="0.7">
      <c r="A238" s="19"/>
      <c r="B238" s="19"/>
      <c r="C238" s="19"/>
      <c r="D238" s="31"/>
      <c r="E238" s="31"/>
      <c r="F238" s="31"/>
      <c r="G238" s="31"/>
      <c r="H238" s="31"/>
      <c r="I238" s="31"/>
      <c r="J238" s="31"/>
      <c r="K238" s="19"/>
      <c r="L238" s="19"/>
      <c r="M238" s="19"/>
      <c r="N238" s="31"/>
      <c r="O238" s="31"/>
      <c r="P238" s="19"/>
      <c r="Q238" s="19"/>
    </row>
    <row r="239" spans="1:17" ht="46.5" customHeight="1" x14ac:dyDescent="0.7">
      <c r="A239" s="19"/>
      <c r="B239" s="19"/>
      <c r="C239" s="19"/>
      <c r="D239" s="31"/>
      <c r="E239" s="31"/>
      <c r="F239" s="31"/>
      <c r="G239" s="31"/>
      <c r="H239" s="31"/>
      <c r="I239" s="31"/>
      <c r="J239" s="31"/>
      <c r="K239" s="19"/>
      <c r="L239" s="19"/>
      <c r="M239" s="19"/>
      <c r="N239" s="31"/>
      <c r="O239" s="31"/>
      <c r="P239" s="19"/>
      <c r="Q239" s="19"/>
    </row>
    <row r="240" spans="1:17" ht="46.5" customHeight="1" x14ac:dyDescent="0.7">
      <c r="A240" s="19"/>
      <c r="B240" s="19"/>
      <c r="C240" s="19"/>
      <c r="D240" s="31"/>
      <c r="E240" s="31"/>
      <c r="F240" s="31"/>
      <c r="G240" s="31"/>
      <c r="H240" s="31"/>
      <c r="I240" s="31"/>
      <c r="J240" s="31"/>
      <c r="K240" s="19"/>
      <c r="L240" s="19"/>
      <c r="M240" s="19"/>
      <c r="N240" s="31"/>
      <c r="O240" s="31"/>
      <c r="P240" s="19"/>
      <c r="Q240" s="19"/>
    </row>
    <row r="241" spans="1:17" ht="46.5" customHeight="1" x14ac:dyDescent="0.7">
      <c r="A241" s="19"/>
      <c r="B241" s="19"/>
      <c r="C241" s="19"/>
      <c r="D241" s="31"/>
      <c r="E241" s="31"/>
      <c r="F241" s="31"/>
      <c r="G241" s="31"/>
      <c r="H241" s="31"/>
      <c r="I241" s="31"/>
      <c r="J241" s="31"/>
      <c r="K241" s="19"/>
      <c r="L241" s="19"/>
      <c r="M241" s="19"/>
      <c r="N241" s="31"/>
      <c r="O241" s="31"/>
      <c r="P241" s="19"/>
      <c r="Q241" s="19"/>
    </row>
    <row r="242" spans="1:17" ht="46.5" customHeight="1" x14ac:dyDescent="0.7">
      <c r="A242" s="19"/>
      <c r="B242" s="19"/>
      <c r="C242" s="19"/>
      <c r="D242" s="31"/>
      <c r="E242" s="31"/>
      <c r="F242" s="31"/>
      <c r="G242" s="31"/>
      <c r="H242" s="31"/>
      <c r="I242" s="31"/>
      <c r="J242" s="31"/>
      <c r="K242" s="19"/>
      <c r="L242" s="19"/>
      <c r="M242" s="19"/>
      <c r="N242" s="31"/>
      <c r="O242" s="31"/>
      <c r="P242" s="19"/>
      <c r="Q242" s="19"/>
    </row>
    <row r="243" spans="1:17" ht="46.5" customHeight="1" x14ac:dyDescent="0.7">
      <c r="A243" s="19"/>
      <c r="B243" s="19"/>
      <c r="C243" s="19"/>
      <c r="D243" s="31"/>
      <c r="E243" s="31"/>
      <c r="F243" s="31"/>
      <c r="G243" s="31"/>
      <c r="H243" s="31"/>
      <c r="I243" s="31"/>
      <c r="J243" s="31"/>
      <c r="K243" s="19"/>
      <c r="L243" s="19"/>
      <c r="M243" s="19"/>
      <c r="N243" s="31"/>
      <c r="O243" s="31"/>
      <c r="P243" s="19"/>
      <c r="Q243" s="19"/>
    </row>
    <row r="244" spans="1:17" ht="46.5" customHeight="1" x14ac:dyDescent="0.7">
      <c r="A244" s="19"/>
      <c r="B244" s="19"/>
      <c r="C244" s="19"/>
      <c r="D244" s="31"/>
      <c r="E244" s="31"/>
      <c r="F244" s="31"/>
      <c r="G244" s="31"/>
      <c r="H244" s="31"/>
      <c r="I244" s="31"/>
      <c r="J244" s="31"/>
      <c r="K244" s="19"/>
      <c r="L244" s="19"/>
      <c r="M244" s="19"/>
      <c r="N244" s="31"/>
      <c r="O244" s="31"/>
      <c r="P244" s="19"/>
      <c r="Q244" s="19"/>
    </row>
    <row r="245" spans="1:17" ht="46.5" customHeight="1" x14ac:dyDescent="0.7">
      <c r="A245" s="19"/>
      <c r="B245" s="19"/>
      <c r="C245" s="19"/>
      <c r="D245" s="31"/>
      <c r="E245" s="31"/>
      <c r="F245" s="31"/>
      <c r="G245" s="31"/>
      <c r="H245" s="31"/>
      <c r="I245" s="31"/>
      <c r="J245" s="31"/>
      <c r="K245" s="19"/>
      <c r="L245" s="19"/>
      <c r="M245" s="19"/>
      <c r="N245" s="31"/>
      <c r="O245" s="31"/>
      <c r="P245" s="19"/>
      <c r="Q245" s="19"/>
    </row>
    <row r="246" spans="1:17" ht="46.5" customHeight="1" x14ac:dyDescent="0.7">
      <c r="A246" s="19"/>
      <c r="B246" s="19"/>
      <c r="C246" s="19"/>
      <c r="D246" s="31"/>
      <c r="E246" s="31"/>
      <c r="F246" s="31"/>
      <c r="G246" s="31"/>
      <c r="H246" s="31"/>
      <c r="I246" s="31"/>
      <c r="J246" s="31"/>
      <c r="K246" s="19"/>
      <c r="L246" s="19"/>
      <c r="M246" s="19"/>
      <c r="N246" s="31"/>
      <c r="O246" s="31"/>
      <c r="P246" s="19"/>
      <c r="Q246" s="19"/>
    </row>
    <row r="247" spans="1:17" ht="46.5" customHeight="1" x14ac:dyDescent="0.7">
      <c r="A247" s="19"/>
      <c r="B247" s="19"/>
      <c r="C247" s="19"/>
      <c r="D247" s="31"/>
      <c r="E247" s="31"/>
      <c r="F247" s="31"/>
      <c r="G247" s="31"/>
      <c r="H247" s="31"/>
      <c r="I247" s="31"/>
      <c r="J247" s="31"/>
      <c r="K247" s="19"/>
      <c r="L247" s="19"/>
      <c r="M247" s="19"/>
      <c r="N247" s="31"/>
      <c r="O247" s="31"/>
      <c r="P247" s="19"/>
      <c r="Q247" s="19"/>
    </row>
    <row r="248" spans="1:17" ht="46.5" customHeight="1" x14ac:dyDescent="0.7">
      <c r="A248" s="19"/>
      <c r="B248" s="19"/>
      <c r="C248" s="19"/>
      <c r="D248" s="31"/>
      <c r="E248" s="31"/>
      <c r="F248" s="31"/>
      <c r="G248" s="31"/>
      <c r="H248" s="31"/>
      <c r="I248" s="31"/>
      <c r="J248" s="31"/>
      <c r="K248" s="19"/>
      <c r="L248" s="19"/>
      <c r="M248" s="19"/>
      <c r="N248" s="31"/>
      <c r="O248" s="31"/>
      <c r="P248" s="19"/>
      <c r="Q248" s="19"/>
    </row>
    <row r="249" spans="1:17" ht="46.5" customHeight="1" x14ac:dyDescent="0.7">
      <c r="A249" s="19"/>
      <c r="B249" s="19"/>
      <c r="C249" s="19"/>
      <c r="D249" s="31"/>
      <c r="E249" s="31"/>
      <c r="F249" s="31"/>
      <c r="G249" s="31"/>
      <c r="H249" s="31"/>
      <c r="I249" s="31"/>
      <c r="J249" s="31"/>
      <c r="K249" s="19"/>
      <c r="L249" s="19"/>
      <c r="M249" s="19"/>
      <c r="N249" s="31"/>
      <c r="O249" s="31"/>
      <c r="P249" s="19"/>
      <c r="Q249" s="19"/>
    </row>
    <row r="250" spans="1:17" ht="46.5" customHeight="1" x14ac:dyDescent="0.7">
      <c r="A250" s="19"/>
      <c r="B250" s="19"/>
      <c r="C250" s="19"/>
      <c r="D250" s="31"/>
      <c r="E250" s="31"/>
      <c r="F250" s="31"/>
      <c r="G250" s="31"/>
      <c r="H250" s="31"/>
      <c r="I250" s="31"/>
      <c r="J250" s="31"/>
      <c r="K250" s="19"/>
      <c r="L250" s="19"/>
      <c r="M250" s="19"/>
      <c r="N250" s="31"/>
      <c r="O250" s="31"/>
      <c r="P250" s="19"/>
      <c r="Q250" s="19"/>
    </row>
    <row r="251" spans="1:17" ht="46.5" customHeight="1" x14ac:dyDescent="0.7">
      <c r="A251" s="19"/>
      <c r="B251" s="19"/>
      <c r="C251" s="19"/>
      <c r="D251" s="31"/>
      <c r="E251" s="31"/>
      <c r="F251" s="31"/>
      <c r="G251" s="31"/>
      <c r="H251" s="31"/>
      <c r="I251" s="31"/>
      <c r="J251" s="31"/>
      <c r="K251" s="19"/>
      <c r="L251" s="19"/>
      <c r="M251" s="19"/>
      <c r="N251" s="31"/>
      <c r="O251" s="31"/>
      <c r="P251" s="19"/>
      <c r="Q251" s="19"/>
    </row>
    <row r="252" spans="1:17" ht="46.5" customHeight="1" x14ac:dyDescent="0.7">
      <c r="A252" s="19"/>
      <c r="B252" s="19"/>
      <c r="C252" s="19"/>
      <c r="D252" s="31"/>
      <c r="E252" s="31"/>
      <c r="F252" s="31"/>
      <c r="G252" s="31"/>
      <c r="H252" s="31"/>
      <c r="I252" s="31"/>
      <c r="J252" s="31"/>
      <c r="K252" s="19"/>
      <c r="L252" s="19"/>
      <c r="M252" s="19"/>
      <c r="N252" s="31"/>
      <c r="O252" s="31"/>
      <c r="P252" s="19"/>
      <c r="Q252" s="19"/>
    </row>
    <row r="253" spans="1:17" ht="46.5" customHeight="1" x14ac:dyDescent="0.7">
      <c r="A253" s="19"/>
      <c r="B253" s="19"/>
      <c r="C253" s="19"/>
      <c r="D253" s="31"/>
      <c r="E253" s="31"/>
      <c r="F253" s="31"/>
      <c r="G253" s="31"/>
      <c r="H253" s="31"/>
      <c r="I253" s="31"/>
      <c r="J253" s="31"/>
      <c r="K253" s="19"/>
      <c r="L253" s="19"/>
      <c r="M253" s="19"/>
      <c r="N253" s="31"/>
      <c r="O253" s="31"/>
      <c r="P253" s="19"/>
      <c r="Q253" s="19"/>
    </row>
    <row r="254" spans="1:17" ht="46.5" customHeight="1" x14ac:dyDescent="0.7">
      <c r="A254" s="19"/>
      <c r="B254" s="19"/>
      <c r="C254" s="19"/>
      <c r="D254" s="31"/>
      <c r="E254" s="31"/>
      <c r="F254" s="31"/>
      <c r="G254" s="31"/>
      <c r="H254" s="31"/>
      <c r="I254" s="31"/>
      <c r="J254" s="31"/>
      <c r="K254" s="19"/>
      <c r="L254" s="19"/>
      <c r="M254" s="19"/>
      <c r="N254" s="31"/>
      <c r="O254" s="31"/>
      <c r="P254" s="19"/>
      <c r="Q254" s="19"/>
    </row>
    <row r="255" spans="1:17" ht="46.5" customHeight="1" x14ac:dyDescent="0.7">
      <c r="A255" s="19"/>
      <c r="B255" s="19"/>
      <c r="C255" s="19"/>
      <c r="D255" s="31"/>
      <c r="E255" s="31"/>
      <c r="F255" s="31"/>
      <c r="G255" s="31"/>
      <c r="H255" s="31"/>
      <c r="I255" s="31"/>
      <c r="J255" s="31"/>
      <c r="K255" s="19"/>
      <c r="L255" s="19"/>
      <c r="M255" s="19"/>
      <c r="N255" s="31"/>
      <c r="O255" s="31"/>
      <c r="P255" s="19"/>
      <c r="Q255" s="19"/>
    </row>
    <row r="256" spans="1:17" ht="46.5" customHeight="1" x14ac:dyDescent="0.7">
      <c r="A256" s="19"/>
      <c r="B256" s="19"/>
      <c r="C256" s="19"/>
      <c r="D256" s="31"/>
      <c r="E256" s="31"/>
      <c r="F256" s="31"/>
      <c r="G256" s="31"/>
      <c r="H256" s="31"/>
      <c r="I256" s="31"/>
      <c r="J256" s="31"/>
      <c r="K256" s="19"/>
      <c r="L256" s="19"/>
      <c r="M256" s="19"/>
      <c r="N256" s="31"/>
      <c r="O256" s="31"/>
      <c r="P256" s="19"/>
      <c r="Q256" s="19"/>
    </row>
    <row r="257" spans="1:17" ht="46.5" customHeight="1" x14ac:dyDescent="0.7">
      <c r="A257" s="19"/>
      <c r="B257" s="19"/>
      <c r="C257" s="19"/>
      <c r="D257" s="31"/>
      <c r="E257" s="31"/>
      <c r="F257" s="31"/>
      <c r="G257" s="31"/>
      <c r="H257" s="31"/>
      <c r="I257" s="31"/>
      <c r="J257" s="31"/>
      <c r="K257" s="19"/>
      <c r="L257" s="19"/>
      <c r="M257" s="19"/>
      <c r="N257" s="31"/>
      <c r="O257" s="31"/>
      <c r="P257" s="19"/>
      <c r="Q257" s="19"/>
    </row>
    <row r="258" spans="1:17" ht="46.5" customHeight="1" x14ac:dyDescent="0.7">
      <c r="A258" s="19"/>
      <c r="B258" s="19"/>
      <c r="C258" s="19"/>
      <c r="D258" s="31"/>
      <c r="E258" s="31"/>
      <c r="F258" s="31"/>
      <c r="G258" s="31"/>
      <c r="H258" s="31"/>
      <c r="I258" s="31"/>
      <c r="J258" s="31"/>
      <c r="K258" s="19"/>
      <c r="L258" s="19"/>
      <c r="M258" s="19"/>
      <c r="N258" s="31"/>
      <c r="O258" s="31"/>
      <c r="P258" s="19"/>
      <c r="Q258" s="19"/>
    </row>
    <row r="259" spans="1:17" ht="46.5" customHeight="1" x14ac:dyDescent="0.7">
      <c r="A259" s="19"/>
      <c r="B259" s="19"/>
      <c r="C259" s="19"/>
      <c r="D259" s="31"/>
      <c r="E259" s="31"/>
      <c r="F259" s="31"/>
      <c r="G259" s="31"/>
      <c r="H259" s="31"/>
      <c r="I259" s="31"/>
      <c r="J259" s="31"/>
      <c r="K259" s="19"/>
      <c r="L259" s="19"/>
      <c r="M259" s="19"/>
      <c r="N259" s="31"/>
      <c r="O259" s="31"/>
      <c r="P259" s="19"/>
      <c r="Q259" s="19"/>
    </row>
    <row r="260" spans="1:17" ht="46.5" customHeight="1" x14ac:dyDescent="0.7">
      <c r="A260" s="19"/>
      <c r="B260" s="19"/>
      <c r="C260" s="19"/>
      <c r="D260" s="31"/>
      <c r="E260" s="31"/>
      <c r="F260" s="31"/>
      <c r="G260" s="31"/>
      <c r="H260" s="31"/>
      <c r="I260" s="31"/>
      <c r="J260" s="31"/>
      <c r="K260" s="19"/>
      <c r="L260" s="19"/>
      <c r="M260" s="19"/>
      <c r="N260" s="31"/>
      <c r="O260" s="31"/>
      <c r="P260" s="19"/>
      <c r="Q260" s="19"/>
    </row>
    <row r="261" spans="1:17" ht="46.5" customHeight="1" x14ac:dyDescent="0.7">
      <c r="A261" s="19"/>
      <c r="B261" s="19"/>
      <c r="C261" s="19"/>
      <c r="D261" s="31"/>
      <c r="E261" s="31"/>
      <c r="F261" s="31"/>
      <c r="G261" s="31"/>
      <c r="H261" s="31"/>
      <c r="I261" s="31"/>
      <c r="J261" s="31"/>
      <c r="K261" s="19"/>
      <c r="L261" s="19"/>
      <c r="M261" s="19"/>
      <c r="N261" s="31"/>
      <c r="O261" s="31"/>
      <c r="P261" s="19"/>
      <c r="Q261" s="19"/>
    </row>
    <row r="262" spans="1:17" ht="46.5" customHeight="1" x14ac:dyDescent="0.7">
      <c r="A262" s="19"/>
      <c r="B262" s="19"/>
      <c r="C262" s="19"/>
      <c r="D262" s="31"/>
      <c r="E262" s="31"/>
      <c r="F262" s="31"/>
      <c r="G262" s="31"/>
      <c r="H262" s="31"/>
      <c r="I262" s="31"/>
      <c r="J262" s="31"/>
      <c r="K262" s="19"/>
      <c r="L262" s="19"/>
      <c r="M262" s="19"/>
      <c r="N262" s="31"/>
      <c r="O262" s="31"/>
      <c r="P262" s="19"/>
      <c r="Q262" s="19"/>
    </row>
    <row r="263" spans="1:17" ht="46.5" customHeight="1" x14ac:dyDescent="0.7">
      <c r="A263" s="19"/>
      <c r="B263" s="19"/>
      <c r="C263" s="19"/>
      <c r="D263" s="31"/>
      <c r="E263" s="31"/>
      <c r="F263" s="31"/>
      <c r="G263" s="31"/>
      <c r="H263" s="31"/>
      <c r="I263" s="31"/>
      <c r="J263" s="31"/>
      <c r="K263" s="19"/>
      <c r="L263" s="19"/>
      <c r="M263" s="19"/>
      <c r="N263" s="31"/>
      <c r="O263" s="31"/>
      <c r="P263" s="19"/>
      <c r="Q263" s="19"/>
    </row>
    <row r="264" spans="1:17" ht="46.5" customHeight="1" x14ac:dyDescent="0.7">
      <c r="A264" s="19"/>
      <c r="B264" s="19"/>
      <c r="C264" s="19"/>
      <c r="D264" s="31"/>
      <c r="E264" s="31"/>
      <c r="F264" s="31"/>
      <c r="G264" s="31"/>
      <c r="H264" s="31"/>
      <c r="I264" s="31"/>
      <c r="J264" s="31"/>
      <c r="K264" s="19"/>
      <c r="L264" s="19"/>
      <c r="M264" s="19"/>
      <c r="N264" s="31"/>
      <c r="O264" s="31"/>
      <c r="P264" s="19"/>
      <c r="Q264" s="19"/>
    </row>
    <row r="265" spans="1:17" ht="46.5" customHeight="1" x14ac:dyDescent="0.7">
      <c r="A265" s="19"/>
      <c r="B265" s="19"/>
      <c r="C265" s="19"/>
      <c r="D265" s="31"/>
      <c r="E265" s="31"/>
      <c r="F265" s="31"/>
      <c r="G265" s="31"/>
      <c r="H265" s="31"/>
      <c r="I265" s="31"/>
      <c r="J265" s="31"/>
      <c r="K265" s="19"/>
      <c r="L265" s="19"/>
      <c r="M265" s="19"/>
      <c r="N265" s="31"/>
      <c r="O265" s="31"/>
      <c r="P265" s="19"/>
      <c r="Q265" s="19"/>
    </row>
    <row r="266" spans="1:17" ht="46.5" customHeight="1" x14ac:dyDescent="0.7">
      <c r="A266" s="19"/>
      <c r="B266" s="19"/>
      <c r="C266" s="19"/>
      <c r="D266" s="31"/>
      <c r="E266" s="31"/>
      <c r="F266" s="31"/>
      <c r="G266" s="31"/>
      <c r="H266" s="31"/>
      <c r="I266" s="31"/>
      <c r="J266" s="31"/>
      <c r="K266" s="19"/>
      <c r="L266" s="19"/>
      <c r="M266" s="19"/>
      <c r="N266" s="31"/>
      <c r="O266" s="31"/>
      <c r="P266" s="19"/>
      <c r="Q266" s="19"/>
    </row>
    <row r="267" spans="1:17" ht="46.5" customHeight="1" x14ac:dyDescent="0.7">
      <c r="A267" s="19"/>
      <c r="B267" s="19"/>
      <c r="C267" s="19"/>
      <c r="D267" s="31"/>
      <c r="E267" s="31"/>
      <c r="F267" s="31"/>
      <c r="G267" s="31"/>
      <c r="H267" s="31"/>
      <c r="I267" s="31"/>
      <c r="J267" s="31"/>
      <c r="K267" s="19"/>
      <c r="L267" s="19"/>
      <c r="M267" s="19"/>
      <c r="N267" s="31"/>
      <c r="O267" s="31"/>
      <c r="P267" s="19"/>
      <c r="Q267" s="19"/>
    </row>
    <row r="268" spans="1:17" ht="46.5" customHeight="1" x14ac:dyDescent="0.7">
      <c r="A268" s="19"/>
      <c r="B268" s="19"/>
      <c r="C268" s="19"/>
      <c r="D268" s="31"/>
      <c r="E268" s="31"/>
      <c r="F268" s="31"/>
      <c r="G268" s="31"/>
      <c r="H268" s="31"/>
      <c r="I268" s="31"/>
      <c r="J268" s="31"/>
      <c r="K268" s="19"/>
      <c r="L268" s="19"/>
      <c r="M268" s="19"/>
      <c r="N268" s="31"/>
      <c r="O268" s="31"/>
      <c r="P268" s="19"/>
      <c r="Q268" s="19"/>
    </row>
    <row r="269" spans="1:17" ht="46.5" customHeight="1" x14ac:dyDescent="0.7">
      <c r="A269" s="19"/>
      <c r="B269" s="19"/>
      <c r="C269" s="19"/>
      <c r="D269" s="31"/>
      <c r="E269" s="31"/>
      <c r="F269" s="31"/>
      <c r="G269" s="31"/>
      <c r="H269" s="31"/>
      <c r="I269" s="31"/>
      <c r="J269" s="31"/>
      <c r="K269" s="19"/>
      <c r="L269" s="19"/>
      <c r="M269" s="19"/>
      <c r="N269" s="31"/>
      <c r="O269" s="31"/>
      <c r="P269" s="19"/>
      <c r="Q269" s="19"/>
    </row>
    <row r="270" spans="1:17" ht="46.5" customHeight="1" x14ac:dyDescent="0.7">
      <c r="A270" s="19"/>
      <c r="B270" s="19"/>
      <c r="C270" s="19"/>
      <c r="D270" s="31"/>
      <c r="E270" s="31"/>
      <c r="F270" s="31"/>
      <c r="G270" s="31"/>
      <c r="H270" s="31"/>
      <c r="I270" s="31"/>
      <c r="J270" s="31"/>
      <c r="K270" s="19"/>
      <c r="L270" s="19"/>
      <c r="M270" s="19"/>
      <c r="N270" s="31"/>
      <c r="O270" s="31"/>
      <c r="P270" s="19"/>
      <c r="Q270" s="19"/>
    </row>
    <row r="271" spans="1:17" ht="46.5" customHeight="1" x14ac:dyDescent="0.7">
      <c r="A271" s="19"/>
      <c r="B271" s="19"/>
      <c r="C271" s="19"/>
      <c r="D271" s="31"/>
      <c r="E271" s="31"/>
      <c r="F271" s="31"/>
      <c r="G271" s="31"/>
      <c r="H271" s="31"/>
      <c r="I271" s="31"/>
      <c r="J271" s="31"/>
      <c r="K271" s="19"/>
      <c r="L271" s="19"/>
      <c r="M271" s="19"/>
      <c r="N271" s="31"/>
      <c r="O271" s="31"/>
      <c r="P271" s="19"/>
      <c r="Q271" s="19"/>
    </row>
    <row r="272" spans="1:17" ht="46.5" customHeight="1" x14ac:dyDescent="0.7">
      <c r="A272" s="19"/>
      <c r="B272" s="19"/>
      <c r="C272" s="19"/>
      <c r="D272" s="31"/>
      <c r="E272" s="31"/>
      <c r="F272" s="31"/>
      <c r="G272" s="31"/>
      <c r="H272" s="31"/>
      <c r="I272" s="31"/>
      <c r="J272" s="31"/>
      <c r="K272" s="19"/>
      <c r="L272" s="19"/>
      <c r="M272" s="19"/>
      <c r="N272" s="31"/>
      <c r="O272" s="31"/>
      <c r="P272" s="19"/>
      <c r="Q272" s="19"/>
    </row>
    <row r="273" spans="1:17" ht="46.5" customHeight="1" x14ac:dyDescent="0.7">
      <c r="A273" s="19"/>
      <c r="B273" s="19"/>
      <c r="C273" s="19"/>
      <c r="D273" s="31"/>
      <c r="E273" s="31"/>
      <c r="F273" s="31"/>
      <c r="G273" s="31"/>
      <c r="H273" s="31"/>
      <c r="I273" s="31"/>
      <c r="J273" s="31"/>
      <c r="K273" s="19"/>
      <c r="L273" s="19"/>
      <c r="M273" s="19"/>
      <c r="N273" s="31"/>
      <c r="O273" s="31"/>
      <c r="P273" s="19"/>
      <c r="Q273" s="19"/>
    </row>
    <row r="274" spans="1:17" ht="46.5" customHeight="1" x14ac:dyDescent="0.7">
      <c r="A274" s="19"/>
      <c r="B274" s="19"/>
      <c r="C274" s="19"/>
      <c r="D274" s="31"/>
      <c r="E274" s="31"/>
      <c r="F274" s="31"/>
      <c r="G274" s="31"/>
      <c r="H274" s="31"/>
      <c r="I274" s="31"/>
      <c r="J274" s="31"/>
      <c r="K274" s="19"/>
      <c r="L274" s="19"/>
      <c r="M274" s="19"/>
      <c r="N274" s="31"/>
      <c r="O274" s="31"/>
      <c r="P274" s="19"/>
      <c r="Q274" s="19"/>
    </row>
    <row r="275" spans="1:17" ht="46.5" customHeight="1" x14ac:dyDescent="0.7">
      <c r="A275" s="19"/>
      <c r="B275" s="19"/>
      <c r="C275" s="19"/>
      <c r="D275" s="31"/>
      <c r="E275" s="31"/>
      <c r="F275" s="31"/>
      <c r="G275" s="31"/>
      <c r="H275" s="31"/>
      <c r="I275" s="31"/>
      <c r="J275" s="31"/>
      <c r="K275" s="19"/>
      <c r="L275" s="19"/>
      <c r="M275" s="19"/>
      <c r="N275" s="31"/>
      <c r="O275" s="31"/>
      <c r="P275" s="19"/>
      <c r="Q275" s="19"/>
    </row>
    <row r="276" spans="1:17" ht="46.5" customHeight="1" x14ac:dyDescent="0.7">
      <c r="A276" s="19"/>
      <c r="B276" s="19"/>
      <c r="C276" s="19"/>
      <c r="D276" s="31"/>
      <c r="E276" s="31"/>
      <c r="F276" s="31"/>
      <c r="G276" s="31"/>
      <c r="H276" s="31"/>
      <c r="I276" s="31"/>
      <c r="J276" s="31"/>
      <c r="K276" s="19"/>
      <c r="L276" s="19"/>
      <c r="M276" s="19"/>
      <c r="N276" s="31"/>
      <c r="O276" s="31"/>
      <c r="P276" s="19"/>
      <c r="Q276" s="19"/>
    </row>
    <row r="277" spans="1:17" ht="46.5" customHeight="1" x14ac:dyDescent="0.7">
      <c r="A277" s="19"/>
      <c r="B277" s="19"/>
      <c r="C277" s="19"/>
      <c r="D277" s="31"/>
      <c r="E277" s="31"/>
      <c r="F277" s="31"/>
      <c r="G277" s="31"/>
      <c r="H277" s="31"/>
      <c r="I277" s="31"/>
      <c r="J277" s="31"/>
      <c r="K277" s="19"/>
      <c r="L277" s="19"/>
      <c r="M277" s="19"/>
      <c r="N277" s="31"/>
      <c r="O277" s="31"/>
      <c r="P277" s="19"/>
      <c r="Q277" s="19"/>
    </row>
    <row r="278" spans="1:17" ht="46.5" customHeight="1" x14ac:dyDescent="0.7">
      <c r="A278" s="19"/>
      <c r="B278" s="19"/>
      <c r="C278" s="19"/>
      <c r="D278" s="31"/>
      <c r="E278" s="31"/>
      <c r="F278" s="31"/>
      <c r="G278" s="31"/>
      <c r="H278" s="31"/>
      <c r="I278" s="31"/>
      <c r="J278" s="31"/>
      <c r="K278" s="19"/>
      <c r="L278" s="19"/>
      <c r="M278" s="19"/>
      <c r="N278" s="31"/>
      <c r="O278" s="31"/>
      <c r="P278" s="19"/>
      <c r="Q278" s="19"/>
    </row>
    <row r="279" spans="1:17" ht="46.5" customHeight="1" x14ac:dyDescent="0.7">
      <c r="A279" s="19"/>
      <c r="B279" s="19"/>
      <c r="C279" s="19"/>
      <c r="D279" s="31"/>
      <c r="E279" s="31"/>
      <c r="F279" s="31"/>
      <c r="G279" s="31"/>
      <c r="H279" s="31"/>
      <c r="I279" s="31"/>
      <c r="J279" s="31"/>
      <c r="K279" s="19"/>
      <c r="L279" s="19"/>
      <c r="M279" s="19"/>
      <c r="N279" s="31"/>
      <c r="O279" s="31"/>
      <c r="P279" s="19"/>
      <c r="Q279" s="19"/>
    </row>
    <row r="280" spans="1:17" ht="46.5" customHeight="1" x14ac:dyDescent="0.7">
      <c r="A280" s="19"/>
      <c r="B280" s="19"/>
      <c r="C280" s="19"/>
      <c r="D280" s="31"/>
      <c r="E280" s="31"/>
      <c r="F280" s="31"/>
      <c r="G280" s="31"/>
      <c r="H280" s="31"/>
      <c r="I280" s="31"/>
      <c r="J280" s="31"/>
      <c r="K280" s="19"/>
      <c r="L280" s="19"/>
      <c r="M280" s="19"/>
      <c r="N280" s="31"/>
      <c r="O280" s="31"/>
      <c r="P280" s="19"/>
      <c r="Q280" s="19"/>
    </row>
    <row r="281" spans="1:17" ht="46.5" customHeight="1" x14ac:dyDescent="0.7">
      <c r="A281" s="19"/>
      <c r="B281" s="19"/>
      <c r="C281" s="19"/>
      <c r="D281" s="31"/>
      <c r="E281" s="31"/>
      <c r="F281" s="31"/>
      <c r="G281" s="31"/>
      <c r="H281" s="31"/>
      <c r="I281" s="31"/>
      <c r="J281" s="31"/>
      <c r="K281" s="19"/>
      <c r="L281" s="19"/>
      <c r="M281" s="19"/>
      <c r="N281" s="31"/>
      <c r="O281" s="31"/>
      <c r="P281" s="19"/>
      <c r="Q281" s="19"/>
    </row>
    <row r="282" spans="1:17" ht="46.5" customHeight="1" x14ac:dyDescent="0.7">
      <c r="A282" s="19"/>
      <c r="B282" s="19"/>
      <c r="C282" s="19"/>
      <c r="D282" s="31"/>
      <c r="E282" s="31"/>
      <c r="F282" s="31"/>
      <c r="G282" s="31"/>
      <c r="H282" s="31"/>
      <c r="I282" s="31"/>
      <c r="J282" s="31"/>
      <c r="K282" s="19"/>
      <c r="L282" s="19"/>
      <c r="M282" s="19"/>
      <c r="N282" s="31"/>
      <c r="O282" s="31"/>
      <c r="P282" s="19"/>
      <c r="Q282" s="19"/>
    </row>
    <row r="283" spans="1:17" ht="46.5" customHeight="1" x14ac:dyDescent="0.7">
      <c r="A283" s="19"/>
      <c r="B283" s="19"/>
      <c r="C283" s="19"/>
      <c r="D283" s="31"/>
      <c r="E283" s="31"/>
      <c r="F283" s="31"/>
      <c r="G283" s="31"/>
      <c r="H283" s="31"/>
      <c r="I283" s="31"/>
      <c r="J283" s="31"/>
      <c r="K283" s="19"/>
      <c r="L283" s="19"/>
      <c r="M283" s="19"/>
      <c r="N283" s="31"/>
      <c r="O283" s="31"/>
      <c r="P283" s="19"/>
      <c r="Q283" s="19"/>
    </row>
    <row r="284" spans="1:17" ht="46.5" customHeight="1" x14ac:dyDescent="0.7">
      <c r="A284" s="19"/>
      <c r="B284" s="19"/>
      <c r="C284" s="19"/>
      <c r="D284" s="31"/>
      <c r="E284" s="31"/>
      <c r="F284" s="31"/>
      <c r="G284" s="31"/>
      <c r="H284" s="31"/>
      <c r="I284" s="31"/>
      <c r="J284" s="31"/>
      <c r="K284" s="19"/>
      <c r="L284" s="19"/>
      <c r="M284" s="19"/>
      <c r="N284" s="31"/>
      <c r="O284" s="31"/>
      <c r="P284" s="19"/>
      <c r="Q284" s="19"/>
    </row>
    <row r="285" spans="1:17" ht="46.5" customHeight="1" x14ac:dyDescent="0.7">
      <c r="A285" s="19"/>
      <c r="B285" s="19"/>
      <c r="C285" s="19"/>
      <c r="D285" s="31"/>
      <c r="E285" s="31"/>
      <c r="F285" s="31"/>
      <c r="G285" s="31"/>
      <c r="H285" s="31"/>
      <c r="I285" s="31"/>
      <c r="J285" s="31"/>
      <c r="K285" s="19"/>
      <c r="L285" s="19"/>
      <c r="M285" s="19"/>
      <c r="N285" s="31"/>
      <c r="O285" s="31"/>
      <c r="P285" s="19"/>
      <c r="Q285" s="19"/>
    </row>
    <row r="286" spans="1:17" ht="46.5" customHeight="1" x14ac:dyDescent="0.7">
      <c r="A286" s="19"/>
      <c r="B286" s="19"/>
      <c r="C286" s="19"/>
      <c r="D286" s="31"/>
      <c r="E286" s="31"/>
      <c r="F286" s="31"/>
      <c r="G286" s="31"/>
      <c r="H286" s="31"/>
      <c r="I286" s="31"/>
      <c r="J286" s="31"/>
      <c r="K286" s="19"/>
      <c r="L286" s="19"/>
      <c r="M286" s="19"/>
      <c r="N286" s="31"/>
      <c r="O286" s="31"/>
      <c r="P286" s="19"/>
      <c r="Q286" s="19"/>
    </row>
    <row r="287" spans="1:17" ht="46.5" customHeight="1" x14ac:dyDescent="0.7">
      <c r="A287" s="19"/>
      <c r="B287" s="19"/>
      <c r="C287" s="19"/>
      <c r="D287" s="31"/>
      <c r="E287" s="31"/>
      <c r="F287" s="31"/>
      <c r="G287" s="31"/>
      <c r="H287" s="31"/>
      <c r="I287" s="31"/>
      <c r="J287" s="31"/>
      <c r="K287" s="19"/>
      <c r="L287" s="19"/>
      <c r="M287" s="19"/>
      <c r="N287" s="31"/>
      <c r="O287" s="31"/>
      <c r="P287" s="19"/>
      <c r="Q287" s="19"/>
    </row>
    <row r="288" spans="1:17" ht="46.5" customHeight="1" x14ac:dyDescent="0.7">
      <c r="A288" s="19"/>
      <c r="B288" s="19"/>
      <c r="C288" s="19"/>
      <c r="D288" s="31"/>
      <c r="E288" s="31"/>
      <c r="F288" s="31"/>
      <c r="G288" s="31"/>
      <c r="H288" s="31"/>
      <c r="I288" s="31"/>
      <c r="J288" s="31"/>
      <c r="K288" s="19"/>
      <c r="L288" s="19"/>
      <c r="M288" s="19"/>
      <c r="N288" s="31"/>
      <c r="O288" s="31"/>
      <c r="P288" s="19"/>
      <c r="Q288" s="19"/>
    </row>
    <row r="289" spans="1:17" ht="46.5" customHeight="1" x14ac:dyDescent="0.7">
      <c r="A289" s="19"/>
      <c r="B289" s="19"/>
      <c r="C289" s="19"/>
      <c r="D289" s="31"/>
      <c r="E289" s="31"/>
      <c r="F289" s="31"/>
      <c r="G289" s="31"/>
      <c r="H289" s="31"/>
      <c r="I289" s="31"/>
      <c r="J289" s="31"/>
      <c r="K289" s="19"/>
      <c r="L289" s="19"/>
      <c r="M289" s="19"/>
      <c r="N289" s="31"/>
      <c r="O289" s="31"/>
      <c r="P289" s="19"/>
      <c r="Q289" s="19"/>
    </row>
    <row r="290" spans="1:17" ht="46.5" customHeight="1" x14ac:dyDescent="0.7">
      <c r="A290" s="19"/>
      <c r="B290" s="19"/>
      <c r="C290" s="19"/>
      <c r="D290" s="31"/>
      <c r="E290" s="31"/>
      <c r="F290" s="31"/>
      <c r="G290" s="31"/>
      <c r="H290" s="31"/>
      <c r="I290" s="31"/>
      <c r="J290" s="31"/>
      <c r="K290" s="19"/>
      <c r="L290" s="19"/>
      <c r="M290" s="19"/>
      <c r="N290" s="31"/>
      <c r="O290" s="31"/>
      <c r="P290" s="19"/>
      <c r="Q290" s="19"/>
    </row>
    <row r="291" spans="1:17" ht="46.5" customHeight="1" x14ac:dyDescent="0.7">
      <c r="A291" s="19"/>
      <c r="B291" s="19"/>
      <c r="C291" s="19"/>
      <c r="D291" s="31"/>
      <c r="E291" s="31"/>
      <c r="F291" s="31"/>
      <c r="G291" s="31"/>
      <c r="H291" s="31"/>
      <c r="I291" s="31"/>
      <c r="J291" s="31"/>
      <c r="K291" s="19"/>
      <c r="L291" s="19"/>
      <c r="M291" s="19"/>
      <c r="N291" s="31"/>
      <c r="O291" s="31"/>
      <c r="P291" s="19"/>
      <c r="Q291" s="19"/>
    </row>
    <row r="292" spans="1:17" ht="46.5" customHeight="1" x14ac:dyDescent="0.7">
      <c r="A292" s="19"/>
      <c r="B292" s="19"/>
      <c r="C292" s="19"/>
      <c r="D292" s="31"/>
      <c r="E292" s="31"/>
      <c r="F292" s="31"/>
      <c r="G292" s="31"/>
      <c r="H292" s="31"/>
      <c r="I292" s="31"/>
      <c r="J292" s="31"/>
      <c r="K292" s="19"/>
      <c r="L292" s="19"/>
      <c r="M292" s="19"/>
      <c r="N292" s="31"/>
      <c r="O292" s="31"/>
      <c r="P292" s="19"/>
      <c r="Q292" s="19"/>
    </row>
    <row r="293" spans="1:17" ht="46.5" customHeight="1" x14ac:dyDescent="0.7">
      <c r="A293" s="19"/>
      <c r="B293" s="19"/>
      <c r="C293" s="19"/>
      <c r="D293" s="31"/>
      <c r="E293" s="31"/>
      <c r="F293" s="31"/>
      <c r="G293" s="31"/>
      <c r="H293" s="31"/>
      <c r="I293" s="31"/>
      <c r="J293" s="31"/>
      <c r="K293" s="19"/>
      <c r="L293" s="19"/>
      <c r="M293" s="19"/>
      <c r="N293" s="31"/>
      <c r="O293" s="31"/>
      <c r="P293" s="19"/>
      <c r="Q293" s="19"/>
    </row>
    <row r="294" spans="1:17" ht="46.5" customHeight="1" x14ac:dyDescent="0.7">
      <c r="A294" s="19"/>
      <c r="B294" s="19"/>
      <c r="C294" s="19"/>
      <c r="D294" s="31"/>
      <c r="E294" s="31"/>
      <c r="F294" s="31"/>
      <c r="G294" s="31"/>
      <c r="H294" s="31"/>
      <c r="I294" s="31"/>
      <c r="J294" s="31"/>
      <c r="K294" s="19"/>
      <c r="L294" s="19"/>
      <c r="M294" s="19"/>
      <c r="N294" s="31"/>
      <c r="O294" s="31"/>
      <c r="P294" s="19"/>
      <c r="Q294" s="19"/>
    </row>
    <row r="295" spans="1:17" ht="46.5" customHeight="1" x14ac:dyDescent="0.7">
      <c r="A295" s="19"/>
      <c r="B295" s="19"/>
      <c r="C295" s="19"/>
      <c r="D295" s="31"/>
      <c r="E295" s="31"/>
      <c r="F295" s="31"/>
      <c r="G295" s="31"/>
      <c r="H295" s="31"/>
      <c r="I295" s="31"/>
      <c r="J295" s="31"/>
      <c r="K295" s="19"/>
      <c r="L295" s="19"/>
      <c r="M295" s="19"/>
      <c r="N295" s="31"/>
      <c r="O295" s="31"/>
      <c r="P295" s="19"/>
      <c r="Q295" s="19"/>
    </row>
    <row r="296" spans="1:17" ht="46.5" customHeight="1" x14ac:dyDescent="0.7">
      <c r="A296" s="19"/>
      <c r="B296" s="19"/>
      <c r="C296" s="19"/>
      <c r="D296" s="31"/>
      <c r="E296" s="31"/>
      <c r="F296" s="31"/>
      <c r="G296" s="31"/>
      <c r="H296" s="31"/>
      <c r="I296" s="31"/>
      <c r="J296" s="31"/>
      <c r="K296" s="19"/>
      <c r="L296" s="19"/>
      <c r="M296" s="19"/>
      <c r="N296" s="31"/>
      <c r="O296" s="31"/>
      <c r="P296" s="19"/>
      <c r="Q296" s="19"/>
    </row>
    <row r="297" spans="1:17" ht="46.5" customHeight="1" x14ac:dyDescent="0.7">
      <c r="A297" s="19"/>
      <c r="B297" s="19"/>
      <c r="C297" s="19"/>
      <c r="D297" s="31"/>
      <c r="E297" s="31"/>
      <c r="F297" s="31"/>
      <c r="G297" s="31"/>
      <c r="H297" s="31"/>
      <c r="I297" s="31"/>
      <c r="J297" s="31"/>
      <c r="K297" s="19"/>
      <c r="L297" s="19"/>
      <c r="M297" s="19"/>
      <c r="N297" s="31"/>
      <c r="O297" s="31"/>
      <c r="P297" s="19"/>
      <c r="Q297" s="19"/>
    </row>
    <row r="298" spans="1:17" ht="46.5" customHeight="1" x14ac:dyDescent="0.7">
      <c r="A298" s="19"/>
      <c r="B298" s="19"/>
      <c r="C298" s="19"/>
      <c r="D298" s="31"/>
      <c r="E298" s="31"/>
      <c r="F298" s="31"/>
      <c r="G298" s="31"/>
      <c r="H298" s="31"/>
      <c r="I298" s="31"/>
      <c r="J298" s="31"/>
      <c r="K298" s="19"/>
      <c r="L298" s="19"/>
      <c r="M298" s="19"/>
      <c r="N298" s="31"/>
      <c r="O298" s="31"/>
      <c r="P298" s="19"/>
      <c r="Q298" s="19"/>
    </row>
    <row r="299" spans="1:17" ht="46.5" customHeight="1" x14ac:dyDescent="0.7">
      <c r="A299" s="19"/>
      <c r="B299" s="19"/>
      <c r="C299" s="19"/>
      <c r="D299" s="31"/>
      <c r="E299" s="31"/>
      <c r="F299" s="31"/>
      <c r="G299" s="31"/>
      <c r="H299" s="31"/>
      <c r="I299" s="31"/>
      <c r="J299" s="31"/>
      <c r="K299" s="19"/>
      <c r="L299" s="19"/>
      <c r="M299" s="19"/>
      <c r="N299" s="31"/>
      <c r="O299" s="31"/>
      <c r="P299" s="19"/>
      <c r="Q299" s="19"/>
    </row>
    <row r="300" spans="1:17" ht="46.5" customHeight="1" x14ac:dyDescent="0.7">
      <c r="A300" s="19"/>
      <c r="B300" s="19"/>
      <c r="C300" s="19"/>
      <c r="D300" s="31"/>
      <c r="E300" s="31"/>
      <c r="F300" s="31"/>
      <c r="G300" s="31"/>
      <c r="H300" s="31"/>
      <c r="I300" s="31"/>
      <c r="J300" s="31"/>
      <c r="K300" s="19"/>
      <c r="L300" s="19"/>
      <c r="M300" s="19"/>
      <c r="N300" s="31"/>
      <c r="O300" s="31"/>
      <c r="P300" s="19"/>
      <c r="Q300" s="19"/>
    </row>
    <row r="301" spans="1:17" ht="46.5" customHeight="1" x14ac:dyDescent="0.7">
      <c r="A301" s="19"/>
      <c r="B301" s="19"/>
      <c r="C301" s="19"/>
      <c r="D301" s="31"/>
      <c r="E301" s="31"/>
      <c r="F301" s="31"/>
      <c r="G301" s="31"/>
      <c r="H301" s="31"/>
      <c r="I301" s="31"/>
      <c r="J301" s="31"/>
      <c r="K301" s="19"/>
      <c r="L301" s="19"/>
      <c r="M301" s="19"/>
      <c r="N301" s="31"/>
      <c r="O301" s="31"/>
      <c r="P301" s="19"/>
      <c r="Q301" s="19"/>
    </row>
    <row r="302" spans="1:17" ht="46.5" customHeight="1" x14ac:dyDescent="0.7">
      <c r="A302" s="19"/>
      <c r="B302" s="19"/>
      <c r="C302" s="19"/>
      <c r="D302" s="31"/>
      <c r="E302" s="31"/>
      <c r="F302" s="31"/>
      <c r="G302" s="31"/>
      <c r="H302" s="31"/>
      <c r="I302" s="31"/>
      <c r="J302" s="31"/>
      <c r="K302" s="19"/>
      <c r="L302" s="19"/>
      <c r="M302" s="19"/>
      <c r="N302" s="31"/>
      <c r="O302" s="31"/>
      <c r="P302" s="19"/>
      <c r="Q302" s="19"/>
    </row>
    <row r="303" spans="1:17" ht="46.5" customHeight="1" x14ac:dyDescent="0.7">
      <c r="A303" s="19"/>
      <c r="B303" s="19"/>
      <c r="C303" s="19"/>
      <c r="D303" s="31"/>
      <c r="E303" s="31"/>
      <c r="F303" s="31"/>
      <c r="G303" s="31"/>
      <c r="H303" s="31"/>
      <c r="I303" s="31"/>
      <c r="J303" s="31"/>
      <c r="K303" s="19"/>
      <c r="L303" s="19"/>
      <c r="M303" s="19"/>
      <c r="N303" s="31"/>
      <c r="O303" s="31"/>
      <c r="P303" s="19"/>
      <c r="Q303" s="19"/>
    </row>
    <row r="304" spans="1:17" ht="46.5" customHeight="1" x14ac:dyDescent="0.7">
      <c r="A304" s="19"/>
      <c r="B304" s="19"/>
      <c r="C304" s="19"/>
      <c r="D304" s="31"/>
      <c r="E304" s="31"/>
      <c r="F304" s="31"/>
      <c r="G304" s="31"/>
      <c r="H304" s="31"/>
      <c r="I304" s="31"/>
      <c r="J304" s="31"/>
      <c r="K304" s="19"/>
      <c r="L304" s="19"/>
      <c r="M304" s="19"/>
      <c r="N304" s="31"/>
      <c r="O304" s="31"/>
      <c r="P304" s="19"/>
      <c r="Q304" s="19"/>
    </row>
    <row r="305" spans="1:17" ht="46.5" customHeight="1" x14ac:dyDescent="0.7">
      <c r="A305" s="19"/>
      <c r="B305" s="19"/>
      <c r="C305" s="19"/>
      <c r="D305" s="31"/>
      <c r="E305" s="31"/>
      <c r="F305" s="31"/>
      <c r="G305" s="31"/>
      <c r="H305" s="31"/>
      <c r="I305" s="31"/>
      <c r="J305" s="31"/>
      <c r="K305" s="19"/>
      <c r="L305" s="19"/>
      <c r="M305" s="19"/>
      <c r="N305" s="31"/>
      <c r="O305" s="31"/>
      <c r="P305" s="19"/>
      <c r="Q305" s="19"/>
    </row>
    <row r="306" spans="1:17" ht="46.5" customHeight="1" x14ac:dyDescent="0.7">
      <c r="A306" s="19"/>
      <c r="B306" s="19"/>
      <c r="C306" s="19"/>
      <c r="D306" s="31"/>
      <c r="E306" s="31"/>
      <c r="F306" s="31"/>
      <c r="G306" s="31"/>
      <c r="H306" s="31"/>
      <c r="I306" s="31"/>
      <c r="J306" s="31"/>
      <c r="K306" s="19"/>
      <c r="L306" s="19"/>
      <c r="M306" s="19"/>
      <c r="N306" s="31"/>
      <c r="O306" s="31"/>
      <c r="P306" s="19"/>
      <c r="Q306" s="19"/>
    </row>
    <row r="307" spans="1:17" ht="46.5" customHeight="1" x14ac:dyDescent="0.7">
      <c r="A307" s="19"/>
      <c r="B307" s="19"/>
      <c r="C307" s="19"/>
      <c r="D307" s="31"/>
      <c r="E307" s="31"/>
      <c r="F307" s="31"/>
      <c r="G307" s="31"/>
      <c r="H307" s="31"/>
      <c r="I307" s="31"/>
      <c r="J307" s="31"/>
      <c r="K307" s="19"/>
      <c r="L307" s="19"/>
      <c r="M307" s="19"/>
      <c r="N307" s="31"/>
      <c r="O307" s="31"/>
      <c r="P307" s="19"/>
      <c r="Q307" s="19"/>
    </row>
    <row r="308" spans="1:17" ht="46.5" customHeight="1" x14ac:dyDescent="0.7">
      <c r="A308" s="19"/>
      <c r="B308" s="19"/>
      <c r="C308" s="19"/>
      <c r="D308" s="31"/>
      <c r="E308" s="31"/>
      <c r="F308" s="31"/>
      <c r="G308" s="31"/>
      <c r="H308" s="31"/>
      <c r="I308" s="31"/>
      <c r="J308" s="31"/>
      <c r="K308" s="19"/>
      <c r="L308" s="19"/>
      <c r="M308" s="19"/>
      <c r="N308" s="31"/>
      <c r="O308" s="31"/>
      <c r="P308" s="19"/>
      <c r="Q308" s="19"/>
    </row>
    <row r="309" spans="1:17" ht="46.5" customHeight="1" x14ac:dyDescent="0.7">
      <c r="A309" s="19"/>
      <c r="B309" s="19"/>
      <c r="C309" s="19"/>
      <c r="D309" s="31"/>
      <c r="E309" s="31"/>
      <c r="F309" s="31"/>
      <c r="G309" s="31"/>
      <c r="H309" s="31"/>
      <c r="I309" s="31"/>
      <c r="J309" s="31"/>
      <c r="K309" s="19"/>
      <c r="L309" s="19"/>
      <c r="M309" s="19"/>
      <c r="N309" s="31"/>
      <c r="O309" s="31"/>
      <c r="P309" s="19"/>
      <c r="Q309" s="19"/>
    </row>
    <row r="310" spans="1:17" ht="46.5" customHeight="1" x14ac:dyDescent="0.7">
      <c r="A310" s="19"/>
      <c r="B310" s="19"/>
      <c r="C310" s="19"/>
      <c r="D310" s="31"/>
      <c r="E310" s="31"/>
      <c r="F310" s="31"/>
      <c r="G310" s="31"/>
      <c r="H310" s="31"/>
      <c r="I310" s="31"/>
      <c r="J310" s="31"/>
      <c r="K310" s="19"/>
      <c r="L310" s="19"/>
      <c r="M310" s="19"/>
      <c r="N310" s="31"/>
      <c r="O310" s="31"/>
      <c r="P310" s="19"/>
      <c r="Q310" s="19"/>
    </row>
    <row r="311" spans="1:17" ht="46.5" customHeight="1" x14ac:dyDescent="0.7">
      <c r="A311" s="19"/>
      <c r="B311" s="19"/>
      <c r="C311" s="19"/>
      <c r="D311" s="31"/>
      <c r="E311" s="31"/>
      <c r="F311" s="31"/>
      <c r="G311" s="31"/>
      <c r="H311" s="31"/>
      <c r="I311" s="31"/>
      <c r="J311" s="31"/>
      <c r="K311" s="19"/>
      <c r="L311" s="19"/>
      <c r="M311" s="19"/>
      <c r="N311" s="31"/>
      <c r="O311" s="31"/>
      <c r="P311" s="19"/>
      <c r="Q311" s="19"/>
    </row>
    <row r="312" spans="1:17" ht="46.5" customHeight="1" x14ac:dyDescent="0.7">
      <c r="A312" s="19"/>
      <c r="B312" s="19"/>
      <c r="C312" s="19"/>
      <c r="D312" s="31"/>
      <c r="E312" s="31"/>
      <c r="F312" s="31"/>
      <c r="G312" s="31"/>
      <c r="H312" s="31"/>
      <c r="I312" s="31"/>
      <c r="J312" s="31"/>
      <c r="K312" s="19"/>
      <c r="L312" s="19"/>
      <c r="M312" s="19"/>
      <c r="N312" s="31"/>
      <c r="O312" s="31"/>
      <c r="P312" s="19"/>
      <c r="Q312" s="19"/>
    </row>
    <row r="313" spans="1:17" ht="46.5" customHeight="1" x14ac:dyDescent="0.7">
      <c r="A313" s="19"/>
      <c r="B313" s="19"/>
      <c r="C313" s="19"/>
      <c r="D313" s="31"/>
      <c r="E313" s="31"/>
      <c r="F313" s="31"/>
      <c r="G313" s="31"/>
      <c r="H313" s="31"/>
      <c r="I313" s="31"/>
      <c r="J313" s="31"/>
      <c r="K313" s="19"/>
      <c r="L313" s="19"/>
      <c r="M313" s="19"/>
      <c r="N313" s="31"/>
      <c r="O313" s="31"/>
      <c r="P313" s="19"/>
      <c r="Q313" s="19"/>
    </row>
    <row r="314" spans="1:17" ht="46.5" customHeight="1" x14ac:dyDescent="0.7">
      <c r="A314" s="19"/>
      <c r="B314" s="19"/>
      <c r="C314" s="19"/>
      <c r="D314" s="31"/>
      <c r="E314" s="31"/>
      <c r="F314" s="31"/>
      <c r="G314" s="31"/>
      <c r="H314" s="31"/>
      <c r="I314" s="31"/>
      <c r="J314" s="31"/>
      <c r="K314" s="19"/>
      <c r="L314" s="19"/>
      <c r="M314" s="19"/>
      <c r="N314" s="31"/>
      <c r="O314" s="31"/>
      <c r="P314" s="19"/>
      <c r="Q314" s="19"/>
    </row>
    <row r="315" spans="1:17" ht="46.5" customHeight="1" x14ac:dyDescent="0.7">
      <c r="A315" s="19"/>
      <c r="B315" s="19"/>
      <c r="C315" s="19"/>
      <c r="D315" s="31"/>
      <c r="E315" s="31"/>
      <c r="F315" s="31"/>
      <c r="G315" s="31"/>
      <c r="H315" s="31"/>
      <c r="I315" s="31"/>
      <c r="J315" s="31"/>
      <c r="K315" s="19"/>
      <c r="L315" s="19"/>
      <c r="M315" s="19"/>
      <c r="N315" s="31"/>
      <c r="O315" s="31"/>
      <c r="P315" s="19"/>
      <c r="Q315" s="19"/>
    </row>
    <row r="316" spans="1:17" ht="46.5" customHeight="1" x14ac:dyDescent="0.7">
      <c r="A316" s="19"/>
      <c r="B316" s="19"/>
      <c r="C316" s="19"/>
      <c r="D316" s="31"/>
      <c r="E316" s="31"/>
      <c r="F316" s="31"/>
      <c r="G316" s="31"/>
      <c r="H316" s="31"/>
      <c r="I316" s="31"/>
      <c r="J316" s="31"/>
      <c r="K316" s="19"/>
      <c r="L316" s="19"/>
      <c r="M316" s="19"/>
      <c r="N316" s="31"/>
      <c r="O316" s="31"/>
      <c r="P316" s="19"/>
      <c r="Q316" s="19"/>
    </row>
    <row r="317" spans="1:17" ht="46.5" customHeight="1" x14ac:dyDescent="0.7">
      <c r="A317" s="19"/>
      <c r="B317" s="19"/>
      <c r="C317" s="19"/>
      <c r="D317" s="31"/>
      <c r="E317" s="31"/>
      <c r="F317" s="31"/>
      <c r="G317" s="31"/>
      <c r="H317" s="31"/>
      <c r="I317" s="31"/>
      <c r="J317" s="31"/>
      <c r="K317" s="19"/>
      <c r="L317" s="19"/>
      <c r="M317" s="19"/>
      <c r="N317" s="31"/>
      <c r="O317" s="31"/>
      <c r="P317" s="19"/>
      <c r="Q317" s="19"/>
    </row>
    <row r="318" spans="1:17" ht="46.5" customHeight="1" x14ac:dyDescent="0.7">
      <c r="A318" s="19"/>
      <c r="B318" s="19"/>
      <c r="C318" s="19"/>
      <c r="D318" s="31"/>
      <c r="E318" s="31"/>
      <c r="F318" s="31"/>
      <c r="G318" s="31"/>
      <c r="H318" s="31"/>
      <c r="I318" s="31"/>
      <c r="J318" s="31"/>
      <c r="K318" s="19"/>
      <c r="L318" s="19"/>
      <c r="M318" s="19"/>
      <c r="N318" s="31"/>
      <c r="O318" s="31"/>
      <c r="P318" s="19"/>
      <c r="Q318" s="19"/>
    </row>
    <row r="319" spans="1:17" ht="46.5" customHeight="1" x14ac:dyDescent="0.7">
      <c r="A319" s="19"/>
      <c r="B319" s="19"/>
      <c r="C319" s="19"/>
      <c r="D319" s="31"/>
      <c r="E319" s="31"/>
      <c r="F319" s="31"/>
      <c r="G319" s="31"/>
      <c r="H319" s="31"/>
      <c r="I319" s="31"/>
      <c r="J319" s="31"/>
      <c r="K319" s="19"/>
      <c r="L319" s="19"/>
      <c r="M319" s="19"/>
      <c r="N319" s="31"/>
      <c r="O319" s="31"/>
      <c r="P319" s="19"/>
      <c r="Q319" s="19"/>
    </row>
    <row r="320" spans="1:17" ht="46.5" customHeight="1" x14ac:dyDescent="0.7">
      <c r="A320" s="19"/>
      <c r="B320" s="19"/>
      <c r="C320" s="19"/>
      <c r="D320" s="31"/>
      <c r="E320" s="31"/>
      <c r="F320" s="31"/>
      <c r="G320" s="31"/>
      <c r="H320" s="31"/>
      <c r="I320" s="31"/>
      <c r="J320" s="31"/>
      <c r="K320" s="19"/>
      <c r="L320" s="19"/>
      <c r="M320" s="19"/>
      <c r="N320" s="31"/>
      <c r="O320" s="31"/>
      <c r="P320" s="19"/>
      <c r="Q320" s="19"/>
    </row>
    <row r="321" spans="1:17" ht="46.5" customHeight="1" x14ac:dyDescent="0.7">
      <c r="A321" s="19"/>
      <c r="B321" s="19"/>
      <c r="C321" s="19"/>
      <c r="D321" s="31"/>
      <c r="E321" s="31"/>
      <c r="F321" s="31"/>
      <c r="G321" s="31"/>
      <c r="H321" s="31"/>
      <c r="I321" s="31"/>
      <c r="J321" s="31"/>
      <c r="K321" s="19"/>
      <c r="L321" s="19"/>
      <c r="M321" s="19"/>
      <c r="N321" s="31"/>
      <c r="O321" s="31"/>
      <c r="P321" s="19"/>
      <c r="Q321" s="19"/>
    </row>
    <row r="322" spans="1:17" ht="46.5" customHeight="1" x14ac:dyDescent="0.7">
      <c r="A322" s="19"/>
      <c r="B322" s="19"/>
      <c r="C322" s="19"/>
      <c r="D322" s="31"/>
      <c r="E322" s="31"/>
      <c r="F322" s="31"/>
      <c r="G322" s="31"/>
      <c r="H322" s="31"/>
      <c r="I322" s="31"/>
      <c r="J322" s="31"/>
      <c r="K322" s="19"/>
      <c r="L322" s="19"/>
      <c r="M322" s="19"/>
      <c r="N322" s="31"/>
      <c r="O322" s="31"/>
      <c r="P322" s="19"/>
      <c r="Q322" s="19"/>
    </row>
    <row r="323" spans="1:17" ht="46.5" customHeight="1" x14ac:dyDescent="0.7">
      <c r="A323" s="19"/>
      <c r="B323" s="19"/>
      <c r="C323" s="19"/>
      <c r="D323" s="31"/>
      <c r="E323" s="31"/>
      <c r="F323" s="31"/>
      <c r="G323" s="31"/>
      <c r="H323" s="31"/>
      <c r="I323" s="31"/>
      <c r="J323" s="31"/>
      <c r="K323" s="19"/>
      <c r="L323" s="19"/>
      <c r="M323" s="19"/>
      <c r="N323" s="31"/>
      <c r="O323" s="31"/>
      <c r="P323" s="19"/>
      <c r="Q323" s="19"/>
    </row>
    <row r="324" spans="1:17" ht="46.5" customHeight="1" x14ac:dyDescent="0.7">
      <c r="A324" s="19"/>
      <c r="B324" s="19"/>
      <c r="C324" s="19"/>
      <c r="D324" s="31"/>
      <c r="E324" s="31"/>
      <c r="F324" s="31"/>
      <c r="G324" s="31"/>
      <c r="H324" s="31"/>
      <c r="I324" s="31"/>
      <c r="J324" s="31"/>
      <c r="K324" s="19"/>
      <c r="L324" s="19"/>
      <c r="M324" s="19"/>
      <c r="N324" s="31"/>
      <c r="O324" s="31"/>
      <c r="P324" s="19"/>
      <c r="Q324" s="19"/>
    </row>
    <row r="325" spans="1:17" ht="46.5" customHeight="1" x14ac:dyDescent="0.7">
      <c r="A325" s="19"/>
      <c r="B325" s="19"/>
      <c r="C325" s="19"/>
      <c r="D325" s="31"/>
      <c r="E325" s="31"/>
      <c r="F325" s="31"/>
      <c r="G325" s="31"/>
      <c r="H325" s="31"/>
      <c r="I325" s="31"/>
      <c r="J325" s="31"/>
      <c r="K325" s="19"/>
      <c r="L325" s="19"/>
      <c r="M325" s="19"/>
      <c r="N325" s="31"/>
      <c r="O325" s="31"/>
      <c r="P325" s="19"/>
      <c r="Q325" s="19"/>
    </row>
    <row r="326" spans="1:17" ht="46.5" customHeight="1" x14ac:dyDescent="0.7">
      <c r="A326" s="19"/>
      <c r="B326" s="19"/>
      <c r="C326" s="19"/>
      <c r="D326" s="31"/>
      <c r="E326" s="31"/>
      <c r="F326" s="31"/>
      <c r="G326" s="31"/>
      <c r="H326" s="31"/>
      <c r="I326" s="31"/>
      <c r="J326" s="31"/>
      <c r="K326" s="19"/>
      <c r="L326" s="19"/>
      <c r="M326" s="19"/>
      <c r="N326" s="31"/>
      <c r="O326" s="31"/>
      <c r="P326" s="19"/>
      <c r="Q326" s="19"/>
    </row>
    <row r="327" spans="1:17" ht="46.5" customHeight="1" x14ac:dyDescent="0.7">
      <c r="A327" s="19"/>
      <c r="B327" s="19"/>
      <c r="C327" s="19"/>
      <c r="D327" s="31"/>
      <c r="E327" s="31"/>
      <c r="F327" s="31"/>
      <c r="G327" s="31"/>
      <c r="H327" s="31"/>
      <c r="I327" s="31"/>
      <c r="J327" s="31"/>
      <c r="K327" s="19"/>
      <c r="L327" s="19"/>
      <c r="M327" s="19"/>
      <c r="N327" s="31"/>
      <c r="O327" s="31"/>
      <c r="P327" s="19"/>
      <c r="Q327" s="19"/>
    </row>
    <row r="328" spans="1:17" ht="46.5" customHeight="1" x14ac:dyDescent="0.7">
      <c r="A328" s="19"/>
      <c r="B328" s="19"/>
      <c r="C328" s="19"/>
      <c r="D328" s="31"/>
      <c r="E328" s="31"/>
      <c r="F328" s="31"/>
      <c r="G328" s="31"/>
      <c r="H328" s="31"/>
      <c r="I328" s="31"/>
      <c r="J328" s="31"/>
      <c r="K328" s="19"/>
      <c r="L328" s="19"/>
      <c r="M328" s="19"/>
      <c r="N328" s="31"/>
      <c r="O328" s="31"/>
      <c r="P328" s="19"/>
      <c r="Q328" s="19"/>
    </row>
    <row r="329" spans="1:17" ht="46.5" customHeight="1" x14ac:dyDescent="0.7">
      <c r="A329" s="19"/>
      <c r="B329" s="19"/>
      <c r="C329" s="19"/>
      <c r="D329" s="31"/>
      <c r="E329" s="31"/>
      <c r="F329" s="31"/>
      <c r="G329" s="31"/>
      <c r="H329" s="31"/>
      <c r="I329" s="31"/>
      <c r="J329" s="31"/>
      <c r="K329" s="19"/>
      <c r="L329" s="19"/>
      <c r="M329" s="19"/>
      <c r="N329" s="31"/>
      <c r="O329" s="31"/>
      <c r="P329" s="19"/>
      <c r="Q329" s="19"/>
    </row>
    <row r="330" spans="1:17" ht="46.5" customHeight="1" x14ac:dyDescent="0.7">
      <c r="A330" s="19"/>
      <c r="B330" s="19"/>
      <c r="C330" s="19"/>
      <c r="D330" s="31"/>
      <c r="E330" s="31"/>
      <c r="F330" s="31"/>
      <c r="G330" s="31"/>
      <c r="H330" s="31"/>
      <c r="I330" s="31"/>
      <c r="J330" s="31"/>
      <c r="K330" s="19"/>
      <c r="L330" s="19"/>
      <c r="M330" s="19"/>
      <c r="N330" s="31"/>
      <c r="O330" s="31"/>
      <c r="P330" s="19"/>
      <c r="Q330" s="19"/>
    </row>
    <row r="331" spans="1:17" ht="46.5" customHeight="1" x14ac:dyDescent="0.7">
      <c r="A331" s="19"/>
      <c r="B331" s="19"/>
      <c r="C331" s="19"/>
      <c r="D331" s="31"/>
      <c r="E331" s="31"/>
      <c r="F331" s="31"/>
      <c r="G331" s="31"/>
      <c r="H331" s="31"/>
      <c r="I331" s="31"/>
      <c r="J331" s="31"/>
      <c r="K331" s="19"/>
      <c r="L331" s="19"/>
      <c r="M331" s="19"/>
      <c r="N331" s="31"/>
      <c r="O331" s="31"/>
      <c r="P331" s="19"/>
      <c r="Q331" s="19"/>
    </row>
    <row r="332" spans="1:17" ht="46.5" customHeight="1" x14ac:dyDescent="0.7">
      <c r="A332" s="19"/>
      <c r="B332" s="19"/>
      <c r="C332" s="19"/>
      <c r="D332" s="31"/>
      <c r="E332" s="31"/>
      <c r="F332" s="31"/>
      <c r="G332" s="31"/>
      <c r="H332" s="31"/>
      <c r="I332" s="31"/>
      <c r="J332" s="31"/>
      <c r="K332" s="19"/>
      <c r="L332" s="19"/>
      <c r="M332" s="19"/>
      <c r="N332" s="31"/>
      <c r="O332" s="31"/>
      <c r="P332" s="19"/>
      <c r="Q332" s="19"/>
    </row>
    <row r="333" spans="1:17" ht="46.5" customHeight="1" x14ac:dyDescent="0.7">
      <c r="A333" s="19"/>
      <c r="B333" s="19"/>
      <c r="C333" s="19"/>
      <c r="D333" s="31"/>
      <c r="E333" s="31"/>
      <c r="F333" s="31"/>
      <c r="G333" s="31"/>
      <c r="H333" s="31"/>
      <c r="I333" s="31"/>
      <c r="J333" s="31"/>
      <c r="K333" s="19"/>
      <c r="L333" s="19"/>
      <c r="M333" s="19"/>
      <c r="N333" s="31"/>
      <c r="O333" s="31"/>
      <c r="P333" s="19"/>
      <c r="Q333" s="19"/>
    </row>
    <row r="334" spans="1:17" ht="46.5" customHeight="1" x14ac:dyDescent="0.7">
      <c r="A334" s="19"/>
      <c r="B334" s="19"/>
      <c r="C334" s="19"/>
      <c r="D334" s="31"/>
      <c r="E334" s="31"/>
      <c r="F334" s="31"/>
      <c r="G334" s="31"/>
      <c r="H334" s="31"/>
      <c r="I334" s="31"/>
      <c r="J334" s="31"/>
      <c r="K334" s="19"/>
      <c r="L334" s="19"/>
      <c r="M334" s="19"/>
      <c r="N334" s="31"/>
      <c r="O334" s="31"/>
      <c r="P334" s="19"/>
      <c r="Q334" s="19"/>
    </row>
    <row r="335" spans="1:17" ht="46.5" customHeight="1" x14ac:dyDescent="0.7">
      <c r="A335" s="19"/>
      <c r="B335" s="19"/>
      <c r="C335" s="19"/>
      <c r="D335" s="31"/>
      <c r="E335" s="31"/>
      <c r="F335" s="31"/>
      <c r="G335" s="31"/>
      <c r="H335" s="31"/>
      <c r="I335" s="31"/>
      <c r="J335" s="31"/>
      <c r="K335" s="19"/>
      <c r="L335" s="19"/>
      <c r="M335" s="19"/>
      <c r="N335" s="31"/>
      <c r="O335" s="31"/>
      <c r="P335" s="19"/>
      <c r="Q335" s="19"/>
    </row>
    <row r="336" spans="1:17" ht="46.5" customHeight="1" x14ac:dyDescent="0.7">
      <c r="A336" s="19"/>
      <c r="B336" s="19"/>
      <c r="C336" s="19"/>
      <c r="D336" s="31"/>
      <c r="E336" s="31"/>
      <c r="F336" s="31"/>
      <c r="G336" s="31"/>
      <c r="H336" s="31"/>
      <c r="I336" s="31"/>
      <c r="J336" s="31"/>
      <c r="K336" s="19"/>
      <c r="L336" s="19"/>
      <c r="M336" s="19"/>
      <c r="N336" s="31"/>
      <c r="O336" s="31"/>
      <c r="P336" s="19"/>
      <c r="Q336" s="19"/>
    </row>
    <row r="337" spans="1:17" ht="46.5" customHeight="1" x14ac:dyDescent="0.7">
      <c r="A337" s="19"/>
      <c r="B337" s="19"/>
      <c r="C337" s="19"/>
      <c r="D337" s="31"/>
      <c r="E337" s="31"/>
      <c r="F337" s="31"/>
      <c r="G337" s="31"/>
      <c r="H337" s="31"/>
      <c r="I337" s="31"/>
      <c r="J337" s="31"/>
      <c r="K337" s="19"/>
      <c r="L337" s="19"/>
      <c r="M337" s="19"/>
      <c r="N337" s="31"/>
      <c r="O337" s="31"/>
      <c r="P337" s="19"/>
      <c r="Q337" s="19"/>
    </row>
    <row r="338" spans="1:17" ht="46.5" customHeight="1" x14ac:dyDescent="0.7">
      <c r="A338" s="19"/>
      <c r="B338" s="19"/>
      <c r="C338" s="19"/>
      <c r="D338" s="31"/>
      <c r="E338" s="31"/>
      <c r="F338" s="31"/>
      <c r="G338" s="31"/>
      <c r="H338" s="31"/>
      <c r="I338" s="31"/>
      <c r="J338" s="31"/>
      <c r="K338" s="19"/>
      <c r="L338" s="19"/>
      <c r="M338" s="19"/>
      <c r="N338" s="31"/>
      <c r="O338" s="31"/>
      <c r="P338" s="19"/>
      <c r="Q338" s="19"/>
    </row>
    <row r="339" spans="1:17" ht="46.5" customHeight="1" x14ac:dyDescent="0.7">
      <c r="A339" s="19"/>
      <c r="B339" s="19"/>
      <c r="C339" s="19"/>
      <c r="D339" s="31"/>
      <c r="E339" s="31"/>
      <c r="F339" s="31"/>
      <c r="G339" s="31"/>
      <c r="H339" s="31"/>
      <c r="I339" s="31"/>
      <c r="J339" s="31"/>
      <c r="K339" s="19"/>
      <c r="L339" s="19"/>
      <c r="M339" s="19"/>
      <c r="N339" s="31"/>
      <c r="O339" s="31"/>
      <c r="P339" s="19"/>
      <c r="Q339" s="19"/>
    </row>
    <row r="340" spans="1:17" ht="46.5" customHeight="1" x14ac:dyDescent="0.7">
      <c r="A340" s="19"/>
      <c r="B340" s="19"/>
      <c r="C340" s="19"/>
      <c r="D340" s="31"/>
      <c r="E340" s="31"/>
      <c r="F340" s="31"/>
      <c r="G340" s="31"/>
      <c r="H340" s="31"/>
      <c r="I340" s="31"/>
      <c r="J340" s="31"/>
      <c r="K340" s="19"/>
      <c r="L340" s="19"/>
      <c r="M340" s="19"/>
      <c r="N340" s="31"/>
      <c r="O340" s="31"/>
      <c r="P340" s="19"/>
      <c r="Q340" s="19"/>
    </row>
    <row r="341" spans="1:17" ht="46.5" customHeight="1" x14ac:dyDescent="0.7">
      <c r="A341" s="19"/>
      <c r="B341" s="19"/>
      <c r="C341" s="19"/>
      <c r="D341" s="31"/>
      <c r="E341" s="31"/>
      <c r="F341" s="31"/>
      <c r="G341" s="31"/>
      <c r="H341" s="31"/>
      <c r="I341" s="31"/>
      <c r="J341" s="31"/>
      <c r="K341" s="19"/>
      <c r="L341" s="19"/>
      <c r="M341" s="19"/>
      <c r="N341" s="31"/>
      <c r="O341" s="31"/>
      <c r="P341" s="19"/>
      <c r="Q341" s="19"/>
    </row>
    <row r="342" spans="1:17" ht="46.5" customHeight="1" x14ac:dyDescent="0.7">
      <c r="A342" s="19"/>
      <c r="B342" s="19"/>
      <c r="C342" s="19"/>
      <c r="D342" s="31"/>
      <c r="E342" s="31"/>
      <c r="F342" s="31"/>
      <c r="G342" s="31"/>
      <c r="H342" s="31"/>
      <c r="I342" s="31"/>
      <c r="J342" s="31"/>
      <c r="K342" s="19"/>
      <c r="L342" s="19"/>
      <c r="M342" s="19"/>
      <c r="N342" s="31"/>
      <c r="O342" s="31"/>
      <c r="P342" s="19"/>
      <c r="Q342" s="19"/>
    </row>
    <row r="343" spans="1:17" ht="46.5" customHeight="1" x14ac:dyDescent="0.7">
      <c r="A343" s="19"/>
      <c r="B343" s="19"/>
      <c r="C343" s="19"/>
      <c r="D343" s="31"/>
      <c r="E343" s="31"/>
      <c r="F343" s="31"/>
      <c r="G343" s="31"/>
      <c r="H343" s="31"/>
      <c r="I343" s="31"/>
      <c r="J343" s="31"/>
      <c r="K343" s="19"/>
      <c r="L343" s="19"/>
      <c r="M343" s="19"/>
      <c r="N343" s="31"/>
      <c r="O343" s="31"/>
      <c r="P343" s="19"/>
      <c r="Q343" s="19"/>
    </row>
    <row r="344" spans="1:17" ht="46.5" customHeight="1" x14ac:dyDescent="0.7">
      <c r="A344" s="19"/>
      <c r="B344" s="19"/>
      <c r="C344" s="19"/>
      <c r="D344" s="31"/>
      <c r="E344" s="31"/>
      <c r="F344" s="31"/>
      <c r="G344" s="31"/>
      <c r="H344" s="31"/>
      <c r="I344" s="31"/>
      <c r="J344" s="31"/>
      <c r="K344" s="19"/>
      <c r="L344" s="19"/>
      <c r="M344" s="19"/>
      <c r="N344" s="31"/>
      <c r="O344" s="31"/>
      <c r="P344" s="19"/>
      <c r="Q344" s="19"/>
    </row>
    <row r="345" spans="1:17" ht="46.5" customHeight="1" x14ac:dyDescent="0.7">
      <c r="A345" s="19"/>
      <c r="B345" s="19"/>
      <c r="C345" s="19"/>
      <c r="D345" s="31"/>
      <c r="E345" s="31"/>
      <c r="F345" s="31"/>
      <c r="G345" s="31"/>
      <c r="H345" s="31"/>
      <c r="I345" s="31"/>
      <c r="J345" s="31"/>
      <c r="K345" s="19"/>
      <c r="L345" s="19"/>
      <c r="M345" s="19"/>
      <c r="N345" s="31"/>
      <c r="O345" s="31"/>
      <c r="P345" s="19"/>
      <c r="Q345" s="19"/>
    </row>
    <row r="346" spans="1:17" ht="46.5" customHeight="1" x14ac:dyDescent="0.7">
      <c r="A346" s="19"/>
      <c r="B346" s="19"/>
      <c r="C346" s="19"/>
      <c r="D346" s="31"/>
      <c r="E346" s="31"/>
      <c r="F346" s="31"/>
      <c r="G346" s="31"/>
      <c r="H346" s="31"/>
      <c r="I346" s="31"/>
      <c r="J346" s="31"/>
      <c r="K346" s="19"/>
      <c r="L346" s="19"/>
      <c r="M346" s="19"/>
      <c r="N346" s="31"/>
      <c r="O346" s="31"/>
      <c r="P346" s="19"/>
      <c r="Q346" s="19"/>
    </row>
    <row r="347" spans="1:17" ht="46.5" customHeight="1" x14ac:dyDescent="0.7">
      <c r="A347" s="19"/>
      <c r="B347" s="19"/>
      <c r="C347" s="19"/>
      <c r="D347" s="31"/>
      <c r="E347" s="31"/>
      <c r="F347" s="31"/>
      <c r="G347" s="31"/>
      <c r="H347" s="31"/>
      <c r="I347" s="31"/>
      <c r="J347" s="31"/>
      <c r="K347" s="19"/>
      <c r="L347" s="19"/>
      <c r="M347" s="19"/>
      <c r="N347" s="31"/>
      <c r="O347" s="31"/>
      <c r="P347" s="19"/>
      <c r="Q347" s="19"/>
    </row>
    <row r="348" spans="1:17" ht="46.5" customHeight="1" x14ac:dyDescent="0.7">
      <c r="A348" s="19"/>
      <c r="B348" s="19"/>
      <c r="C348" s="19"/>
      <c r="D348" s="31"/>
      <c r="E348" s="31"/>
      <c r="F348" s="31"/>
      <c r="G348" s="31"/>
      <c r="H348" s="31"/>
      <c r="I348" s="31"/>
      <c r="J348" s="31"/>
      <c r="K348" s="19"/>
      <c r="L348" s="19"/>
      <c r="M348" s="19"/>
      <c r="N348" s="31"/>
      <c r="O348" s="31"/>
      <c r="P348" s="19"/>
      <c r="Q348" s="19"/>
    </row>
    <row r="349" spans="1:17" ht="46.5" customHeight="1" x14ac:dyDescent="0.7">
      <c r="A349" s="19"/>
      <c r="B349" s="19"/>
      <c r="C349" s="19"/>
      <c r="D349" s="31"/>
      <c r="E349" s="31"/>
      <c r="F349" s="31"/>
      <c r="G349" s="31"/>
      <c r="H349" s="31"/>
      <c r="I349" s="31"/>
      <c r="J349" s="31"/>
      <c r="K349" s="19"/>
      <c r="L349" s="19"/>
      <c r="M349" s="19"/>
      <c r="N349" s="31"/>
      <c r="O349" s="31"/>
      <c r="P349" s="19"/>
      <c r="Q349" s="19"/>
    </row>
    <row r="350" spans="1:17" ht="46.5" customHeight="1" x14ac:dyDescent="0.7">
      <c r="A350" s="19"/>
      <c r="B350" s="19"/>
      <c r="C350" s="19"/>
      <c r="D350" s="31"/>
      <c r="E350" s="31"/>
      <c r="F350" s="31"/>
      <c r="G350" s="31"/>
      <c r="H350" s="31"/>
      <c r="I350" s="31"/>
      <c r="J350" s="31"/>
      <c r="K350" s="19"/>
      <c r="L350" s="19"/>
      <c r="M350" s="19"/>
      <c r="N350" s="31"/>
      <c r="O350" s="31"/>
      <c r="P350" s="19"/>
      <c r="Q350" s="19"/>
    </row>
    <row r="351" spans="1:17" ht="46.5" customHeight="1" x14ac:dyDescent="0.7">
      <c r="A351" s="19"/>
      <c r="B351" s="19"/>
      <c r="C351" s="19"/>
      <c r="D351" s="31"/>
      <c r="E351" s="31"/>
      <c r="F351" s="31"/>
      <c r="G351" s="31"/>
      <c r="H351" s="31"/>
      <c r="I351" s="31"/>
      <c r="J351" s="31"/>
      <c r="K351" s="19"/>
      <c r="L351" s="19"/>
      <c r="M351" s="19"/>
      <c r="N351" s="31"/>
      <c r="O351" s="31"/>
      <c r="P351" s="19"/>
      <c r="Q351" s="19"/>
    </row>
    <row r="352" spans="1:17" ht="46.5" customHeight="1" x14ac:dyDescent="0.7">
      <c r="A352" s="19"/>
      <c r="B352" s="19"/>
      <c r="C352" s="19"/>
      <c r="D352" s="31"/>
      <c r="E352" s="31"/>
      <c r="F352" s="31"/>
      <c r="G352" s="31"/>
      <c r="H352" s="31"/>
      <c r="I352" s="31"/>
      <c r="J352" s="31"/>
      <c r="K352" s="19"/>
      <c r="L352" s="19"/>
      <c r="M352" s="19"/>
      <c r="N352" s="31"/>
      <c r="O352" s="31"/>
      <c r="P352" s="19"/>
      <c r="Q352" s="19"/>
    </row>
    <row r="353" spans="1:17" ht="46.5" customHeight="1" x14ac:dyDescent="0.7">
      <c r="A353" s="19"/>
      <c r="B353" s="19"/>
      <c r="C353" s="19"/>
      <c r="D353" s="31"/>
      <c r="E353" s="31"/>
      <c r="F353" s="31"/>
      <c r="G353" s="31"/>
      <c r="H353" s="31"/>
      <c r="I353" s="31"/>
      <c r="J353" s="31"/>
      <c r="K353" s="19"/>
      <c r="L353" s="19"/>
      <c r="M353" s="19"/>
      <c r="N353" s="31"/>
      <c r="O353" s="31"/>
      <c r="P353" s="19"/>
      <c r="Q353" s="19"/>
    </row>
    <row r="354" spans="1:17" ht="46.5" customHeight="1" x14ac:dyDescent="0.7">
      <c r="A354" s="19"/>
      <c r="B354" s="19"/>
      <c r="C354" s="19"/>
      <c r="D354" s="31"/>
      <c r="E354" s="31"/>
      <c r="F354" s="31"/>
      <c r="G354" s="31"/>
      <c r="H354" s="31"/>
      <c r="I354" s="31"/>
      <c r="J354" s="31"/>
      <c r="K354" s="19"/>
      <c r="L354" s="19"/>
      <c r="M354" s="19"/>
      <c r="N354" s="31"/>
      <c r="O354" s="31"/>
      <c r="P354" s="19"/>
      <c r="Q354" s="19"/>
    </row>
    <row r="355" spans="1:17" ht="46.5" customHeight="1" x14ac:dyDescent="0.7">
      <c r="A355" s="19"/>
      <c r="B355" s="19"/>
      <c r="C355" s="19"/>
      <c r="D355" s="31"/>
      <c r="E355" s="31"/>
      <c r="F355" s="31"/>
      <c r="G355" s="31"/>
      <c r="H355" s="31"/>
      <c r="I355" s="31"/>
      <c r="J355" s="31"/>
      <c r="K355" s="19"/>
      <c r="L355" s="19"/>
      <c r="M355" s="19"/>
      <c r="N355" s="31"/>
      <c r="O355" s="31"/>
      <c r="P355" s="19"/>
      <c r="Q355" s="19"/>
    </row>
    <row r="356" spans="1:17" ht="46.5" customHeight="1" x14ac:dyDescent="0.7">
      <c r="A356" s="19"/>
      <c r="B356" s="19"/>
      <c r="C356" s="19"/>
      <c r="D356" s="31"/>
      <c r="E356" s="31"/>
      <c r="F356" s="31"/>
      <c r="G356" s="31"/>
      <c r="H356" s="31"/>
      <c r="I356" s="31"/>
      <c r="J356" s="31"/>
      <c r="K356" s="19"/>
      <c r="L356" s="19"/>
      <c r="M356" s="19"/>
      <c r="N356" s="31"/>
      <c r="O356" s="31"/>
      <c r="P356" s="19"/>
      <c r="Q356" s="19"/>
    </row>
    <row r="357" spans="1:17" ht="46.5" customHeight="1" x14ac:dyDescent="0.7">
      <c r="A357" s="19"/>
      <c r="B357" s="19"/>
      <c r="C357" s="19"/>
      <c r="D357" s="31"/>
      <c r="E357" s="31"/>
      <c r="F357" s="31"/>
      <c r="G357" s="31"/>
      <c r="H357" s="31"/>
      <c r="I357" s="31"/>
      <c r="J357" s="31"/>
      <c r="K357" s="19"/>
      <c r="L357" s="19"/>
      <c r="M357" s="19"/>
      <c r="N357" s="31"/>
      <c r="O357" s="31"/>
      <c r="P357" s="19"/>
      <c r="Q357" s="19"/>
    </row>
    <row r="358" spans="1:17" ht="46.5" customHeight="1" x14ac:dyDescent="0.7">
      <c r="A358" s="19"/>
      <c r="B358" s="19"/>
      <c r="C358" s="19"/>
      <c r="D358" s="31"/>
      <c r="E358" s="31"/>
      <c r="F358" s="31"/>
      <c r="G358" s="31"/>
      <c r="H358" s="31"/>
      <c r="I358" s="31"/>
      <c r="J358" s="31"/>
      <c r="K358" s="19"/>
      <c r="L358" s="19"/>
      <c r="M358" s="19"/>
      <c r="N358" s="31"/>
      <c r="O358" s="31"/>
      <c r="P358" s="19"/>
      <c r="Q358" s="19"/>
    </row>
    <row r="359" spans="1:17" ht="46.5" customHeight="1" x14ac:dyDescent="0.7">
      <c r="A359" s="19"/>
      <c r="B359" s="19"/>
      <c r="C359" s="19"/>
      <c r="D359" s="31"/>
      <c r="E359" s="31"/>
      <c r="F359" s="31"/>
      <c r="G359" s="31"/>
      <c r="H359" s="31"/>
      <c r="I359" s="31"/>
      <c r="J359" s="31"/>
      <c r="K359" s="19"/>
      <c r="L359" s="19"/>
      <c r="M359" s="19"/>
      <c r="N359" s="31"/>
      <c r="O359" s="31"/>
      <c r="P359" s="19"/>
      <c r="Q359" s="19"/>
    </row>
    <row r="360" spans="1:17" ht="46.5" customHeight="1" x14ac:dyDescent="0.7">
      <c r="A360" s="19"/>
      <c r="B360" s="19"/>
      <c r="C360" s="19"/>
      <c r="D360" s="31"/>
      <c r="E360" s="31"/>
      <c r="F360" s="31"/>
      <c r="G360" s="31"/>
      <c r="H360" s="31"/>
      <c r="I360" s="31"/>
      <c r="J360" s="31"/>
      <c r="K360" s="19"/>
      <c r="L360" s="19"/>
      <c r="M360" s="19"/>
      <c r="N360" s="31"/>
      <c r="O360" s="31"/>
      <c r="P360" s="19"/>
      <c r="Q360" s="19"/>
    </row>
    <row r="361" spans="1:17" ht="46.5" customHeight="1" x14ac:dyDescent="0.7">
      <c r="A361" s="19"/>
      <c r="B361" s="19"/>
      <c r="C361" s="19"/>
      <c r="D361" s="31"/>
      <c r="E361" s="31"/>
      <c r="F361" s="31"/>
      <c r="G361" s="31"/>
      <c r="H361" s="31"/>
      <c r="I361" s="31"/>
      <c r="J361" s="31"/>
      <c r="K361" s="19"/>
      <c r="L361" s="19"/>
      <c r="M361" s="19"/>
      <c r="N361" s="31"/>
      <c r="O361" s="31"/>
      <c r="P361" s="19"/>
      <c r="Q361" s="19"/>
    </row>
    <row r="362" spans="1:17" ht="46.5" customHeight="1" x14ac:dyDescent="0.7">
      <c r="A362" s="19"/>
      <c r="B362" s="19"/>
      <c r="C362" s="19"/>
      <c r="D362" s="31"/>
      <c r="E362" s="31"/>
      <c r="F362" s="31"/>
      <c r="G362" s="31"/>
      <c r="H362" s="31"/>
      <c r="I362" s="31"/>
      <c r="J362" s="31"/>
      <c r="K362" s="19"/>
      <c r="L362" s="19"/>
      <c r="M362" s="19"/>
      <c r="N362" s="31"/>
      <c r="O362" s="31"/>
      <c r="P362" s="19"/>
      <c r="Q362" s="19"/>
    </row>
    <row r="363" spans="1:17" ht="46.5" customHeight="1" x14ac:dyDescent="0.7">
      <c r="A363" s="19"/>
      <c r="B363" s="19"/>
      <c r="C363" s="19"/>
      <c r="D363" s="31"/>
      <c r="E363" s="31"/>
      <c r="F363" s="31"/>
      <c r="G363" s="31"/>
      <c r="H363" s="31"/>
      <c r="I363" s="31"/>
      <c r="J363" s="31"/>
      <c r="K363" s="19"/>
      <c r="L363" s="19"/>
      <c r="M363" s="19"/>
      <c r="N363" s="31"/>
      <c r="O363" s="31"/>
      <c r="P363" s="19"/>
      <c r="Q363" s="19"/>
    </row>
    <row r="364" spans="1:17" ht="46.5" customHeight="1" x14ac:dyDescent="0.7">
      <c r="A364" s="19"/>
      <c r="B364" s="19"/>
      <c r="C364" s="19"/>
      <c r="D364" s="31"/>
      <c r="E364" s="31"/>
      <c r="F364" s="31"/>
      <c r="G364" s="31"/>
      <c r="H364" s="31"/>
      <c r="I364" s="31"/>
      <c r="J364" s="31"/>
      <c r="K364" s="19"/>
      <c r="L364" s="19"/>
      <c r="M364" s="19"/>
      <c r="N364" s="31"/>
      <c r="O364" s="31"/>
      <c r="P364" s="19"/>
      <c r="Q364" s="19"/>
    </row>
    <row r="365" spans="1:17" ht="46.5" customHeight="1" x14ac:dyDescent="0.7">
      <c r="A365" s="19"/>
      <c r="B365" s="19"/>
      <c r="C365" s="19"/>
      <c r="D365" s="31"/>
      <c r="E365" s="31"/>
      <c r="F365" s="31"/>
      <c r="G365" s="31"/>
      <c r="H365" s="31"/>
      <c r="I365" s="31"/>
      <c r="J365" s="31"/>
      <c r="K365" s="19"/>
      <c r="L365" s="19"/>
      <c r="M365" s="19"/>
      <c r="N365" s="31"/>
      <c r="O365" s="31"/>
      <c r="P365" s="19"/>
      <c r="Q365" s="19"/>
    </row>
    <row r="366" spans="1:17" ht="46.5" customHeight="1" x14ac:dyDescent="0.7">
      <c r="A366" s="19"/>
      <c r="B366" s="19"/>
      <c r="C366" s="19"/>
      <c r="D366" s="31"/>
      <c r="E366" s="31"/>
      <c r="F366" s="31"/>
      <c r="G366" s="31"/>
      <c r="H366" s="31"/>
      <c r="I366" s="31"/>
      <c r="J366" s="31"/>
      <c r="K366" s="19"/>
      <c r="L366" s="19"/>
      <c r="M366" s="19"/>
      <c r="N366" s="31"/>
      <c r="O366" s="31"/>
      <c r="P366" s="19"/>
      <c r="Q366" s="19"/>
    </row>
    <row r="367" spans="1:17" ht="46.5" customHeight="1" x14ac:dyDescent="0.7">
      <c r="A367" s="19"/>
      <c r="B367" s="19"/>
      <c r="C367" s="19"/>
      <c r="D367" s="31"/>
      <c r="E367" s="31"/>
      <c r="F367" s="31"/>
      <c r="G367" s="31"/>
      <c r="H367" s="31"/>
      <c r="I367" s="31"/>
      <c r="J367" s="31"/>
      <c r="K367" s="19"/>
      <c r="L367" s="19"/>
      <c r="M367" s="19"/>
      <c r="N367" s="31"/>
      <c r="O367" s="31"/>
      <c r="P367" s="19"/>
      <c r="Q367" s="19"/>
    </row>
    <row r="368" spans="1:17" ht="46.5" customHeight="1" x14ac:dyDescent="0.7">
      <c r="A368" s="19"/>
      <c r="B368" s="19"/>
      <c r="C368" s="19"/>
      <c r="D368" s="31"/>
      <c r="E368" s="31"/>
      <c r="F368" s="31"/>
      <c r="G368" s="31"/>
      <c r="H368" s="31"/>
      <c r="I368" s="31"/>
      <c r="J368" s="31"/>
      <c r="K368" s="19"/>
      <c r="L368" s="19"/>
      <c r="M368" s="19"/>
      <c r="N368" s="31"/>
      <c r="O368" s="31"/>
      <c r="P368" s="19"/>
      <c r="Q368" s="19"/>
    </row>
    <row r="369" spans="1:17" ht="46.5" customHeight="1" x14ac:dyDescent="0.7">
      <c r="A369" s="19"/>
      <c r="B369" s="19"/>
      <c r="C369" s="19"/>
      <c r="D369" s="31"/>
      <c r="E369" s="31"/>
      <c r="F369" s="31"/>
      <c r="G369" s="31"/>
      <c r="H369" s="31"/>
      <c r="I369" s="31"/>
      <c r="J369" s="31"/>
      <c r="K369" s="19"/>
      <c r="L369" s="19"/>
      <c r="M369" s="19"/>
      <c r="N369" s="31"/>
      <c r="O369" s="31"/>
      <c r="P369" s="19"/>
      <c r="Q369" s="19"/>
    </row>
    <row r="370" spans="1:17" ht="46.5" customHeight="1" x14ac:dyDescent="0.7">
      <c r="A370" s="19"/>
      <c r="B370" s="19"/>
      <c r="C370" s="19"/>
      <c r="D370" s="31"/>
      <c r="E370" s="31"/>
      <c r="F370" s="31"/>
      <c r="G370" s="31"/>
      <c r="H370" s="31"/>
      <c r="I370" s="31"/>
      <c r="J370" s="31"/>
      <c r="K370" s="19"/>
      <c r="L370" s="19"/>
      <c r="M370" s="19"/>
      <c r="N370" s="31"/>
      <c r="O370" s="31"/>
      <c r="P370" s="19"/>
      <c r="Q370" s="19"/>
    </row>
    <row r="371" spans="1:17" ht="46.5" customHeight="1" x14ac:dyDescent="0.7">
      <c r="A371" s="19"/>
      <c r="B371" s="19"/>
      <c r="C371" s="19"/>
      <c r="D371" s="31"/>
      <c r="E371" s="31"/>
      <c r="F371" s="31"/>
      <c r="G371" s="31"/>
      <c r="H371" s="31"/>
      <c r="I371" s="31"/>
      <c r="J371" s="31"/>
      <c r="K371" s="19"/>
      <c r="L371" s="19"/>
      <c r="M371" s="19"/>
      <c r="N371" s="31"/>
      <c r="O371" s="31"/>
      <c r="P371" s="19"/>
      <c r="Q371" s="19"/>
    </row>
    <row r="372" spans="1:17" ht="46.5" customHeight="1" x14ac:dyDescent="0.7">
      <c r="A372" s="19"/>
      <c r="B372" s="19"/>
      <c r="C372" s="19"/>
      <c r="D372" s="31"/>
      <c r="E372" s="31"/>
      <c r="F372" s="31"/>
      <c r="G372" s="31"/>
      <c r="H372" s="31"/>
      <c r="I372" s="31"/>
      <c r="J372" s="31"/>
      <c r="K372" s="19"/>
      <c r="L372" s="19"/>
      <c r="M372" s="19"/>
      <c r="N372" s="31"/>
      <c r="O372" s="31"/>
      <c r="P372" s="19"/>
      <c r="Q372" s="19"/>
    </row>
    <row r="373" spans="1:17" ht="46.5" customHeight="1" x14ac:dyDescent="0.7">
      <c r="A373" s="19"/>
      <c r="B373" s="19"/>
      <c r="C373" s="19"/>
      <c r="D373" s="31"/>
      <c r="E373" s="31"/>
      <c r="F373" s="31"/>
      <c r="G373" s="31"/>
      <c r="H373" s="31"/>
      <c r="I373" s="31"/>
      <c r="J373" s="31"/>
      <c r="K373" s="19"/>
      <c r="L373" s="19"/>
      <c r="M373" s="19"/>
      <c r="N373" s="31"/>
      <c r="O373" s="31"/>
      <c r="P373" s="19"/>
      <c r="Q373" s="19"/>
    </row>
    <row r="374" spans="1:17" ht="46.5" customHeight="1" x14ac:dyDescent="0.7">
      <c r="A374" s="19"/>
      <c r="B374" s="19"/>
      <c r="C374" s="19"/>
      <c r="D374" s="31"/>
      <c r="E374" s="31"/>
      <c r="F374" s="31"/>
      <c r="G374" s="31"/>
      <c r="H374" s="31"/>
      <c r="I374" s="31"/>
      <c r="J374" s="31"/>
      <c r="K374" s="19"/>
      <c r="L374" s="19"/>
      <c r="M374" s="19"/>
      <c r="N374" s="31"/>
      <c r="O374" s="31"/>
      <c r="P374" s="19"/>
      <c r="Q374" s="19"/>
    </row>
    <row r="375" spans="1:17" ht="46.5" customHeight="1" x14ac:dyDescent="0.7">
      <c r="A375" s="19"/>
      <c r="B375" s="19"/>
      <c r="C375" s="19"/>
      <c r="D375" s="31"/>
      <c r="E375" s="31"/>
      <c r="F375" s="31"/>
      <c r="G375" s="31"/>
      <c r="H375" s="31"/>
      <c r="I375" s="31"/>
      <c r="J375" s="31"/>
      <c r="K375" s="19"/>
      <c r="L375" s="19"/>
      <c r="M375" s="19"/>
      <c r="N375" s="31"/>
      <c r="O375" s="31"/>
      <c r="P375" s="19"/>
      <c r="Q375" s="19"/>
    </row>
    <row r="376" spans="1:17" ht="46.5" customHeight="1" x14ac:dyDescent="0.7">
      <c r="A376" s="19"/>
      <c r="B376" s="19"/>
      <c r="C376" s="19"/>
      <c r="D376" s="31"/>
      <c r="E376" s="31"/>
      <c r="F376" s="31"/>
      <c r="G376" s="31"/>
      <c r="H376" s="31"/>
      <c r="I376" s="31"/>
      <c r="J376" s="31"/>
      <c r="K376" s="19"/>
      <c r="L376" s="19"/>
      <c r="M376" s="19"/>
      <c r="N376" s="31"/>
      <c r="O376" s="31"/>
      <c r="P376" s="19"/>
      <c r="Q376" s="19"/>
    </row>
    <row r="377" spans="1:17" ht="46.5" customHeight="1" x14ac:dyDescent="0.7">
      <c r="A377" s="19"/>
      <c r="B377" s="19"/>
      <c r="C377" s="19"/>
      <c r="D377" s="31"/>
      <c r="E377" s="31"/>
      <c r="F377" s="31"/>
      <c r="G377" s="31"/>
      <c r="H377" s="31"/>
      <c r="I377" s="31"/>
      <c r="J377" s="31"/>
      <c r="K377" s="19"/>
      <c r="L377" s="19"/>
      <c r="M377" s="19"/>
      <c r="N377" s="31"/>
      <c r="O377" s="31"/>
      <c r="P377" s="19"/>
      <c r="Q377" s="19"/>
    </row>
    <row r="378" spans="1:17" ht="46.5" customHeight="1" x14ac:dyDescent="0.7">
      <c r="A378" s="19"/>
      <c r="B378" s="19"/>
      <c r="C378" s="19"/>
      <c r="D378" s="31"/>
      <c r="E378" s="31"/>
      <c r="F378" s="31"/>
      <c r="G378" s="31"/>
      <c r="H378" s="31"/>
      <c r="I378" s="31"/>
      <c r="J378" s="31"/>
      <c r="K378" s="19"/>
      <c r="L378" s="19"/>
      <c r="M378" s="19"/>
      <c r="N378" s="31"/>
      <c r="O378" s="31"/>
      <c r="P378" s="19"/>
      <c r="Q378" s="19"/>
    </row>
    <row r="379" spans="1:17" ht="46.5" customHeight="1" x14ac:dyDescent="0.7">
      <c r="A379" s="19"/>
      <c r="B379" s="19"/>
      <c r="C379" s="19"/>
      <c r="D379" s="31"/>
      <c r="E379" s="31"/>
      <c r="F379" s="31"/>
      <c r="G379" s="31"/>
      <c r="H379" s="31"/>
      <c r="I379" s="31"/>
      <c r="J379" s="31"/>
      <c r="K379" s="19"/>
      <c r="L379" s="19"/>
      <c r="M379" s="19"/>
      <c r="N379" s="31"/>
      <c r="O379" s="31"/>
      <c r="P379" s="19"/>
      <c r="Q379" s="19"/>
    </row>
    <row r="380" spans="1:17" ht="46.5" customHeight="1" x14ac:dyDescent="0.7">
      <c r="A380" s="19"/>
      <c r="B380" s="19"/>
      <c r="C380" s="19"/>
      <c r="D380" s="31"/>
      <c r="E380" s="31"/>
      <c r="F380" s="31"/>
      <c r="G380" s="31"/>
      <c r="H380" s="31"/>
      <c r="I380" s="31"/>
      <c r="J380" s="31"/>
      <c r="K380" s="19"/>
      <c r="L380" s="19"/>
      <c r="M380" s="19"/>
      <c r="N380" s="31"/>
      <c r="O380" s="31"/>
      <c r="P380" s="19"/>
      <c r="Q380" s="19"/>
    </row>
    <row r="381" spans="1:17" ht="46.5" customHeight="1" x14ac:dyDescent="0.7">
      <c r="A381" s="19"/>
      <c r="B381" s="19"/>
      <c r="C381" s="19"/>
      <c r="D381" s="31"/>
      <c r="E381" s="31"/>
      <c r="F381" s="31"/>
      <c r="G381" s="31"/>
      <c r="H381" s="31"/>
      <c r="I381" s="31"/>
      <c r="J381" s="31"/>
      <c r="K381" s="19"/>
      <c r="L381" s="19"/>
      <c r="M381" s="19"/>
      <c r="N381" s="31"/>
      <c r="O381" s="31"/>
      <c r="P381" s="19"/>
      <c r="Q381" s="19"/>
    </row>
    <row r="382" spans="1:17" ht="46.5" customHeight="1" x14ac:dyDescent="0.7">
      <c r="A382" s="19"/>
      <c r="B382" s="19"/>
      <c r="C382" s="19"/>
      <c r="D382" s="31"/>
      <c r="E382" s="31"/>
      <c r="F382" s="31"/>
      <c r="G382" s="31"/>
      <c r="H382" s="31"/>
      <c r="I382" s="31"/>
      <c r="J382" s="31"/>
      <c r="K382" s="19"/>
      <c r="L382" s="19"/>
      <c r="M382" s="19"/>
      <c r="N382" s="31"/>
      <c r="O382" s="31"/>
      <c r="P382" s="19"/>
      <c r="Q382" s="19"/>
    </row>
    <row r="383" spans="1:17" ht="46.5" customHeight="1" x14ac:dyDescent="0.7">
      <c r="A383" s="19"/>
      <c r="B383" s="19"/>
      <c r="C383" s="19"/>
      <c r="D383" s="31"/>
      <c r="E383" s="31"/>
      <c r="F383" s="31"/>
      <c r="G383" s="31"/>
      <c r="H383" s="31"/>
      <c r="I383" s="31"/>
      <c r="J383" s="31"/>
      <c r="K383" s="19"/>
      <c r="L383" s="19"/>
      <c r="M383" s="19"/>
      <c r="N383" s="31"/>
      <c r="O383" s="31"/>
      <c r="P383" s="19"/>
      <c r="Q383" s="19"/>
    </row>
    <row r="384" spans="1:17" ht="46.5" customHeight="1" x14ac:dyDescent="0.7">
      <c r="A384" s="19"/>
      <c r="B384" s="19"/>
      <c r="C384" s="19"/>
      <c r="D384" s="31"/>
      <c r="E384" s="31"/>
      <c r="F384" s="31"/>
      <c r="G384" s="31"/>
      <c r="H384" s="31"/>
      <c r="I384" s="31"/>
      <c r="J384" s="31"/>
      <c r="K384" s="19"/>
      <c r="L384" s="19"/>
      <c r="M384" s="19"/>
      <c r="N384" s="31"/>
      <c r="O384" s="31"/>
      <c r="P384" s="19"/>
      <c r="Q384" s="19"/>
    </row>
    <row r="385" spans="1:17" ht="46.5" customHeight="1" x14ac:dyDescent="0.7">
      <c r="A385" s="19"/>
      <c r="B385" s="19"/>
      <c r="C385" s="19"/>
      <c r="D385" s="31"/>
      <c r="E385" s="31"/>
      <c r="F385" s="31"/>
      <c r="G385" s="31"/>
      <c r="H385" s="31"/>
      <c r="I385" s="31"/>
      <c r="J385" s="31"/>
      <c r="K385" s="19"/>
      <c r="L385" s="19"/>
      <c r="M385" s="19"/>
      <c r="N385" s="31"/>
      <c r="O385" s="31"/>
      <c r="P385" s="19"/>
      <c r="Q385" s="19"/>
    </row>
    <row r="386" spans="1:17" ht="46.5" customHeight="1" x14ac:dyDescent="0.7">
      <c r="A386" s="19"/>
      <c r="B386" s="19"/>
      <c r="C386" s="19"/>
      <c r="D386" s="31"/>
      <c r="E386" s="31"/>
      <c r="F386" s="31"/>
      <c r="G386" s="31"/>
      <c r="H386" s="31"/>
      <c r="I386" s="31"/>
      <c r="J386" s="31"/>
      <c r="K386" s="19"/>
      <c r="L386" s="19"/>
      <c r="M386" s="19"/>
      <c r="N386" s="31"/>
      <c r="O386" s="31"/>
      <c r="P386" s="19"/>
      <c r="Q386" s="19"/>
    </row>
    <row r="387" spans="1:17" ht="46.5" customHeight="1" x14ac:dyDescent="0.7">
      <c r="A387" s="19"/>
      <c r="B387" s="19"/>
      <c r="C387" s="19"/>
      <c r="D387" s="31"/>
      <c r="E387" s="31"/>
      <c r="F387" s="31"/>
      <c r="G387" s="31"/>
      <c r="H387" s="31"/>
      <c r="I387" s="31"/>
      <c r="J387" s="31"/>
      <c r="K387" s="19"/>
      <c r="L387" s="19"/>
      <c r="M387" s="19"/>
      <c r="N387" s="31"/>
      <c r="O387" s="31"/>
      <c r="P387" s="19"/>
      <c r="Q387" s="19"/>
    </row>
    <row r="388" spans="1:17" ht="46.5" customHeight="1" x14ac:dyDescent="0.7">
      <c r="A388" s="19"/>
      <c r="B388" s="19"/>
      <c r="C388" s="19"/>
      <c r="D388" s="31"/>
      <c r="E388" s="31"/>
      <c r="F388" s="31"/>
      <c r="G388" s="31"/>
      <c r="H388" s="31"/>
      <c r="I388" s="31"/>
      <c r="J388" s="31"/>
      <c r="K388" s="19"/>
      <c r="L388" s="19"/>
      <c r="M388" s="19"/>
      <c r="N388" s="31"/>
      <c r="O388" s="31"/>
      <c r="P388" s="19"/>
      <c r="Q388" s="19"/>
    </row>
    <row r="389" spans="1:17" ht="46.5" customHeight="1" x14ac:dyDescent="0.7">
      <c r="A389" s="19"/>
      <c r="B389" s="19"/>
      <c r="C389" s="19"/>
      <c r="D389" s="31"/>
      <c r="E389" s="31"/>
      <c r="F389" s="31"/>
      <c r="G389" s="31"/>
      <c r="H389" s="31"/>
      <c r="I389" s="31"/>
      <c r="J389" s="31"/>
      <c r="K389" s="19"/>
      <c r="L389" s="19"/>
      <c r="M389" s="19"/>
      <c r="N389" s="31"/>
      <c r="O389" s="31"/>
      <c r="P389" s="19"/>
      <c r="Q389" s="19"/>
    </row>
    <row r="390" spans="1:17" ht="46.5" customHeight="1" x14ac:dyDescent="0.7">
      <c r="A390" s="19"/>
      <c r="B390" s="19"/>
      <c r="C390" s="19"/>
      <c r="D390" s="31"/>
      <c r="E390" s="31"/>
      <c r="F390" s="31"/>
      <c r="G390" s="31"/>
      <c r="H390" s="31"/>
      <c r="I390" s="31"/>
      <c r="J390" s="31"/>
      <c r="K390" s="19"/>
      <c r="L390" s="19"/>
      <c r="M390" s="19"/>
      <c r="N390" s="31"/>
      <c r="O390" s="31"/>
      <c r="P390" s="19"/>
      <c r="Q390" s="19"/>
    </row>
    <row r="391" spans="1:17" ht="46.5" customHeight="1" x14ac:dyDescent="0.7">
      <c r="A391" s="19"/>
      <c r="B391" s="19"/>
      <c r="C391" s="19"/>
      <c r="D391" s="31"/>
      <c r="E391" s="31"/>
      <c r="F391" s="31"/>
      <c r="G391" s="31"/>
      <c r="H391" s="31"/>
      <c r="I391" s="31"/>
      <c r="J391" s="31"/>
      <c r="K391" s="19"/>
      <c r="L391" s="19"/>
      <c r="M391" s="19"/>
      <c r="N391" s="31"/>
      <c r="O391" s="31"/>
      <c r="P391" s="19"/>
      <c r="Q391" s="19"/>
    </row>
    <row r="392" spans="1:17" ht="46.5" customHeight="1" x14ac:dyDescent="0.7">
      <c r="A392" s="19"/>
      <c r="B392" s="19"/>
      <c r="C392" s="19"/>
      <c r="D392" s="31"/>
      <c r="E392" s="31"/>
      <c r="F392" s="31"/>
      <c r="G392" s="31"/>
      <c r="H392" s="31"/>
      <c r="I392" s="31"/>
      <c r="J392" s="31"/>
      <c r="K392" s="19"/>
      <c r="L392" s="19"/>
      <c r="M392" s="19"/>
      <c r="N392" s="31"/>
      <c r="O392" s="31"/>
      <c r="P392" s="19"/>
      <c r="Q392" s="19"/>
    </row>
    <row r="393" spans="1:17" ht="46.5" customHeight="1" x14ac:dyDescent="0.7">
      <c r="A393" s="19"/>
      <c r="B393" s="19"/>
      <c r="C393" s="19"/>
      <c r="D393" s="31"/>
      <c r="E393" s="31"/>
      <c r="F393" s="31"/>
      <c r="G393" s="31"/>
      <c r="H393" s="31"/>
      <c r="I393" s="31"/>
      <c r="J393" s="31"/>
      <c r="K393" s="19"/>
      <c r="L393" s="19"/>
      <c r="M393" s="19"/>
      <c r="N393" s="31"/>
      <c r="O393" s="31"/>
      <c r="P393" s="19"/>
      <c r="Q393" s="19"/>
    </row>
    <row r="394" spans="1:17" ht="46.5" customHeight="1" x14ac:dyDescent="0.7">
      <c r="A394" s="19"/>
      <c r="B394" s="19"/>
      <c r="C394" s="19"/>
      <c r="D394" s="31"/>
      <c r="E394" s="31"/>
      <c r="F394" s="31"/>
      <c r="G394" s="31"/>
      <c r="H394" s="31"/>
      <c r="I394" s="31"/>
      <c r="J394" s="31"/>
      <c r="K394" s="19"/>
      <c r="L394" s="19"/>
      <c r="M394" s="19"/>
      <c r="N394" s="31"/>
      <c r="O394" s="31"/>
      <c r="P394" s="19"/>
      <c r="Q394" s="19"/>
    </row>
    <row r="395" spans="1:17" ht="46.5" customHeight="1" x14ac:dyDescent="0.7">
      <c r="A395" s="19"/>
      <c r="B395" s="19"/>
      <c r="C395" s="19"/>
      <c r="D395" s="31"/>
      <c r="E395" s="31"/>
      <c r="F395" s="31"/>
      <c r="G395" s="31"/>
      <c r="H395" s="31"/>
      <c r="I395" s="31"/>
      <c r="J395" s="31"/>
      <c r="K395" s="19"/>
      <c r="L395" s="19"/>
      <c r="M395" s="19"/>
      <c r="N395" s="31"/>
      <c r="O395" s="31"/>
      <c r="P395" s="19"/>
      <c r="Q395" s="19"/>
    </row>
    <row r="396" spans="1:17" ht="46.5" customHeight="1" x14ac:dyDescent="0.7">
      <c r="A396" s="19"/>
      <c r="B396" s="19"/>
      <c r="C396" s="19"/>
      <c r="D396" s="31"/>
      <c r="E396" s="31"/>
      <c r="F396" s="31"/>
      <c r="G396" s="31"/>
      <c r="H396" s="31"/>
      <c r="I396" s="31"/>
      <c r="J396" s="31"/>
      <c r="K396" s="19"/>
      <c r="L396" s="19"/>
      <c r="M396" s="19"/>
      <c r="N396" s="31"/>
      <c r="O396" s="31"/>
      <c r="P396" s="19"/>
      <c r="Q396" s="19"/>
    </row>
    <row r="397" spans="1:17" ht="46.5" customHeight="1" x14ac:dyDescent="0.7">
      <c r="A397" s="19"/>
      <c r="B397" s="19"/>
      <c r="C397" s="19"/>
      <c r="D397" s="31"/>
      <c r="E397" s="31"/>
      <c r="F397" s="31"/>
      <c r="G397" s="31"/>
      <c r="H397" s="31"/>
      <c r="I397" s="31"/>
      <c r="J397" s="31"/>
      <c r="K397" s="19"/>
      <c r="L397" s="19"/>
      <c r="M397" s="19"/>
      <c r="N397" s="31"/>
      <c r="O397" s="31"/>
      <c r="P397" s="19"/>
      <c r="Q397" s="19"/>
    </row>
    <row r="398" spans="1:17" ht="46.5" customHeight="1" x14ac:dyDescent="0.7">
      <c r="A398" s="19"/>
      <c r="B398" s="19"/>
      <c r="C398" s="19"/>
      <c r="D398" s="31"/>
      <c r="E398" s="31"/>
      <c r="F398" s="31"/>
      <c r="G398" s="31"/>
      <c r="H398" s="31"/>
      <c r="I398" s="31"/>
      <c r="J398" s="31"/>
      <c r="K398" s="19"/>
      <c r="L398" s="19"/>
      <c r="M398" s="19"/>
      <c r="N398" s="31"/>
      <c r="O398" s="31"/>
      <c r="P398" s="19"/>
      <c r="Q398" s="19"/>
    </row>
    <row r="399" spans="1:17" ht="46.5" customHeight="1" x14ac:dyDescent="0.7">
      <c r="A399" s="19"/>
      <c r="B399" s="19"/>
      <c r="C399" s="19"/>
      <c r="D399" s="31"/>
      <c r="E399" s="31"/>
      <c r="F399" s="31"/>
      <c r="G399" s="31"/>
      <c r="H399" s="31"/>
      <c r="I399" s="31"/>
      <c r="J399" s="31"/>
      <c r="K399" s="19"/>
      <c r="L399" s="19"/>
      <c r="M399" s="19"/>
      <c r="N399" s="31"/>
      <c r="O399" s="31"/>
      <c r="P399" s="19"/>
      <c r="Q399" s="19"/>
    </row>
    <row r="400" spans="1:17" ht="46.5" customHeight="1" x14ac:dyDescent="0.7">
      <c r="A400" s="19"/>
      <c r="B400" s="19"/>
      <c r="C400" s="19"/>
      <c r="D400" s="31"/>
      <c r="E400" s="31"/>
      <c r="F400" s="31"/>
      <c r="G400" s="31"/>
      <c r="H400" s="31"/>
      <c r="I400" s="31"/>
      <c r="J400" s="31"/>
      <c r="K400" s="19"/>
      <c r="L400" s="19"/>
      <c r="M400" s="19"/>
      <c r="N400" s="31"/>
      <c r="O400" s="31"/>
      <c r="P400" s="19"/>
      <c r="Q400" s="19"/>
    </row>
    <row r="401" spans="1:17" ht="46.5" customHeight="1" x14ac:dyDescent="0.7">
      <c r="A401" s="19"/>
      <c r="B401" s="19"/>
      <c r="C401" s="19"/>
      <c r="D401" s="31"/>
      <c r="E401" s="31"/>
      <c r="F401" s="31"/>
      <c r="G401" s="31"/>
      <c r="H401" s="31"/>
      <c r="I401" s="31"/>
      <c r="J401" s="31"/>
      <c r="K401" s="19"/>
      <c r="L401" s="19"/>
      <c r="M401" s="19"/>
      <c r="N401" s="31"/>
      <c r="O401" s="31"/>
      <c r="P401" s="19"/>
      <c r="Q401" s="19"/>
    </row>
    <row r="402" spans="1:17" ht="46.5" customHeight="1" x14ac:dyDescent="0.7">
      <c r="A402" s="19"/>
      <c r="B402" s="19"/>
      <c r="C402" s="19"/>
      <c r="D402" s="31"/>
      <c r="E402" s="31"/>
      <c r="F402" s="31"/>
      <c r="G402" s="31"/>
      <c r="H402" s="31"/>
      <c r="I402" s="31"/>
      <c r="J402" s="31"/>
      <c r="K402" s="19"/>
      <c r="L402" s="19"/>
      <c r="M402" s="19"/>
      <c r="N402" s="31"/>
      <c r="O402" s="31"/>
      <c r="P402" s="19"/>
      <c r="Q402" s="19"/>
    </row>
    <row r="403" spans="1:17" ht="46.5" customHeight="1" x14ac:dyDescent="0.7">
      <c r="A403" s="19"/>
      <c r="B403" s="19"/>
      <c r="C403" s="19"/>
      <c r="D403" s="31"/>
      <c r="E403" s="31"/>
      <c r="F403" s="31"/>
      <c r="G403" s="31"/>
      <c r="H403" s="31"/>
      <c r="I403" s="31"/>
      <c r="J403" s="31"/>
      <c r="K403" s="19"/>
      <c r="L403" s="19"/>
      <c r="M403" s="19"/>
      <c r="N403" s="31"/>
      <c r="O403" s="31"/>
      <c r="P403" s="19"/>
      <c r="Q403" s="19"/>
    </row>
    <row r="404" spans="1:17" ht="46.5" customHeight="1" x14ac:dyDescent="0.7">
      <c r="A404" s="19"/>
      <c r="B404" s="19"/>
      <c r="C404" s="19"/>
      <c r="D404" s="31"/>
      <c r="E404" s="31"/>
      <c r="F404" s="31"/>
      <c r="G404" s="31"/>
      <c r="H404" s="31"/>
      <c r="I404" s="31"/>
      <c r="J404" s="31"/>
      <c r="K404" s="19"/>
      <c r="L404" s="19"/>
      <c r="M404" s="19"/>
      <c r="N404" s="31"/>
      <c r="O404" s="31"/>
      <c r="P404" s="19"/>
      <c r="Q404" s="19"/>
    </row>
    <row r="405" spans="1:17" ht="46.5" customHeight="1" x14ac:dyDescent="0.7">
      <c r="A405" s="19"/>
      <c r="B405" s="19"/>
      <c r="C405" s="19"/>
      <c r="D405" s="31"/>
      <c r="E405" s="31"/>
      <c r="F405" s="31"/>
      <c r="G405" s="31"/>
      <c r="H405" s="31"/>
      <c r="I405" s="31"/>
      <c r="J405" s="31"/>
      <c r="K405" s="19"/>
      <c r="L405" s="19"/>
      <c r="M405" s="19"/>
      <c r="N405" s="31"/>
      <c r="O405" s="31"/>
      <c r="P405" s="19"/>
      <c r="Q405" s="19"/>
    </row>
    <row r="406" spans="1:17" ht="46.5" customHeight="1" x14ac:dyDescent="0.7">
      <c r="A406" s="19"/>
      <c r="B406" s="19"/>
      <c r="C406" s="19"/>
      <c r="D406" s="31"/>
      <c r="E406" s="31"/>
      <c r="F406" s="31"/>
      <c r="G406" s="31"/>
      <c r="H406" s="31"/>
      <c r="I406" s="31"/>
      <c r="J406" s="31"/>
      <c r="K406" s="19"/>
      <c r="L406" s="19"/>
      <c r="M406" s="19"/>
      <c r="N406" s="31"/>
      <c r="O406" s="31"/>
      <c r="P406" s="19"/>
      <c r="Q406" s="19"/>
    </row>
    <row r="407" spans="1:17" ht="46.5" customHeight="1" x14ac:dyDescent="0.7">
      <c r="A407" s="19"/>
      <c r="B407" s="19"/>
      <c r="C407" s="19"/>
      <c r="D407" s="31"/>
      <c r="E407" s="31"/>
      <c r="F407" s="31"/>
      <c r="G407" s="31"/>
      <c r="H407" s="31"/>
      <c r="I407" s="31"/>
      <c r="J407" s="31"/>
      <c r="K407" s="19"/>
      <c r="L407" s="19"/>
      <c r="M407" s="19"/>
      <c r="N407" s="31"/>
      <c r="O407" s="31"/>
      <c r="P407" s="19"/>
      <c r="Q407" s="19"/>
    </row>
    <row r="408" spans="1:17" ht="46.5" customHeight="1" x14ac:dyDescent="0.7">
      <c r="A408" s="19"/>
      <c r="B408" s="19"/>
      <c r="C408" s="19"/>
      <c r="D408" s="31"/>
      <c r="E408" s="31"/>
      <c r="F408" s="31"/>
      <c r="G408" s="31"/>
      <c r="H408" s="31"/>
      <c r="I408" s="31"/>
      <c r="J408" s="31"/>
      <c r="K408" s="19"/>
      <c r="L408" s="19"/>
      <c r="M408" s="19"/>
      <c r="N408" s="31"/>
      <c r="O408" s="31"/>
      <c r="P408" s="19"/>
      <c r="Q408" s="19"/>
    </row>
    <row r="409" spans="1:17" ht="46.5" customHeight="1" x14ac:dyDescent="0.7">
      <c r="A409" s="19"/>
      <c r="B409" s="19"/>
      <c r="C409" s="19"/>
      <c r="D409" s="31"/>
      <c r="E409" s="31"/>
      <c r="F409" s="31"/>
      <c r="G409" s="31"/>
      <c r="H409" s="31"/>
      <c r="I409" s="31"/>
      <c r="J409" s="31"/>
      <c r="K409" s="19"/>
      <c r="L409" s="19"/>
      <c r="M409" s="19"/>
      <c r="N409" s="31"/>
      <c r="O409" s="31"/>
      <c r="P409" s="19"/>
      <c r="Q409" s="19"/>
    </row>
    <row r="410" spans="1:17" ht="46.5" customHeight="1" x14ac:dyDescent="0.7">
      <c r="A410" s="19"/>
      <c r="B410" s="19"/>
      <c r="C410" s="19"/>
      <c r="D410" s="31"/>
      <c r="E410" s="31"/>
      <c r="F410" s="31"/>
      <c r="G410" s="31"/>
      <c r="H410" s="31"/>
      <c r="I410" s="31"/>
      <c r="J410" s="31"/>
      <c r="K410" s="19"/>
      <c r="L410" s="19"/>
      <c r="M410" s="19"/>
      <c r="N410" s="31"/>
      <c r="O410" s="31"/>
      <c r="P410" s="19"/>
      <c r="Q410" s="19"/>
    </row>
    <row r="411" spans="1:17" ht="46.5" customHeight="1" x14ac:dyDescent="0.7">
      <c r="A411" s="19"/>
      <c r="B411" s="19"/>
      <c r="C411" s="19"/>
      <c r="D411" s="31"/>
      <c r="E411" s="31"/>
      <c r="F411" s="31"/>
      <c r="G411" s="31"/>
      <c r="H411" s="31"/>
      <c r="I411" s="31"/>
      <c r="J411" s="31"/>
      <c r="K411" s="19"/>
      <c r="L411" s="19"/>
      <c r="M411" s="19"/>
      <c r="N411" s="31"/>
      <c r="O411" s="31"/>
      <c r="P411" s="19"/>
      <c r="Q411" s="19"/>
    </row>
    <row r="412" spans="1:17" ht="46.5" customHeight="1" x14ac:dyDescent="0.7">
      <c r="A412" s="19"/>
      <c r="B412" s="19"/>
      <c r="C412" s="19"/>
      <c r="D412" s="31"/>
      <c r="E412" s="31"/>
      <c r="F412" s="31"/>
      <c r="G412" s="31"/>
      <c r="H412" s="31"/>
      <c r="I412" s="31"/>
      <c r="J412" s="31"/>
      <c r="K412" s="19"/>
      <c r="L412" s="19"/>
      <c r="M412" s="19"/>
      <c r="N412" s="31"/>
      <c r="O412" s="31"/>
      <c r="P412" s="19"/>
      <c r="Q412" s="19"/>
    </row>
    <row r="413" spans="1:17" ht="46.5" customHeight="1" x14ac:dyDescent="0.7">
      <c r="A413" s="19"/>
      <c r="B413" s="19"/>
      <c r="C413" s="19"/>
      <c r="D413" s="31"/>
      <c r="E413" s="31"/>
      <c r="F413" s="31"/>
      <c r="G413" s="31"/>
      <c r="H413" s="31"/>
      <c r="I413" s="31"/>
      <c r="J413" s="31"/>
      <c r="K413" s="19"/>
      <c r="L413" s="19"/>
      <c r="M413" s="19"/>
      <c r="N413" s="31"/>
      <c r="O413" s="31"/>
      <c r="P413" s="19"/>
      <c r="Q413" s="19"/>
    </row>
    <row r="414" spans="1:17" ht="46.5" customHeight="1" x14ac:dyDescent="0.7">
      <c r="A414" s="19"/>
      <c r="B414" s="19"/>
      <c r="C414" s="19"/>
      <c r="D414" s="31"/>
      <c r="E414" s="31"/>
      <c r="F414" s="31"/>
      <c r="G414" s="31"/>
      <c r="H414" s="31"/>
      <c r="I414" s="31"/>
      <c r="J414" s="31"/>
      <c r="K414" s="19"/>
      <c r="L414" s="19"/>
      <c r="M414" s="19"/>
      <c r="N414" s="31"/>
      <c r="O414" s="31"/>
      <c r="P414" s="19"/>
      <c r="Q414" s="19"/>
    </row>
    <row r="415" spans="1:17" ht="46.5" customHeight="1" x14ac:dyDescent="0.7">
      <c r="A415" s="19"/>
      <c r="B415" s="19"/>
      <c r="C415" s="19"/>
      <c r="D415" s="31"/>
      <c r="E415" s="31"/>
      <c r="F415" s="31"/>
      <c r="G415" s="31"/>
      <c r="H415" s="31"/>
      <c r="I415" s="31"/>
      <c r="J415" s="31"/>
      <c r="K415" s="19"/>
      <c r="L415" s="19"/>
      <c r="M415" s="19"/>
      <c r="N415" s="31"/>
      <c r="O415" s="31"/>
      <c r="P415" s="19"/>
      <c r="Q415" s="19"/>
    </row>
    <row r="416" spans="1:17" ht="46.5" customHeight="1" x14ac:dyDescent="0.7">
      <c r="A416" s="19"/>
      <c r="B416" s="19"/>
      <c r="C416" s="19"/>
      <c r="D416" s="31"/>
      <c r="E416" s="31"/>
      <c r="F416" s="31"/>
      <c r="G416" s="31"/>
      <c r="H416" s="31"/>
      <c r="I416" s="31"/>
      <c r="J416" s="31"/>
      <c r="K416" s="19"/>
      <c r="L416" s="19"/>
      <c r="M416" s="19"/>
      <c r="N416" s="31"/>
      <c r="O416" s="31"/>
      <c r="P416" s="19"/>
      <c r="Q416" s="19"/>
    </row>
    <row r="417" spans="1:17" ht="46.5" customHeight="1" x14ac:dyDescent="0.7">
      <c r="A417" s="19"/>
      <c r="B417" s="19"/>
      <c r="C417" s="19"/>
      <c r="D417" s="31"/>
      <c r="E417" s="31"/>
      <c r="F417" s="31"/>
      <c r="G417" s="31"/>
      <c r="H417" s="31"/>
      <c r="I417" s="31"/>
      <c r="J417" s="31"/>
      <c r="K417" s="19"/>
      <c r="L417" s="19"/>
      <c r="M417" s="19"/>
      <c r="N417" s="31"/>
      <c r="O417" s="31"/>
      <c r="P417" s="19"/>
      <c r="Q417" s="19"/>
    </row>
    <row r="418" spans="1:17" ht="46.5" customHeight="1" x14ac:dyDescent="0.7">
      <c r="A418" s="19"/>
      <c r="B418" s="19"/>
      <c r="C418" s="19"/>
      <c r="D418" s="31"/>
      <c r="E418" s="31"/>
      <c r="F418" s="31"/>
      <c r="G418" s="31"/>
      <c r="H418" s="31"/>
      <c r="I418" s="31"/>
      <c r="J418" s="31"/>
      <c r="K418" s="19"/>
      <c r="L418" s="19"/>
      <c r="M418" s="19"/>
      <c r="N418" s="31"/>
      <c r="O418" s="31"/>
      <c r="P418" s="19"/>
      <c r="Q418" s="19"/>
    </row>
    <row r="419" spans="1:17" ht="46.5" customHeight="1" x14ac:dyDescent="0.7">
      <c r="A419" s="19"/>
      <c r="B419" s="19"/>
      <c r="C419" s="19"/>
      <c r="D419" s="31"/>
      <c r="E419" s="31"/>
      <c r="F419" s="31"/>
      <c r="G419" s="31"/>
      <c r="H419" s="31"/>
      <c r="I419" s="31"/>
      <c r="J419" s="31"/>
      <c r="K419" s="19"/>
      <c r="L419" s="19"/>
      <c r="M419" s="19"/>
      <c r="N419" s="31"/>
      <c r="O419" s="31"/>
      <c r="P419" s="19"/>
      <c r="Q419" s="19"/>
    </row>
    <row r="420" spans="1:17" ht="46.5" customHeight="1" x14ac:dyDescent="0.7">
      <c r="A420" s="19"/>
      <c r="B420" s="19"/>
      <c r="C420" s="19"/>
      <c r="D420" s="31"/>
      <c r="E420" s="31"/>
      <c r="F420" s="31"/>
      <c r="G420" s="31"/>
      <c r="H420" s="31"/>
      <c r="I420" s="31"/>
      <c r="J420" s="31"/>
      <c r="K420" s="19"/>
      <c r="L420" s="19"/>
      <c r="M420" s="19"/>
      <c r="N420" s="31"/>
      <c r="O420" s="31"/>
      <c r="P420" s="19"/>
      <c r="Q420" s="19"/>
    </row>
    <row r="421" spans="1:17" ht="46.5" customHeight="1" x14ac:dyDescent="0.7">
      <c r="A421" s="19"/>
      <c r="B421" s="19"/>
      <c r="C421" s="19"/>
      <c r="D421" s="31"/>
      <c r="E421" s="31"/>
      <c r="F421" s="31"/>
      <c r="G421" s="31"/>
      <c r="H421" s="31"/>
      <c r="I421" s="31"/>
      <c r="J421" s="31"/>
      <c r="K421" s="19"/>
      <c r="L421" s="19"/>
      <c r="M421" s="19"/>
      <c r="N421" s="31"/>
      <c r="O421" s="31"/>
      <c r="P421" s="19"/>
      <c r="Q421" s="19"/>
    </row>
    <row r="422" spans="1:17" ht="46.5" customHeight="1" x14ac:dyDescent="0.7">
      <c r="A422" s="19"/>
      <c r="B422" s="19"/>
      <c r="C422" s="19"/>
      <c r="D422" s="31"/>
      <c r="E422" s="31"/>
      <c r="F422" s="31"/>
      <c r="G422" s="31"/>
      <c r="H422" s="31"/>
      <c r="I422" s="31"/>
      <c r="J422" s="31"/>
      <c r="K422" s="19"/>
      <c r="L422" s="19"/>
      <c r="M422" s="19"/>
      <c r="N422" s="31"/>
      <c r="O422" s="31"/>
      <c r="P422" s="19"/>
      <c r="Q422" s="19"/>
    </row>
    <row r="423" spans="1:17" ht="46.5" customHeight="1" x14ac:dyDescent="0.7">
      <c r="A423" s="19"/>
      <c r="B423" s="19"/>
      <c r="C423" s="19"/>
      <c r="D423" s="31"/>
      <c r="E423" s="31"/>
      <c r="F423" s="31"/>
      <c r="G423" s="31"/>
      <c r="H423" s="31"/>
      <c r="I423" s="31"/>
      <c r="J423" s="31"/>
      <c r="K423" s="19"/>
      <c r="L423" s="19"/>
      <c r="M423" s="19"/>
      <c r="N423" s="31"/>
      <c r="O423" s="31"/>
      <c r="P423" s="19"/>
      <c r="Q423" s="19"/>
    </row>
    <row r="424" spans="1:17" ht="46.5" customHeight="1" x14ac:dyDescent="0.7">
      <c r="A424" s="19"/>
      <c r="B424" s="19"/>
      <c r="C424" s="19"/>
      <c r="D424" s="31"/>
      <c r="E424" s="31"/>
      <c r="F424" s="31"/>
      <c r="G424" s="31"/>
      <c r="H424" s="31"/>
      <c r="I424" s="31"/>
      <c r="J424" s="31"/>
      <c r="K424" s="19"/>
      <c r="L424" s="19"/>
      <c r="M424" s="19"/>
      <c r="N424" s="31"/>
      <c r="O424" s="31"/>
      <c r="P424" s="19"/>
      <c r="Q424" s="19"/>
    </row>
    <row r="425" spans="1:17" ht="46.5" customHeight="1" x14ac:dyDescent="0.7">
      <c r="A425" s="19"/>
      <c r="B425" s="19"/>
      <c r="C425" s="19"/>
      <c r="D425" s="31"/>
      <c r="E425" s="31"/>
      <c r="F425" s="31"/>
      <c r="G425" s="31"/>
      <c r="H425" s="31"/>
      <c r="I425" s="31"/>
      <c r="J425" s="31"/>
      <c r="K425" s="19"/>
      <c r="L425" s="19"/>
      <c r="M425" s="19"/>
      <c r="N425" s="31"/>
      <c r="O425" s="31"/>
      <c r="P425" s="19"/>
      <c r="Q425" s="19"/>
    </row>
    <row r="426" spans="1:17" ht="46.5" customHeight="1" x14ac:dyDescent="0.7">
      <c r="A426" s="19"/>
      <c r="B426" s="19"/>
      <c r="C426" s="19"/>
      <c r="D426" s="31"/>
      <c r="E426" s="31"/>
      <c r="F426" s="31"/>
      <c r="G426" s="31"/>
      <c r="H426" s="31"/>
      <c r="I426" s="31"/>
      <c r="J426" s="31"/>
      <c r="K426" s="19"/>
      <c r="L426" s="19"/>
      <c r="M426" s="19"/>
      <c r="N426" s="31"/>
      <c r="O426" s="31"/>
      <c r="P426" s="19"/>
      <c r="Q426" s="19"/>
    </row>
    <row r="427" spans="1:17" ht="46.5" customHeight="1" x14ac:dyDescent="0.7">
      <c r="A427" s="19"/>
      <c r="B427" s="19"/>
      <c r="C427" s="19"/>
      <c r="D427" s="31"/>
      <c r="E427" s="31"/>
      <c r="F427" s="31"/>
      <c r="G427" s="31"/>
      <c r="H427" s="31"/>
      <c r="I427" s="31"/>
      <c r="J427" s="31"/>
      <c r="K427" s="19"/>
      <c r="L427" s="19"/>
      <c r="M427" s="19"/>
      <c r="N427" s="31"/>
      <c r="O427" s="31"/>
      <c r="P427" s="19"/>
      <c r="Q427" s="19"/>
    </row>
    <row r="428" spans="1:17" ht="46.5" customHeight="1" x14ac:dyDescent="0.7">
      <c r="A428" s="19"/>
      <c r="B428" s="19"/>
      <c r="C428" s="19"/>
      <c r="D428" s="31"/>
      <c r="E428" s="31"/>
      <c r="F428" s="31"/>
      <c r="G428" s="31"/>
      <c r="H428" s="31"/>
      <c r="I428" s="31"/>
      <c r="J428" s="31"/>
      <c r="K428" s="19"/>
      <c r="L428" s="19"/>
      <c r="M428" s="19"/>
      <c r="N428" s="31"/>
      <c r="O428" s="31"/>
      <c r="P428" s="19"/>
      <c r="Q428" s="19"/>
    </row>
    <row r="429" spans="1:17" ht="46.5" customHeight="1" x14ac:dyDescent="0.7">
      <c r="A429" s="19"/>
      <c r="B429" s="19"/>
      <c r="C429" s="19"/>
      <c r="D429" s="31"/>
      <c r="E429" s="31"/>
      <c r="F429" s="31"/>
      <c r="G429" s="31"/>
      <c r="H429" s="31"/>
      <c r="I429" s="31"/>
      <c r="J429" s="31"/>
      <c r="K429" s="19"/>
      <c r="L429" s="19"/>
      <c r="M429" s="19"/>
      <c r="N429" s="31"/>
      <c r="O429" s="31"/>
      <c r="P429" s="19"/>
      <c r="Q429" s="19"/>
    </row>
    <row r="430" spans="1:17" ht="46.5" customHeight="1" x14ac:dyDescent="0.7">
      <c r="A430" s="19"/>
      <c r="B430" s="19"/>
      <c r="C430" s="19"/>
      <c r="D430" s="31"/>
      <c r="E430" s="31"/>
      <c r="F430" s="31"/>
      <c r="G430" s="31"/>
      <c r="H430" s="31"/>
      <c r="I430" s="31"/>
      <c r="J430" s="31"/>
      <c r="K430" s="19"/>
      <c r="L430" s="19"/>
      <c r="M430" s="19"/>
      <c r="N430" s="31"/>
      <c r="O430" s="31"/>
      <c r="P430" s="19"/>
      <c r="Q430" s="19"/>
    </row>
    <row r="431" spans="1:17" ht="46.5" customHeight="1" x14ac:dyDescent="0.7">
      <c r="A431" s="19"/>
      <c r="B431" s="19"/>
      <c r="C431" s="19"/>
      <c r="D431" s="31"/>
      <c r="E431" s="31"/>
      <c r="F431" s="31"/>
      <c r="G431" s="31"/>
      <c r="H431" s="31"/>
      <c r="I431" s="31"/>
      <c r="J431" s="31"/>
      <c r="K431" s="19"/>
      <c r="L431" s="19"/>
      <c r="M431" s="19"/>
      <c r="N431" s="31"/>
      <c r="O431" s="31"/>
      <c r="P431" s="19"/>
      <c r="Q431" s="19"/>
    </row>
    <row r="432" spans="1:17" ht="46.5" customHeight="1" x14ac:dyDescent="0.7">
      <c r="A432" s="19"/>
      <c r="B432" s="19"/>
      <c r="C432" s="19"/>
      <c r="D432" s="31"/>
      <c r="E432" s="31"/>
      <c r="F432" s="31"/>
      <c r="G432" s="31"/>
      <c r="H432" s="31"/>
      <c r="I432" s="31"/>
      <c r="J432" s="31"/>
      <c r="K432" s="19"/>
      <c r="L432" s="19"/>
      <c r="M432" s="19"/>
      <c r="N432" s="31"/>
      <c r="O432" s="31"/>
      <c r="P432" s="19"/>
      <c r="Q432" s="19"/>
    </row>
    <row r="433" spans="1:17" ht="46.5" customHeight="1" x14ac:dyDescent="0.7">
      <c r="A433" s="19"/>
      <c r="B433" s="19"/>
      <c r="C433" s="19"/>
      <c r="D433" s="31"/>
      <c r="E433" s="31"/>
      <c r="F433" s="31"/>
      <c r="G433" s="31"/>
      <c r="H433" s="31"/>
      <c r="I433" s="31"/>
      <c r="J433" s="31"/>
      <c r="K433" s="19"/>
      <c r="L433" s="19"/>
      <c r="M433" s="19"/>
      <c r="N433" s="31"/>
      <c r="O433" s="31"/>
      <c r="P433" s="19"/>
      <c r="Q433" s="19"/>
    </row>
    <row r="434" spans="1:17" ht="46.5" customHeight="1" x14ac:dyDescent="0.7">
      <c r="A434" s="19"/>
      <c r="B434" s="19"/>
      <c r="C434" s="19"/>
      <c r="D434" s="31"/>
      <c r="E434" s="31"/>
      <c r="F434" s="31"/>
      <c r="G434" s="31"/>
      <c r="H434" s="31"/>
      <c r="I434" s="31"/>
      <c r="J434" s="31"/>
      <c r="K434" s="19"/>
      <c r="L434" s="19"/>
      <c r="M434" s="19"/>
      <c r="N434" s="31"/>
      <c r="O434" s="31"/>
      <c r="P434" s="19"/>
      <c r="Q434" s="19"/>
    </row>
    <row r="435" spans="1:17" ht="46.5" customHeight="1" x14ac:dyDescent="0.7">
      <c r="A435" s="19"/>
      <c r="B435" s="19"/>
      <c r="C435" s="19"/>
      <c r="D435" s="31"/>
      <c r="E435" s="31"/>
      <c r="F435" s="31"/>
      <c r="G435" s="31"/>
      <c r="H435" s="31"/>
      <c r="I435" s="31"/>
      <c r="J435" s="31"/>
      <c r="K435" s="19"/>
      <c r="L435" s="19"/>
      <c r="M435" s="19"/>
      <c r="N435" s="31"/>
      <c r="O435" s="31"/>
      <c r="P435" s="19"/>
      <c r="Q435" s="19"/>
    </row>
    <row r="436" spans="1:17" ht="46.5" customHeight="1" x14ac:dyDescent="0.7">
      <c r="A436" s="19"/>
      <c r="B436" s="19"/>
      <c r="C436" s="19"/>
      <c r="D436" s="31"/>
      <c r="E436" s="31"/>
      <c r="F436" s="31"/>
      <c r="G436" s="31"/>
      <c r="H436" s="31"/>
      <c r="I436" s="31"/>
      <c r="J436" s="31"/>
      <c r="K436" s="19"/>
      <c r="L436" s="19"/>
      <c r="M436" s="19"/>
      <c r="N436" s="31"/>
      <c r="O436" s="31"/>
      <c r="P436" s="19"/>
      <c r="Q436" s="19"/>
    </row>
    <row r="437" spans="1:17" ht="46.5" customHeight="1" x14ac:dyDescent="0.7">
      <c r="A437" s="19"/>
      <c r="B437" s="19"/>
      <c r="C437" s="19"/>
      <c r="D437" s="31"/>
      <c r="E437" s="31"/>
      <c r="F437" s="31"/>
      <c r="G437" s="31"/>
      <c r="H437" s="31"/>
      <c r="I437" s="31"/>
      <c r="J437" s="31"/>
      <c r="K437" s="19"/>
      <c r="L437" s="19"/>
      <c r="M437" s="19"/>
      <c r="N437" s="31"/>
      <c r="O437" s="31"/>
      <c r="P437" s="19"/>
      <c r="Q437" s="19"/>
    </row>
    <row r="438" spans="1:17" ht="46.5" customHeight="1" x14ac:dyDescent="0.7">
      <c r="A438" s="19"/>
      <c r="B438" s="19"/>
      <c r="C438" s="19"/>
      <c r="D438" s="31"/>
      <c r="E438" s="31"/>
      <c r="F438" s="31"/>
      <c r="G438" s="31"/>
      <c r="H438" s="31"/>
      <c r="I438" s="31"/>
      <c r="J438" s="31"/>
      <c r="K438" s="19"/>
      <c r="L438" s="19"/>
      <c r="M438" s="19"/>
      <c r="N438" s="31"/>
      <c r="O438" s="31"/>
      <c r="P438" s="19"/>
      <c r="Q438" s="19"/>
    </row>
    <row r="439" spans="1:17" ht="46.5" customHeight="1" x14ac:dyDescent="0.7">
      <c r="A439" s="19"/>
      <c r="B439" s="19"/>
      <c r="C439" s="19"/>
      <c r="D439" s="31"/>
      <c r="E439" s="31"/>
      <c r="F439" s="31"/>
      <c r="G439" s="31"/>
      <c r="H439" s="31"/>
      <c r="I439" s="31"/>
      <c r="J439" s="31"/>
      <c r="K439" s="19"/>
      <c r="L439" s="19"/>
      <c r="M439" s="19"/>
      <c r="N439" s="31"/>
      <c r="O439" s="31"/>
      <c r="P439" s="19"/>
      <c r="Q439" s="19"/>
    </row>
    <row r="440" spans="1:17" ht="46.5" customHeight="1" x14ac:dyDescent="0.7">
      <c r="A440" s="19"/>
      <c r="B440" s="19"/>
      <c r="C440" s="19"/>
      <c r="D440" s="31"/>
      <c r="E440" s="31"/>
      <c r="F440" s="31"/>
      <c r="G440" s="31"/>
      <c r="H440" s="31"/>
      <c r="I440" s="31"/>
      <c r="J440" s="31"/>
      <c r="K440" s="19"/>
      <c r="L440" s="19"/>
      <c r="M440" s="19"/>
      <c r="N440" s="31"/>
      <c r="O440" s="31"/>
      <c r="P440" s="19"/>
      <c r="Q440" s="19"/>
    </row>
    <row r="441" spans="1:17" ht="46.5" customHeight="1" x14ac:dyDescent="0.7">
      <c r="A441" s="19"/>
      <c r="B441" s="19"/>
      <c r="C441" s="19"/>
      <c r="D441" s="31"/>
      <c r="E441" s="31"/>
      <c r="F441" s="31"/>
      <c r="G441" s="31"/>
      <c r="H441" s="31"/>
      <c r="I441" s="31"/>
      <c r="J441" s="31"/>
      <c r="K441" s="19"/>
      <c r="L441" s="19"/>
      <c r="M441" s="19"/>
      <c r="N441" s="31"/>
      <c r="O441" s="31"/>
      <c r="P441" s="19"/>
      <c r="Q441" s="19"/>
    </row>
    <row r="442" spans="1:17" ht="46.5" customHeight="1" x14ac:dyDescent="0.7">
      <c r="A442" s="19"/>
      <c r="B442" s="19"/>
      <c r="C442" s="19"/>
      <c r="D442" s="31"/>
      <c r="E442" s="31"/>
      <c r="F442" s="31"/>
      <c r="G442" s="31"/>
      <c r="H442" s="31"/>
      <c r="I442" s="31"/>
      <c r="J442" s="31"/>
      <c r="K442" s="19"/>
      <c r="L442" s="19"/>
      <c r="M442" s="19"/>
      <c r="N442" s="31"/>
      <c r="O442" s="31"/>
      <c r="P442" s="19"/>
      <c r="Q442" s="19"/>
    </row>
    <row r="443" spans="1:17" ht="46.5" customHeight="1" x14ac:dyDescent="0.7">
      <c r="A443" s="19"/>
      <c r="B443" s="19"/>
      <c r="C443" s="19"/>
      <c r="D443" s="31"/>
      <c r="E443" s="31"/>
      <c r="F443" s="31"/>
      <c r="G443" s="31"/>
      <c r="H443" s="31"/>
      <c r="I443" s="31"/>
      <c r="J443" s="31"/>
      <c r="K443" s="19"/>
      <c r="L443" s="19"/>
      <c r="M443" s="19"/>
      <c r="N443" s="31"/>
      <c r="O443" s="31"/>
      <c r="P443" s="19"/>
      <c r="Q443" s="19"/>
    </row>
    <row r="444" spans="1:17" ht="46.5" customHeight="1" x14ac:dyDescent="0.7">
      <c r="A444" s="19"/>
      <c r="B444" s="19"/>
      <c r="C444" s="19"/>
      <c r="D444" s="31"/>
      <c r="E444" s="31"/>
      <c r="F444" s="31"/>
      <c r="G444" s="31"/>
      <c r="H444" s="31"/>
      <c r="I444" s="31"/>
      <c r="J444" s="31"/>
      <c r="K444" s="19"/>
      <c r="L444" s="19"/>
      <c r="M444" s="19"/>
      <c r="N444" s="31"/>
      <c r="O444" s="31"/>
      <c r="P444" s="19"/>
      <c r="Q444" s="19"/>
    </row>
    <row r="445" spans="1:17" ht="46.5" customHeight="1" x14ac:dyDescent="0.7">
      <c r="A445" s="19"/>
      <c r="B445" s="19"/>
      <c r="C445" s="19"/>
      <c r="D445" s="31"/>
      <c r="E445" s="31"/>
      <c r="F445" s="31"/>
      <c r="G445" s="31"/>
      <c r="H445" s="31"/>
      <c r="I445" s="31"/>
      <c r="J445" s="31"/>
      <c r="K445" s="19"/>
      <c r="L445" s="19"/>
      <c r="M445" s="19"/>
      <c r="N445" s="31"/>
      <c r="O445" s="31"/>
      <c r="P445" s="19"/>
      <c r="Q445" s="19"/>
    </row>
    <row r="446" spans="1:17" ht="46.5" customHeight="1" x14ac:dyDescent="0.7">
      <c r="A446" s="19"/>
      <c r="B446" s="19"/>
      <c r="C446" s="19"/>
      <c r="D446" s="31"/>
      <c r="E446" s="31"/>
      <c r="F446" s="31"/>
      <c r="G446" s="31"/>
      <c r="H446" s="31"/>
      <c r="I446" s="31"/>
      <c r="J446" s="31"/>
      <c r="K446" s="19"/>
      <c r="L446" s="19"/>
      <c r="M446" s="19"/>
      <c r="N446" s="31"/>
      <c r="O446" s="31"/>
      <c r="P446" s="19"/>
      <c r="Q446" s="19"/>
    </row>
    <row r="447" spans="1:17" ht="46.5" customHeight="1" x14ac:dyDescent="0.7">
      <c r="A447" s="19"/>
      <c r="B447" s="19"/>
      <c r="C447" s="19"/>
      <c r="D447" s="31"/>
      <c r="E447" s="31"/>
      <c r="F447" s="31"/>
      <c r="G447" s="31"/>
      <c r="H447" s="31"/>
      <c r="I447" s="31"/>
      <c r="J447" s="31"/>
      <c r="K447" s="19"/>
      <c r="L447" s="19"/>
      <c r="M447" s="19"/>
      <c r="N447" s="31"/>
      <c r="O447" s="31"/>
      <c r="P447" s="19"/>
      <c r="Q447" s="19"/>
    </row>
    <row r="448" spans="1:17" ht="46.5" customHeight="1" x14ac:dyDescent="0.7">
      <c r="A448" s="19"/>
      <c r="B448" s="19"/>
      <c r="C448" s="19"/>
      <c r="D448" s="31"/>
      <c r="E448" s="31"/>
      <c r="F448" s="31"/>
      <c r="G448" s="31"/>
      <c r="H448" s="31"/>
      <c r="I448" s="31"/>
      <c r="J448" s="31"/>
      <c r="K448" s="19"/>
      <c r="L448" s="19"/>
      <c r="M448" s="19"/>
      <c r="N448" s="31"/>
      <c r="O448" s="31"/>
      <c r="P448" s="19"/>
      <c r="Q448" s="19"/>
    </row>
    <row r="449" spans="1:17" ht="46.5" customHeight="1" x14ac:dyDescent="0.7">
      <c r="A449" s="19"/>
      <c r="B449" s="19"/>
      <c r="C449" s="19"/>
      <c r="D449" s="31"/>
      <c r="E449" s="31"/>
      <c r="F449" s="31"/>
      <c r="G449" s="31"/>
      <c r="H449" s="31"/>
      <c r="I449" s="31"/>
      <c r="J449" s="31"/>
      <c r="K449" s="19"/>
      <c r="L449" s="19"/>
      <c r="M449" s="19"/>
      <c r="N449" s="31"/>
      <c r="O449" s="31"/>
      <c r="P449" s="19"/>
      <c r="Q449" s="19"/>
    </row>
    <row r="450" spans="1:17" ht="46.5" customHeight="1" x14ac:dyDescent="0.7">
      <c r="A450" s="19"/>
      <c r="B450" s="19"/>
      <c r="C450" s="19"/>
      <c r="D450" s="31"/>
      <c r="E450" s="31"/>
      <c r="F450" s="31"/>
      <c r="G450" s="31"/>
      <c r="H450" s="31"/>
      <c r="I450" s="31"/>
      <c r="J450" s="31"/>
      <c r="K450" s="19"/>
      <c r="L450" s="19"/>
      <c r="M450" s="19"/>
      <c r="N450" s="31"/>
      <c r="O450" s="31"/>
      <c r="P450" s="19"/>
      <c r="Q450" s="19"/>
    </row>
    <row r="451" spans="1:17" ht="46.5" customHeight="1" x14ac:dyDescent="0.7">
      <c r="A451" s="19"/>
      <c r="B451" s="19"/>
      <c r="C451" s="19"/>
      <c r="D451" s="31"/>
      <c r="E451" s="31"/>
      <c r="F451" s="31"/>
      <c r="G451" s="31"/>
      <c r="H451" s="31"/>
      <c r="I451" s="31"/>
      <c r="J451" s="31"/>
      <c r="K451" s="19"/>
      <c r="L451" s="19"/>
      <c r="M451" s="19"/>
      <c r="N451" s="31"/>
      <c r="O451" s="31"/>
      <c r="P451" s="19"/>
      <c r="Q451" s="19"/>
    </row>
    <row r="452" spans="1:17" ht="46.5" customHeight="1" x14ac:dyDescent="0.7">
      <c r="A452" s="19"/>
      <c r="B452" s="19"/>
      <c r="C452" s="19"/>
      <c r="D452" s="31"/>
      <c r="E452" s="31"/>
      <c r="F452" s="31"/>
      <c r="G452" s="31"/>
      <c r="H452" s="31"/>
      <c r="I452" s="31"/>
      <c r="J452" s="31"/>
      <c r="K452" s="19"/>
      <c r="L452" s="19"/>
      <c r="M452" s="19"/>
      <c r="N452" s="31"/>
      <c r="O452" s="31"/>
      <c r="P452" s="19"/>
      <c r="Q452" s="19"/>
    </row>
    <row r="453" spans="1:17" ht="46.5" customHeight="1" x14ac:dyDescent="0.7">
      <c r="A453" s="19"/>
      <c r="B453" s="19"/>
      <c r="C453" s="19"/>
      <c r="D453" s="31"/>
      <c r="E453" s="31"/>
      <c r="F453" s="31"/>
      <c r="G453" s="31"/>
      <c r="H453" s="31"/>
      <c r="I453" s="31"/>
      <c r="J453" s="31"/>
      <c r="K453" s="19"/>
      <c r="L453" s="19"/>
      <c r="M453" s="19"/>
      <c r="N453" s="31"/>
      <c r="O453" s="31"/>
      <c r="P453" s="19"/>
      <c r="Q453" s="19"/>
    </row>
    <row r="454" spans="1:17" ht="46.5" customHeight="1" x14ac:dyDescent="0.7">
      <c r="A454" s="19"/>
      <c r="B454" s="19"/>
      <c r="C454" s="19"/>
      <c r="D454" s="31"/>
      <c r="E454" s="31"/>
      <c r="F454" s="31"/>
      <c r="G454" s="31"/>
      <c r="H454" s="31"/>
      <c r="I454" s="31"/>
      <c r="J454" s="31"/>
      <c r="K454" s="19"/>
      <c r="L454" s="19"/>
      <c r="M454" s="19"/>
      <c r="N454" s="31"/>
      <c r="O454" s="31"/>
      <c r="P454" s="19"/>
      <c r="Q454" s="19"/>
    </row>
    <row r="455" spans="1:17" ht="46.5" customHeight="1" x14ac:dyDescent="0.7">
      <c r="A455" s="19"/>
      <c r="B455" s="19"/>
      <c r="C455" s="19"/>
      <c r="D455" s="31"/>
      <c r="E455" s="31"/>
      <c r="F455" s="31"/>
      <c r="G455" s="31"/>
      <c r="H455" s="31"/>
      <c r="I455" s="31"/>
      <c r="J455" s="31"/>
      <c r="K455" s="19"/>
      <c r="L455" s="19"/>
      <c r="M455" s="19"/>
      <c r="N455" s="31"/>
      <c r="O455" s="31"/>
      <c r="P455" s="19"/>
      <c r="Q455" s="19"/>
    </row>
    <row r="456" spans="1:17" ht="46.5" customHeight="1" x14ac:dyDescent="0.7">
      <c r="A456" s="19"/>
      <c r="B456" s="19"/>
      <c r="C456" s="19"/>
      <c r="D456" s="31"/>
      <c r="E456" s="31"/>
      <c r="F456" s="31"/>
      <c r="G456" s="31"/>
      <c r="H456" s="31"/>
      <c r="I456" s="31"/>
      <c r="J456" s="31"/>
      <c r="K456" s="19"/>
      <c r="L456" s="19"/>
      <c r="M456" s="19"/>
      <c r="N456" s="31"/>
      <c r="O456" s="31"/>
      <c r="P456" s="19"/>
      <c r="Q456" s="19"/>
    </row>
    <row r="457" spans="1:17" ht="46.5" customHeight="1" x14ac:dyDescent="0.7">
      <c r="A457" s="19"/>
      <c r="B457" s="19"/>
      <c r="C457" s="19"/>
      <c r="D457" s="31"/>
      <c r="E457" s="31"/>
      <c r="F457" s="31"/>
      <c r="G457" s="31"/>
      <c r="H457" s="31"/>
      <c r="I457" s="31"/>
      <c r="J457" s="31"/>
      <c r="K457" s="19"/>
      <c r="L457" s="19"/>
      <c r="M457" s="19"/>
      <c r="N457" s="31"/>
      <c r="O457" s="31"/>
      <c r="P457" s="19"/>
      <c r="Q457" s="19"/>
    </row>
    <row r="458" spans="1:17" ht="46.5" customHeight="1" x14ac:dyDescent="0.7">
      <c r="A458" s="19"/>
      <c r="B458" s="19"/>
      <c r="C458" s="19"/>
      <c r="D458" s="31"/>
      <c r="E458" s="31"/>
      <c r="F458" s="31"/>
      <c r="G458" s="31"/>
      <c r="H458" s="31"/>
      <c r="I458" s="31"/>
      <c r="J458" s="31"/>
      <c r="K458" s="19"/>
      <c r="L458" s="19"/>
      <c r="M458" s="19"/>
      <c r="N458" s="31"/>
      <c r="O458" s="31"/>
      <c r="P458" s="19"/>
      <c r="Q458" s="19"/>
    </row>
    <row r="459" spans="1:17" ht="46.5" customHeight="1" x14ac:dyDescent="0.7">
      <c r="A459" s="19"/>
      <c r="B459" s="19"/>
      <c r="C459" s="19"/>
      <c r="D459" s="31"/>
      <c r="E459" s="31"/>
      <c r="F459" s="31"/>
      <c r="G459" s="31"/>
      <c r="H459" s="31"/>
      <c r="I459" s="31"/>
      <c r="J459" s="31"/>
      <c r="K459" s="19"/>
      <c r="L459" s="19"/>
      <c r="M459" s="19"/>
      <c r="N459" s="31"/>
      <c r="O459" s="31"/>
      <c r="P459" s="19"/>
      <c r="Q459" s="19"/>
    </row>
    <row r="460" spans="1:17" ht="46.5" customHeight="1" x14ac:dyDescent="0.7">
      <c r="A460" s="19"/>
      <c r="B460" s="19"/>
      <c r="C460" s="19"/>
      <c r="D460" s="31"/>
      <c r="E460" s="31"/>
      <c r="F460" s="31"/>
      <c r="G460" s="31"/>
      <c r="H460" s="31"/>
      <c r="I460" s="31"/>
      <c r="J460" s="31"/>
      <c r="K460" s="19"/>
      <c r="L460" s="19"/>
      <c r="M460" s="19"/>
      <c r="N460" s="31"/>
      <c r="O460" s="31"/>
      <c r="P460" s="19"/>
      <c r="Q460" s="19"/>
    </row>
    <row r="461" spans="1:17" ht="46.5" customHeight="1" x14ac:dyDescent="0.7">
      <c r="A461" s="19"/>
      <c r="B461" s="19"/>
      <c r="C461" s="19"/>
      <c r="D461" s="31"/>
      <c r="E461" s="31"/>
      <c r="F461" s="31"/>
      <c r="G461" s="31"/>
      <c r="H461" s="31"/>
      <c r="I461" s="31"/>
      <c r="J461" s="31"/>
      <c r="K461" s="19"/>
      <c r="L461" s="19"/>
      <c r="M461" s="19"/>
      <c r="N461" s="31"/>
      <c r="O461" s="31"/>
      <c r="P461" s="19"/>
      <c r="Q461" s="19"/>
    </row>
    <row r="462" spans="1:17" ht="46.5" customHeight="1" x14ac:dyDescent="0.7">
      <c r="A462" s="19"/>
      <c r="B462" s="19"/>
      <c r="C462" s="19"/>
      <c r="D462" s="31"/>
      <c r="E462" s="31"/>
      <c r="F462" s="31"/>
      <c r="G462" s="31"/>
      <c r="H462" s="31"/>
      <c r="I462" s="31"/>
      <c r="J462" s="31"/>
      <c r="K462" s="19"/>
      <c r="L462" s="19"/>
      <c r="M462" s="19"/>
      <c r="N462" s="31"/>
      <c r="O462" s="31"/>
      <c r="P462" s="19"/>
      <c r="Q462" s="19"/>
    </row>
    <row r="463" spans="1:17" ht="46.5" customHeight="1" x14ac:dyDescent="0.7">
      <c r="A463" s="19"/>
      <c r="B463" s="19"/>
      <c r="C463" s="19"/>
      <c r="D463" s="31"/>
      <c r="E463" s="31"/>
      <c r="F463" s="31"/>
      <c r="G463" s="31"/>
      <c r="H463" s="31"/>
      <c r="I463" s="31"/>
      <c r="J463" s="31"/>
      <c r="K463" s="19"/>
      <c r="L463" s="19"/>
      <c r="M463" s="19"/>
      <c r="N463" s="31"/>
      <c r="O463" s="31"/>
      <c r="P463" s="19"/>
      <c r="Q463" s="19"/>
    </row>
    <row r="464" spans="1:17" ht="46.5" customHeight="1" x14ac:dyDescent="0.7">
      <c r="A464" s="19"/>
      <c r="B464" s="19"/>
      <c r="C464" s="19"/>
      <c r="D464" s="31"/>
      <c r="E464" s="31"/>
      <c r="F464" s="31"/>
      <c r="G464" s="31"/>
      <c r="H464" s="31"/>
      <c r="I464" s="31"/>
      <c r="J464" s="31"/>
      <c r="K464" s="19"/>
      <c r="L464" s="19"/>
      <c r="M464" s="19"/>
      <c r="N464" s="31"/>
      <c r="O464" s="31"/>
      <c r="P464" s="19"/>
      <c r="Q464" s="19"/>
    </row>
    <row r="465" spans="1:17" ht="46.5" customHeight="1" x14ac:dyDescent="0.7">
      <c r="A465" s="19"/>
      <c r="B465" s="19"/>
      <c r="C465" s="19"/>
      <c r="D465" s="31"/>
      <c r="E465" s="31"/>
      <c r="F465" s="31"/>
      <c r="G465" s="31"/>
      <c r="H465" s="31"/>
      <c r="I465" s="31"/>
      <c r="J465" s="31"/>
      <c r="K465" s="19"/>
      <c r="L465" s="19"/>
      <c r="M465" s="19"/>
      <c r="N465" s="31"/>
      <c r="O465" s="31"/>
      <c r="P465" s="19"/>
      <c r="Q465" s="19"/>
    </row>
    <row r="466" spans="1:17" ht="46.5" customHeight="1" x14ac:dyDescent="0.7">
      <c r="A466" s="19"/>
      <c r="B466" s="19"/>
      <c r="C466" s="19"/>
      <c r="D466" s="31"/>
      <c r="E466" s="31"/>
      <c r="F466" s="31"/>
      <c r="G466" s="31"/>
      <c r="H466" s="31"/>
      <c r="I466" s="31"/>
      <c r="J466" s="31"/>
      <c r="K466" s="19"/>
      <c r="L466" s="19"/>
      <c r="M466" s="19"/>
      <c r="N466" s="31"/>
      <c r="O466" s="31"/>
      <c r="P466" s="19"/>
      <c r="Q466" s="19"/>
    </row>
    <row r="467" spans="1:17" ht="46.5" customHeight="1" x14ac:dyDescent="0.7">
      <c r="A467" s="19"/>
      <c r="B467" s="19"/>
      <c r="C467" s="19"/>
      <c r="D467" s="31"/>
      <c r="E467" s="31"/>
      <c r="F467" s="31"/>
      <c r="G467" s="31"/>
      <c r="H467" s="31"/>
      <c r="I467" s="31"/>
      <c r="J467" s="31"/>
      <c r="K467" s="19"/>
      <c r="L467" s="19"/>
      <c r="M467" s="19"/>
      <c r="N467" s="31"/>
      <c r="O467" s="31"/>
      <c r="P467" s="19"/>
      <c r="Q467" s="19"/>
    </row>
    <row r="468" spans="1:17" ht="46.5" customHeight="1" x14ac:dyDescent="0.7">
      <c r="A468" s="19"/>
      <c r="B468" s="19"/>
      <c r="C468" s="19"/>
      <c r="D468" s="31"/>
      <c r="E468" s="31"/>
      <c r="F468" s="31"/>
      <c r="G468" s="31"/>
      <c r="H468" s="31"/>
      <c r="I468" s="31"/>
      <c r="J468" s="31"/>
      <c r="K468" s="19"/>
      <c r="L468" s="19"/>
      <c r="M468" s="19"/>
      <c r="N468" s="31"/>
      <c r="O468" s="31"/>
      <c r="P468" s="19"/>
      <c r="Q468" s="19"/>
    </row>
    <row r="469" spans="1:17" ht="46.5" customHeight="1" x14ac:dyDescent="0.7">
      <c r="A469" s="19"/>
      <c r="B469" s="19"/>
      <c r="C469" s="19"/>
      <c r="D469" s="31"/>
      <c r="E469" s="31"/>
      <c r="F469" s="31"/>
      <c r="G469" s="31"/>
      <c r="H469" s="31"/>
      <c r="I469" s="31"/>
      <c r="J469" s="31"/>
      <c r="K469" s="19"/>
      <c r="L469" s="19"/>
      <c r="M469" s="19"/>
      <c r="N469" s="31"/>
      <c r="O469" s="31"/>
      <c r="P469" s="19"/>
      <c r="Q469" s="19"/>
    </row>
    <row r="470" spans="1:17" ht="46.5" customHeight="1" x14ac:dyDescent="0.7">
      <c r="A470" s="19"/>
      <c r="B470" s="19"/>
      <c r="C470" s="19"/>
      <c r="D470" s="31"/>
      <c r="E470" s="31"/>
      <c r="F470" s="31"/>
      <c r="G470" s="31"/>
      <c r="H470" s="31"/>
      <c r="I470" s="31"/>
      <c r="J470" s="31"/>
      <c r="K470" s="19"/>
      <c r="L470" s="19"/>
      <c r="M470" s="19"/>
      <c r="N470" s="31"/>
      <c r="O470" s="31"/>
      <c r="P470" s="19"/>
      <c r="Q470" s="19"/>
    </row>
    <row r="471" spans="1:17" ht="46.5" customHeight="1" x14ac:dyDescent="0.7">
      <c r="A471" s="19"/>
      <c r="B471" s="19"/>
      <c r="C471" s="19"/>
      <c r="D471" s="31"/>
      <c r="E471" s="31"/>
      <c r="F471" s="31"/>
      <c r="G471" s="31"/>
      <c r="H471" s="31"/>
      <c r="I471" s="31"/>
      <c r="J471" s="31"/>
      <c r="K471" s="19"/>
      <c r="L471" s="19"/>
      <c r="M471" s="19"/>
      <c r="N471" s="31"/>
      <c r="O471" s="31"/>
      <c r="P471" s="19"/>
      <c r="Q471" s="19"/>
    </row>
    <row r="472" spans="1:17" ht="46.5" customHeight="1" x14ac:dyDescent="0.7">
      <c r="A472" s="19"/>
      <c r="B472" s="19"/>
      <c r="C472" s="19"/>
      <c r="D472" s="31"/>
      <c r="E472" s="31"/>
      <c r="F472" s="31"/>
      <c r="G472" s="31"/>
      <c r="H472" s="31"/>
      <c r="I472" s="31"/>
      <c r="J472" s="31"/>
      <c r="K472" s="19"/>
      <c r="L472" s="19"/>
      <c r="M472" s="19"/>
      <c r="N472" s="31"/>
      <c r="O472" s="31"/>
      <c r="P472" s="19"/>
      <c r="Q472" s="19"/>
    </row>
    <row r="473" spans="1:17" ht="46.5" customHeight="1" x14ac:dyDescent="0.7">
      <c r="A473" s="19"/>
      <c r="B473" s="19"/>
      <c r="C473" s="19"/>
      <c r="D473" s="31"/>
      <c r="E473" s="31"/>
      <c r="F473" s="31"/>
      <c r="G473" s="31"/>
      <c r="H473" s="31"/>
      <c r="I473" s="31"/>
      <c r="J473" s="31"/>
      <c r="K473" s="19"/>
      <c r="L473" s="19"/>
      <c r="M473" s="19"/>
      <c r="N473" s="31"/>
      <c r="O473" s="31"/>
      <c r="P473" s="19"/>
      <c r="Q473" s="19"/>
    </row>
    <row r="474" spans="1:17" ht="46.5" customHeight="1" x14ac:dyDescent="0.7">
      <c r="A474" s="19"/>
      <c r="B474" s="19"/>
      <c r="C474" s="19"/>
      <c r="D474" s="31"/>
      <c r="E474" s="31"/>
      <c r="F474" s="31"/>
      <c r="G474" s="31"/>
      <c r="H474" s="31"/>
      <c r="I474" s="31"/>
      <c r="J474" s="31"/>
      <c r="K474" s="19"/>
      <c r="L474" s="19"/>
      <c r="M474" s="19"/>
      <c r="N474" s="31"/>
      <c r="O474" s="31"/>
      <c r="P474" s="19"/>
      <c r="Q474" s="19"/>
    </row>
    <row r="475" spans="1:17" ht="46.5" customHeight="1" x14ac:dyDescent="0.7">
      <c r="A475" s="19"/>
      <c r="B475" s="19"/>
      <c r="C475" s="19"/>
      <c r="D475" s="31"/>
      <c r="E475" s="31"/>
      <c r="F475" s="31"/>
      <c r="G475" s="31"/>
      <c r="H475" s="31"/>
      <c r="I475" s="31"/>
      <c r="J475" s="31"/>
      <c r="K475" s="19"/>
      <c r="L475" s="19"/>
      <c r="M475" s="19"/>
      <c r="N475" s="31"/>
      <c r="O475" s="31"/>
      <c r="P475" s="19"/>
      <c r="Q475" s="19"/>
    </row>
    <row r="476" spans="1:17" ht="46.5" customHeight="1" x14ac:dyDescent="0.7">
      <c r="A476" s="19"/>
      <c r="B476" s="19"/>
      <c r="C476" s="19"/>
      <c r="D476" s="31"/>
      <c r="E476" s="31"/>
      <c r="F476" s="31"/>
      <c r="G476" s="31"/>
      <c r="H476" s="31"/>
      <c r="I476" s="31"/>
      <c r="J476" s="31"/>
      <c r="K476" s="19"/>
      <c r="L476" s="19"/>
      <c r="M476" s="19"/>
      <c r="N476" s="31"/>
      <c r="O476" s="31"/>
      <c r="P476" s="19"/>
      <c r="Q476" s="19"/>
    </row>
    <row r="477" spans="1:17" ht="46.5" customHeight="1" x14ac:dyDescent="0.7">
      <c r="A477" s="19"/>
      <c r="B477" s="19"/>
      <c r="C477" s="19"/>
      <c r="D477" s="31"/>
      <c r="E477" s="31"/>
      <c r="F477" s="31"/>
      <c r="G477" s="31"/>
      <c r="H477" s="31"/>
      <c r="I477" s="31"/>
      <c r="J477" s="31"/>
      <c r="K477" s="19"/>
      <c r="L477" s="19"/>
      <c r="M477" s="19"/>
      <c r="N477" s="31"/>
      <c r="O477" s="31"/>
      <c r="P477" s="19"/>
      <c r="Q477" s="19"/>
    </row>
    <row r="478" spans="1:17" ht="46.5" customHeight="1" x14ac:dyDescent="0.7">
      <c r="A478" s="19"/>
      <c r="B478" s="19"/>
      <c r="C478" s="19"/>
      <c r="D478" s="31"/>
      <c r="E478" s="31"/>
      <c r="F478" s="31"/>
      <c r="G478" s="31"/>
      <c r="H478" s="31"/>
      <c r="I478" s="31"/>
      <c r="J478" s="31"/>
      <c r="K478" s="19"/>
      <c r="L478" s="19"/>
      <c r="M478" s="19"/>
      <c r="N478" s="31"/>
      <c r="O478" s="31"/>
      <c r="P478" s="19"/>
      <c r="Q478" s="19"/>
    </row>
    <row r="479" spans="1:17" ht="46.5" customHeight="1" x14ac:dyDescent="0.7">
      <c r="A479" s="19"/>
      <c r="B479" s="19"/>
      <c r="C479" s="19"/>
      <c r="D479" s="31"/>
      <c r="E479" s="31"/>
      <c r="F479" s="31"/>
      <c r="G479" s="31"/>
      <c r="H479" s="31"/>
      <c r="I479" s="31"/>
      <c r="J479" s="31"/>
      <c r="K479" s="19"/>
      <c r="L479" s="19"/>
      <c r="M479" s="19"/>
      <c r="N479" s="31"/>
      <c r="O479" s="31"/>
      <c r="P479" s="19"/>
      <c r="Q479" s="19"/>
    </row>
    <row r="480" spans="1:17" ht="46.5" customHeight="1" x14ac:dyDescent="0.7">
      <c r="A480" s="19"/>
      <c r="B480" s="19"/>
      <c r="C480" s="19"/>
      <c r="D480" s="31"/>
      <c r="E480" s="31"/>
      <c r="F480" s="31"/>
      <c r="G480" s="31"/>
      <c r="H480" s="31"/>
      <c r="I480" s="31"/>
      <c r="J480" s="31"/>
      <c r="K480" s="19"/>
      <c r="L480" s="19"/>
      <c r="M480" s="19"/>
      <c r="N480" s="31"/>
      <c r="O480" s="31"/>
      <c r="P480" s="19"/>
      <c r="Q480" s="19"/>
    </row>
    <row r="481" spans="1:17" ht="46.5" customHeight="1" x14ac:dyDescent="0.7">
      <c r="A481" s="19"/>
      <c r="B481" s="19"/>
      <c r="C481" s="19"/>
      <c r="D481" s="31"/>
      <c r="E481" s="31"/>
      <c r="F481" s="31"/>
      <c r="G481" s="31"/>
      <c r="H481" s="31"/>
      <c r="I481" s="31"/>
      <c r="J481" s="31"/>
      <c r="K481" s="19"/>
      <c r="L481" s="19"/>
      <c r="M481" s="19"/>
      <c r="N481" s="31"/>
      <c r="O481" s="31"/>
      <c r="P481" s="19"/>
      <c r="Q481" s="19"/>
    </row>
    <row r="482" spans="1:17" ht="46.5" customHeight="1" x14ac:dyDescent="0.7">
      <c r="A482" s="19"/>
      <c r="B482" s="19"/>
      <c r="C482" s="19"/>
      <c r="D482" s="31"/>
      <c r="E482" s="31"/>
      <c r="F482" s="31"/>
      <c r="G482" s="31"/>
      <c r="H482" s="31"/>
      <c r="I482" s="31"/>
      <c r="J482" s="31"/>
      <c r="K482" s="19"/>
      <c r="L482" s="19"/>
      <c r="M482" s="19"/>
      <c r="N482" s="31"/>
      <c r="O482" s="31"/>
      <c r="P482" s="19"/>
      <c r="Q482" s="19"/>
    </row>
    <row r="483" spans="1:17" ht="46.5" customHeight="1" x14ac:dyDescent="0.7">
      <c r="A483" s="19"/>
      <c r="B483" s="19"/>
      <c r="C483" s="19"/>
      <c r="D483" s="31"/>
      <c r="E483" s="31"/>
      <c r="F483" s="31"/>
      <c r="G483" s="31"/>
      <c r="H483" s="31"/>
      <c r="I483" s="31"/>
      <c r="J483" s="31"/>
      <c r="K483" s="19"/>
      <c r="L483" s="19"/>
      <c r="M483" s="19"/>
      <c r="N483" s="31"/>
      <c r="O483" s="31"/>
      <c r="P483" s="19"/>
      <c r="Q483" s="19"/>
    </row>
    <row r="484" spans="1:17" ht="46.5" customHeight="1" x14ac:dyDescent="0.7">
      <c r="A484" s="19"/>
      <c r="B484" s="19"/>
      <c r="C484" s="19"/>
      <c r="D484" s="31"/>
      <c r="E484" s="31"/>
      <c r="F484" s="31"/>
      <c r="G484" s="31"/>
      <c r="H484" s="31"/>
      <c r="I484" s="31"/>
      <c r="J484" s="31"/>
      <c r="K484" s="19"/>
      <c r="L484" s="19"/>
      <c r="M484" s="19"/>
      <c r="N484" s="31"/>
      <c r="O484" s="31"/>
      <c r="P484" s="19"/>
      <c r="Q484" s="19"/>
    </row>
    <row r="485" spans="1:17" ht="46.5" customHeight="1" x14ac:dyDescent="0.7">
      <c r="A485" s="19"/>
      <c r="B485" s="19"/>
      <c r="C485" s="19"/>
      <c r="D485" s="31"/>
      <c r="E485" s="31"/>
      <c r="F485" s="31"/>
      <c r="G485" s="31"/>
      <c r="H485" s="31"/>
      <c r="I485" s="31"/>
      <c r="J485" s="31"/>
      <c r="K485" s="19"/>
      <c r="L485" s="19"/>
      <c r="M485" s="19"/>
      <c r="N485" s="31"/>
      <c r="O485" s="31"/>
      <c r="P485" s="19"/>
      <c r="Q485" s="19"/>
    </row>
    <row r="486" spans="1:17" ht="46.5" customHeight="1" x14ac:dyDescent="0.7">
      <c r="A486" s="19"/>
      <c r="B486" s="19"/>
      <c r="C486" s="19"/>
      <c r="D486" s="31"/>
      <c r="E486" s="31"/>
      <c r="F486" s="31"/>
      <c r="G486" s="31"/>
      <c r="H486" s="31"/>
      <c r="I486" s="31"/>
      <c r="J486" s="31"/>
      <c r="K486" s="19"/>
      <c r="L486" s="19"/>
      <c r="M486" s="19"/>
      <c r="N486" s="31"/>
      <c r="O486" s="31"/>
      <c r="P486" s="19"/>
      <c r="Q486" s="19"/>
    </row>
    <row r="487" spans="1:17" ht="46.5" customHeight="1" x14ac:dyDescent="0.7">
      <c r="A487" s="19"/>
      <c r="B487" s="19"/>
      <c r="C487" s="19"/>
      <c r="D487" s="31"/>
      <c r="E487" s="31"/>
      <c r="F487" s="31"/>
      <c r="G487" s="31"/>
      <c r="H487" s="31"/>
      <c r="I487" s="31"/>
      <c r="J487" s="31"/>
      <c r="K487" s="19"/>
      <c r="L487" s="19"/>
      <c r="M487" s="19"/>
      <c r="N487" s="31"/>
      <c r="O487" s="31"/>
      <c r="P487" s="19"/>
      <c r="Q487" s="19"/>
    </row>
    <row r="488" spans="1:17" ht="46.5" customHeight="1" x14ac:dyDescent="0.7">
      <c r="A488" s="19"/>
      <c r="B488" s="19"/>
      <c r="C488" s="19"/>
      <c r="D488" s="31"/>
      <c r="E488" s="31"/>
      <c r="F488" s="31"/>
      <c r="G488" s="31"/>
      <c r="H488" s="31"/>
      <c r="I488" s="31"/>
      <c r="J488" s="31"/>
      <c r="K488" s="19"/>
      <c r="L488" s="19"/>
      <c r="M488" s="19"/>
      <c r="N488" s="31"/>
      <c r="O488" s="31"/>
      <c r="P488" s="19"/>
      <c r="Q488" s="19"/>
    </row>
    <row r="489" spans="1:17" ht="46.5" customHeight="1" x14ac:dyDescent="0.7">
      <c r="A489" s="19"/>
      <c r="B489" s="19"/>
      <c r="C489" s="19"/>
      <c r="D489" s="31"/>
      <c r="E489" s="31"/>
      <c r="F489" s="31"/>
      <c r="G489" s="31"/>
      <c r="H489" s="31"/>
      <c r="I489" s="31"/>
      <c r="J489" s="31"/>
      <c r="K489" s="19"/>
      <c r="L489" s="19"/>
      <c r="M489" s="19"/>
      <c r="N489" s="31"/>
      <c r="O489" s="31"/>
      <c r="P489" s="19"/>
      <c r="Q489" s="19"/>
    </row>
    <row r="490" spans="1:17" ht="46.5" customHeight="1" x14ac:dyDescent="0.7">
      <c r="A490" s="19"/>
      <c r="B490" s="19"/>
      <c r="C490" s="19"/>
      <c r="D490" s="31"/>
      <c r="E490" s="31"/>
      <c r="F490" s="31"/>
      <c r="G490" s="31"/>
      <c r="H490" s="31"/>
      <c r="I490" s="31"/>
      <c r="J490" s="31"/>
      <c r="K490" s="19"/>
      <c r="L490" s="19"/>
      <c r="M490" s="19"/>
      <c r="N490" s="31"/>
      <c r="O490" s="31"/>
      <c r="P490" s="19"/>
      <c r="Q490" s="19"/>
    </row>
    <row r="491" spans="1:17" ht="46.5" customHeight="1" x14ac:dyDescent="0.7">
      <c r="A491" s="19"/>
      <c r="B491" s="19"/>
      <c r="C491" s="19"/>
      <c r="D491" s="31"/>
      <c r="E491" s="31"/>
      <c r="F491" s="31"/>
      <c r="G491" s="31"/>
      <c r="H491" s="31"/>
      <c r="I491" s="31"/>
      <c r="J491" s="31"/>
      <c r="K491" s="19"/>
      <c r="L491" s="19"/>
      <c r="M491" s="19"/>
      <c r="N491" s="31"/>
      <c r="O491" s="31"/>
      <c r="P491" s="19"/>
      <c r="Q491" s="19"/>
    </row>
    <row r="492" spans="1:17" ht="46.5" customHeight="1" x14ac:dyDescent="0.7">
      <c r="A492" s="19"/>
      <c r="B492" s="19"/>
      <c r="C492" s="19"/>
      <c r="D492" s="31"/>
      <c r="E492" s="31"/>
      <c r="F492" s="31"/>
      <c r="G492" s="31"/>
      <c r="H492" s="31"/>
      <c r="I492" s="31"/>
      <c r="J492" s="31"/>
      <c r="K492" s="19"/>
      <c r="L492" s="19"/>
      <c r="M492" s="19"/>
      <c r="N492" s="31"/>
      <c r="O492" s="31"/>
      <c r="P492" s="19"/>
      <c r="Q492" s="19"/>
    </row>
    <row r="493" spans="1:17" ht="46.5" customHeight="1" x14ac:dyDescent="0.7">
      <c r="A493" s="19"/>
      <c r="B493" s="19"/>
      <c r="C493" s="19"/>
      <c r="D493" s="31"/>
      <c r="E493" s="31"/>
      <c r="F493" s="31"/>
      <c r="G493" s="31"/>
      <c r="H493" s="31"/>
      <c r="I493" s="31"/>
      <c r="J493" s="31"/>
      <c r="K493" s="19"/>
      <c r="L493" s="19"/>
      <c r="M493" s="19"/>
      <c r="N493" s="31"/>
      <c r="O493" s="31"/>
      <c r="P493" s="19"/>
      <c r="Q493" s="19"/>
    </row>
    <row r="494" spans="1:17" ht="46.5" customHeight="1" x14ac:dyDescent="0.7">
      <c r="A494" s="19"/>
      <c r="B494" s="19"/>
      <c r="C494" s="19"/>
      <c r="D494" s="31"/>
      <c r="E494" s="31"/>
      <c r="F494" s="31"/>
      <c r="G494" s="31"/>
      <c r="H494" s="31"/>
      <c r="I494" s="31"/>
      <c r="J494" s="31"/>
      <c r="K494" s="19"/>
      <c r="L494" s="19"/>
      <c r="M494" s="19"/>
      <c r="N494" s="31"/>
      <c r="O494" s="31"/>
      <c r="P494" s="19"/>
      <c r="Q494" s="19"/>
    </row>
    <row r="495" spans="1:17" ht="46.5" customHeight="1" x14ac:dyDescent="0.7">
      <c r="A495" s="19"/>
      <c r="B495" s="19"/>
      <c r="C495" s="19"/>
      <c r="D495" s="31"/>
      <c r="E495" s="31"/>
      <c r="F495" s="31"/>
      <c r="G495" s="31"/>
      <c r="H495" s="31"/>
      <c r="I495" s="31"/>
      <c r="J495" s="31"/>
      <c r="K495" s="19"/>
      <c r="L495" s="19"/>
      <c r="M495" s="19"/>
      <c r="N495" s="31"/>
      <c r="O495" s="31"/>
      <c r="P495" s="19"/>
      <c r="Q495" s="19"/>
    </row>
    <row r="496" spans="1:17" ht="46.5" customHeight="1" x14ac:dyDescent="0.7">
      <c r="A496" s="19"/>
      <c r="B496" s="19"/>
      <c r="C496" s="19"/>
      <c r="D496" s="31"/>
      <c r="E496" s="31"/>
      <c r="F496" s="31"/>
      <c r="G496" s="31"/>
      <c r="H496" s="31"/>
      <c r="I496" s="31"/>
      <c r="J496" s="31"/>
      <c r="K496" s="19"/>
      <c r="L496" s="19"/>
      <c r="M496" s="19"/>
      <c r="N496" s="31"/>
      <c r="O496" s="31"/>
      <c r="P496" s="19"/>
      <c r="Q496" s="19"/>
    </row>
    <row r="497" spans="1:17" ht="46.5" customHeight="1" x14ac:dyDescent="0.7">
      <c r="A497" s="19"/>
      <c r="B497" s="19"/>
      <c r="C497" s="19"/>
      <c r="D497" s="31"/>
      <c r="E497" s="31"/>
      <c r="F497" s="31"/>
      <c r="G497" s="31"/>
      <c r="H497" s="31"/>
      <c r="I497" s="31"/>
      <c r="J497" s="31"/>
      <c r="K497" s="19"/>
      <c r="L497" s="19"/>
      <c r="M497" s="19"/>
      <c r="N497" s="31"/>
      <c r="O497" s="31"/>
      <c r="P497" s="19"/>
      <c r="Q497" s="19"/>
    </row>
    <row r="498" spans="1:17" ht="46.5" customHeight="1" x14ac:dyDescent="0.7">
      <c r="A498" s="19"/>
      <c r="B498" s="19"/>
      <c r="C498" s="19"/>
      <c r="D498" s="31"/>
      <c r="E498" s="31"/>
      <c r="F498" s="31"/>
      <c r="G498" s="31"/>
      <c r="H498" s="31"/>
      <c r="I498" s="31"/>
      <c r="J498" s="31"/>
      <c r="K498" s="19"/>
      <c r="L498" s="19"/>
      <c r="M498" s="19"/>
      <c r="N498" s="31"/>
      <c r="O498" s="31"/>
      <c r="P498" s="19"/>
      <c r="Q498" s="19"/>
    </row>
    <row r="499" spans="1:17" ht="46.5" customHeight="1" x14ac:dyDescent="0.7">
      <c r="A499" s="19"/>
      <c r="B499" s="19"/>
      <c r="C499" s="19"/>
      <c r="D499" s="31"/>
      <c r="E499" s="31"/>
      <c r="F499" s="31"/>
      <c r="G499" s="31"/>
      <c r="H499" s="31"/>
      <c r="I499" s="31"/>
      <c r="J499" s="31"/>
      <c r="K499" s="19"/>
      <c r="L499" s="19"/>
      <c r="M499" s="19"/>
      <c r="N499" s="31"/>
      <c r="O499" s="31"/>
      <c r="P499" s="19"/>
      <c r="Q499" s="19"/>
    </row>
    <row r="500" spans="1:17" ht="46.5" customHeight="1" x14ac:dyDescent="0.7">
      <c r="A500" s="19"/>
      <c r="B500" s="19"/>
      <c r="C500" s="19"/>
      <c r="D500" s="31"/>
      <c r="E500" s="31"/>
      <c r="F500" s="31"/>
      <c r="G500" s="31"/>
      <c r="H500" s="31"/>
      <c r="I500" s="31"/>
      <c r="J500" s="31"/>
      <c r="K500" s="19"/>
      <c r="L500" s="19"/>
      <c r="M500" s="19"/>
      <c r="N500" s="31"/>
      <c r="O500" s="31"/>
      <c r="P500" s="19"/>
      <c r="Q500" s="19"/>
    </row>
    <row r="501" spans="1:17" ht="46.5" customHeight="1" x14ac:dyDescent="0.7">
      <c r="A501" s="19"/>
      <c r="B501" s="19"/>
      <c r="C501" s="19"/>
      <c r="D501" s="31"/>
      <c r="E501" s="31"/>
      <c r="F501" s="31"/>
      <c r="G501" s="31"/>
      <c r="H501" s="31"/>
      <c r="I501" s="31"/>
      <c r="J501" s="31"/>
      <c r="K501" s="19"/>
      <c r="L501" s="19"/>
      <c r="M501" s="19"/>
      <c r="N501" s="31"/>
      <c r="O501" s="31"/>
      <c r="P501" s="19"/>
      <c r="Q501" s="19"/>
    </row>
    <row r="502" spans="1:17" ht="46.5" customHeight="1" x14ac:dyDescent="0.7">
      <c r="A502" s="19"/>
      <c r="B502" s="19"/>
      <c r="C502" s="19"/>
      <c r="D502" s="31"/>
      <c r="E502" s="31"/>
      <c r="F502" s="31"/>
      <c r="G502" s="31"/>
      <c r="H502" s="31"/>
      <c r="I502" s="31"/>
      <c r="J502" s="31"/>
      <c r="K502" s="19"/>
      <c r="L502" s="19"/>
      <c r="M502" s="19"/>
      <c r="N502" s="31"/>
      <c r="O502" s="31"/>
      <c r="P502" s="19"/>
      <c r="Q502" s="19"/>
    </row>
    <row r="503" spans="1:17" ht="46.5" customHeight="1" x14ac:dyDescent="0.7">
      <c r="A503" s="19"/>
      <c r="B503" s="19"/>
      <c r="C503" s="19"/>
      <c r="D503" s="31"/>
      <c r="E503" s="31"/>
      <c r="F503" s="31"/>
      <c r="G503" s="31"/>
      <c r="H503" s="31"/>
      <c r="I503" s="31"/>
      <c r="J503" s="31"/>
      <c r="K503" s="19"/>
      <c r="L503" s="19"/>
      <c r="M503" s="19"/>
      <c r="N503" s="31"/>
      <c r="O503" s="31"/>
      <c r="P503" s="19"/>
      <c r="Q503" s="19"/>
    </row>
    <row r="504" spans="1:17" ht="46.5" customHeight="1" x14ac:dyDescent="0.7">
      <c r="A504" s="19"/>
      <c r="B504" s="19"/>
      <c r="C504" s="19"/>
      <c r="D504" s="31"/>
      <c r="E504" s="31"/>
      <c r="F504" s="31"/>
      <c r="G504" s="31"/>
      <c r="H504" s="31"/>
      <c r="I504" s="31"/>
      <c r="J504" s="31"/>
      <c r="K504" s="19"/>
      <c r="L504" s="19"/>
      <c r="M504" s="19"/>
      <c r="N504" s="31"/>
      <c r="O504" s="31"/>
      <c r="P504" s="19"/>
      <c r="Q504" s="19"/>
    </row>
    <row r="505" spans="1:17" ht="46.5" customHeight="1" x14ac:dyDescent="0.7">
      <c r="A505" s="19"/>
      <c r="B505" s="19"/>
      <c r="C505" s="19"/>
      <c r="D505" s="31"/>
      <c r="E505" s="31"/>
      <c r="F505" s="31"/>
      <c r="G505" s="31"/>
      <c r="H505" s="31"/>
      <c r="I505" s="31"/>
      <c r="J505" s="31"/>
      <c r="K505" s="19"/>
      <c r="L505" s="19"/>
      <c r="M505" s="19"/>
      <c r="N505" s="31"/>
      <c r="O505" s="31"/>
      <c r="P505" s="19"/>
      <c r="Q505" s="19"/>
    </row>
    <row r="506" spans="1:17" ht="46.5" customHeight="1" x14ac:dyDescent="0.7">
      <c r="A506" s="19"/>
      <c r="B506" s="19"/>
      <c r="C506" s="19"/>
      <c r="D506" s="31"/>
      <c r="E506" s="31"/>
      <c r="F506" s="31"/>
      <c r="G506" s="31"/>
      <c r="H506" s="31"/>
      <c r="I506" s="31"/>
      <c r="J506" s="31"/>
      <c r="K506" s="19"/>
      <c r="L506" s="19"/>
      <c r="M506" s="19"/>
      <c r="N506" s="31"/>
      <c r="O506" s="31"/>
      <c r="P506" s="19"/>
      <c r="Q506" s="19"/>
    </row>
    <row r="507" spans="1:17" ht="46.5" customHeight="1" x14ac:dyDescent="0.7">
      <c r="A507" s="19"/>
      <c r="B507" s="19"/>
      <c r="C507" s="19"/>
      <c r="D507" s="31"/>
      <c r="E507" s="31"/>
      <c r="F507" s="31"/>
      <c r="G507" s="31"/>
      <c r="H507" s="31"/>
      <c r="I507" s="31"/>
      <c r="J507" s="31"/>
      <c r="K507" s="19"/>
      <c r="L507" s="19"/>
      <c r="M507" s="19"/>
      <c r="N507" s="31"/>
      <c r="O507" s="31"/>
      <c r="P507" s="19"/>
      <c r="Q507" s="19"/>
    </row>
    <row r="508" spans="1:17" ht="46.5" customHeight="1" x14ac:dyDescent="0.7">
      <c r="A508" s="19"/>
      <c r="B508" s="19"/>
      <c r="C508" s="19"/>
      <c r="D508" s="31"/>
      <c r="E508" s="31"/>
      <c r="F508" s="31"/>
      <c r="G508" s="31"/>
      <c r="H508" s="31"/>
      <c r="I508" s="31"/>
      <c r="J508" s="31"/>
      <c r="K508" s="19"/>
      <c r="L508" s="19"/>
      <c r="M508" s="19"/>
      <c r="N508" s="31"/>
      <c r="O508" s="31"/>
      <c r="P508" s="19"/>
      <c r="Q508" s="19"/>
    </row>
    <row r="509" spans="1:17" ht="46.5" customHeight="1" x14ac:dyDescent="0.7">
      <c r="A509" s="19"/>
      <c r="B509" s="19"/>
      <c r="C509" s="19"/>
      <c r="D509" s="31"/>
      <c r="E509" s="31"/>
      <c r="F509" s="31"/>
      <c r="G509" s="31"/>
      <c r="H509" s="31"/>
      <c r="I509" s="31"/>
      <c r="J509" s="31"/>
      <c r="K509" s="19"/>
      <c r="L509" s="19"/>
      <c r="M509" s="19"/>
      <c r="N509" s="31"/>
      <c r="O509" s="31"/>
      <c r="P509" s="19"/>
      <c r="Q509" s="19"/>
    </row>
    <row r="510" spans="1:17" ht="46.5" customHeight="1" x14ac:dyDescent="0.7">
      <c r="A510" s="19"/>
      <c r="B510" s="19"/>
      <c r="C510" s="19"/>
      <c r="D510" s="31"/>
      <c r="E510" s="31"/>
      <c r="F510" s="31"/>
      <c r="G510" s="31"/>
      <c r="H510" s="31"/>
      <c r="I510" s="31"/>
      <c r="J510" s="31"/>
      <c r="K510" s="19"/>
      <c r="L510" s="19"/>
      <c r="M510" s="19"/>
      <c r="N510" s="31"/>
      <c r="O510" s="31"/>
      <c r="P510" s="19"/>
      <c r="Q510" s="19"/>
    </row>
    <row r="511" spans="1:17" ht="46.5" customHeight="1" x14ac:dyDescent="0.7">
      <c r="A511" s="19"/>
      <c r="B511" s="19"/>
      <c r="C511" s="19"/>
      <c r="D511" s="31"/>
      <c r="E511" s="31"/>
      <c r="F511" s="31"/>
      <c r="G511" s="31"/>
      <c r="H511" s="31"/>
      <c r="I511" s="31"/>
      <c r="J511" s="31"/>
      <c r="K511" s="19"/>
      <c r="L511" s="19"/>
      <c r="M511" s="19"/>
      <c r="N511" s="31"/>
      <c r="O511" s="31"/>
      <c r="P511" s="19"/>
      <c r="Q511" s="19"/>
    </row>
    <row r="512" spans="1:17" ht="46.5" customHeight="1" x14ac:dyDescent="0.7">
      <c r="A512" s="19"/>
      <c r="B512" s="19"/>
      <c r="C512" s="19"/>
      <c r="D512" s="31"/>
      <c r="E512" s="31"/>
      <c r="F512" s="31"/>
      <c r="G512" s="31"/>
      <c r="H512" s="31"/>
      <c r="I512" s="31"/>
      <c r="J512" s="31"/>
      <c r="K512" s="19"/>
      <c r="L512" s="19"/>
      <c r="M512" s="19"/>
      <c r="N512" s="31"/>
      <c r="O512" s="31"/>
      <c r="P512" s="19"/>
      <c r="Q512" s="19"/>
    </row>
    <row r="513" spans="1:17" ht="46.5" customHeight="1" x14ac:dyDescent="0.7">
      <c r="A513" s="19"/>
      <c r="B513" s="19"/>
      <c r="C513" s="19"/>
      <c r="D513" s="31"/>
      <c r="E513" s="31"/>
      <c r="F513" s="31"/>
      <c r="G513" s="31"/>
      <c r="H513" s="31"/>
      <c r="I513" s="31"/>
      <c r="J513" s="31"/>
      <c r="K513" s="19"/>
      <c r="L513" s="19"/>
      <c r="M513" s="19"/>
      <c r="N513" s="31"/>
      <c r="O513" s="31"/>
      <c r="P513" s="19"/>
      <c r="Q513" s="19"/>
    </row>
    <row r="514" spans="1:17" ht="46.5" customHeight="1" x14ac:dyDescent="0.7">
      <c r="A514" s="19"/>
      <c r="B514" s="19"/>
      <c r="C514" s="19"/>
      <c r="D514" s="31"/>
      <c r="E514" s="31"/>
      <c r="F514" s="31"/>
      <c r="G514" s="31"/>
      <c r="H514" s="31"/>
      <c r="I514" s="31"/>
      <c r="J514" s="31"/>
      <c r="K514" s="19"/>
      <c r="L514" s="19"/>
      <c r="M514" s="19"/>
      <c r="N514" s="31"/>
      <c r="O514" s="31"/>
      <c r="P514" s="19"/>
      <c r="Q514" s="19"/>
    </row>
    <row r="515" spans="1:17" ht="46.5" customHeight="1" x14ac:dyDescent="0.7">
      <c r="A515" s="19"/>
      <c r="B515" s="19"/>
      <c r="C515" s="19"/>
      <c r="D515" s="31"/>
      <c r="E515" s="31"/>
      <c r="F515" s="31"/>
      <c r="G515" s="31"/>
      <c r="H515" s="31"/>
      <c r="I515" s="31"/>
      <c r="J515" s="31"/>
      <c r="K515" s="19"/>
      <c r="L515" s="19"/>
      <c r="M515" s="19"/>
      <c r="N515" s="31"/>
      <c r="O515" s="31"/>
      <c r="P515" s="19"/>
      <c r="Q515" s="19"/>
    </row>
    <row r="516" spans="1:17" ht="46.5" customHeight="1" x14ac:dyDescent="0.7">
      <c r="A516" s="19"/>
      <c r="B516" s="19"/>
      <c r="C516" s="19"/>
      <c r="D516" s="31"/>
      <c r="E516" s="31"/>
      <c r="F516" s="31"/>
      <c r="G516" s="31"/>
      <c r="H516" s="31"/>
      <c r="I516" s="31"/>
      <c r="J516" s="31"/>
      <c r="K516" s="19"/>
      <c r="L516" s="19"/>
      <c r="M516" s="19"/>
      <c r="N516" s="31"/>
      <c r="O516" s="31"/>
      <c r="P516" s="19"/>
      <c r="Q516" s="19"/>
    </row>
    <row r="517" spans="1:17" ht="46.5" customHeight="1" x14ac:dyDescent="0.7">
      <c r="A517" s="19"/>
      <c r="B517" s="19"/>
      <c r="C517" s="19"/>
      <c r="D517" s="31"/>
      <c r="E517" s="31"/>
      <c r="F517" s="31"/>
      <c r="G517" s="31"/>
      <c r="H517" s="31"/>
      <c r="I517" s="31"/>
      <c r="J517" s="31"/>
      <c r="K517" s="19"/>
      <c r="L517" s="19"/>
      <c r="M517" s="19"/>
      <c r="N517" s="31"/>
      <c r="O517" s="31"/>
      <c r="P517" s="19"/>
      <c r="Q517" s="19"/>
    </row>
    <row r="518" spans="1:17" ht="46.5" customHeight="1" x14ac:dyDescent="0.7">
      <c r="A518" s="19"/>
      <c r="B518" s="19"/>
      <c r="C518" s="19"/>
      <c r="D518" s="31"/>
      <c r="E518" s="31"/>
      <c r="F518" s="31"/>
      <c r="G518" s="31"/>
      <c r="H518" s="31"/>
      <c r="I518" s="31"/>
      <c r="J518" s="31"/>
      <c r="K518" s="19"/>
      <c r="L518" s="19"/>
      <c r="M518" s="19"/>
      <c r="N518" s="31"/>
      <c r="O518" s="31"/>
      <c r="P518" s="19"/>
      <c r="Q518" s="19"/>
    </row>
    <row r="519" spans="1:17" ht="46.5" customHeight="1" x14ac:dyDescent="0.7">
      <c r="A519" s="19"/>
      <c r="B519" s="19"/>
      <c r="C519" s="19"/>
      <c r="D519" s="31"/>
      <c r="E519" s="31"/>
      <c r="F519" s="31"/>
      <c r="G519" s="31"/>
      <c r="H519" s="31"/>
      <c r="I519" s="31"/>
      <c r="J519" s="31"/>
      <c r="K519" s="19"/>
      <c r="L519" s="19"/>
      <c r="M519" s="19"/>
      <c r="N519" s="31"/>
      <c r="O519" s="31"/>
      <c r="P519" s="19"/>
      <c r="Q519" s="19"/>
    </row>
    <row r="520" spans="1:17" ht="46.5" customHeight="1" x14ac:dyDescent="0.7">
      <c r="A520" s="19"/>
      <c r="B520" s="19"/>
      <c r="C520" s="19"/>
      <c r="D520" s="31"/>
      <c r="E520" s="31"/>
      <c r="F520" s="31"/>
      <c r="G520" s="31"/>
      <c r="H520" s="31"/>
      <c r="I520" s="31"/>
      <c r="J520" s="31"/>
      <c r="K520" s="19"/>
      <c r="L520" s="19"/>
      <c r="M520" s="19"/>
      <c r="N520" s="31"/>
      <c r="O520" s="31"/>
      <c r="P520" s="19"/>
      <c r="Q520" s="19"/>
    </row>
    <row r="521" spans="1:17" ht="46.5" customHeight="1" x14ac:dyDescent="0.7">
      <c r="A521" s="19"/>
      <c r="B521" s="19"/>
      <c r="C521" s="19"/>
      <c r="D521" s="31"/>
      <c r="E521" s="31"/>
      <c r="F521" s="31"/>
      <c r="G521" s="31"/>
      <c r="H521" s="31"/>
      <c r="I521" s="31"/>
      <c r="J521" s="31"/>
      <c r="K521" s="19"/>
      <c r="L521" s="19"/>
      <c r="M521" s="19"/>
      <c r="N521" s="31"/>
      <c r="O521" s="31"/>
      <c r="P521" s="19"/>
      <c r="Q521" s="19"/>
    </row>
    <row r="522" spans="1:17" ht="46.5" customHeight="1" x14ac:dyDescent="0.7">
      <c r="A522" s="19"/>
      <c r="B522" s="19"/>
      <c r="C522" s="19"/>
      <c r="D522" s="31"/>
      <c r="E522" s="31"/>
      <c r="F522" s="31"/>
      <c r="G522" s="31"/>
      <c r="H522" s="31"/>
      <c r="I522" s="31"/>
      <c r="J522" s="31"/>
      <c r="K522" s="19"/>
      <c r="L522" s="19"/>
      <c r="M522" s="19"/>
      <c r="N522" s="31"/>
      <c r="O522" s="31"/>
      <c r="P522" s="19"/>
      <c r="Q522" s="19"/>
    </row>
    <row r="523" spans="1:17" ht="46.5" customHeight="1" x14ac:dyDescent="0.7">
      <c r="A523" s="19"/>
      <c r="B523" s="19"/>
      <c r="C523" s="19"/>
      <c r="D523" s="31"/>
      <c r="E523" s="31"/>
      <c r="F523" s="31"/>
      <c r="G523" s="31"/>
      <c r="H523" s="31"/>
      <c r="I523" s="31"/>
      <c r="J523" s="31"/>
      <c r="K523" s="19"/>
      <c r="L523" s="19"/>
      <c r="M523" s="19"/>
      <c r="N523" s="31"/>
      <c r="O523" s="31"/>
      <c r="P523" s="19"/>
      <c r="Q523" s="19"/>
    </row>
    <row r="524" spans="1:17" ht="46.5" customHeight="1" x14ac:dyDescent="0.7">
      <c r="A524" s="19"/>
      <c r="B524" s="19"/>
      <c r="C524" s="19"/>
      <c r="D524" s="31"/>
      <c r="E524" s="31"/>
      <c r="F524" s="31"/>
      <c r="G524" s="31"/>
      <c r="H524" s="31"/>
      <c r="I524" s="31"/>
      <c r="J524" s="31"/>
      <c r="K524" s="19"/>
      <c r="L524" s="19"/>
      <c r="M524" s="19"/>
      <c r="N524" s="31"/>
      <c r="O524" s="31"/>
      <c r="P524" s="19"/>
      <c r="Q524" s="19"/>
    </row>
    <row r="525" spans="1:17" ht="46.5" customHeight="1" x14ac:dyDescent="0.7">
      <c r="A525" s="19"/>
      <c r="B525" s="19"/>
      <c r="C525" s="19"/>
      <c r="D525" s="31"/>
      <c r="E525" s="31"/>
      <c r="F525" s="31"/>
      <c r="G525" s="31"/>
      <c r="H525" s="31"/>
      <c r="I525" s="31"/>
      <c r="J525" s="31"/>
      <c r="K525" s="19"/>
      <c r="L525" s="19"/>
      <c r="M525" s="19"/>
      <c r="N525" s="31"/>
      <c r="O525" s="31"/>
      <c r="P525" s="19"/>
      <c r="Q525" s="19"/>
    </row>
    <row r="526" spans="1:17" ht="46.5" customHeight="1" x14ac:dyDescent="0.7">
      <c r="A526" s="19"/>
      <c r="B526" s="19"/>
      <c r="C526" s="19"/>
      <c r="D526" s="31"/>
      <c r="E526" s="31"/>
      <c r="F526" s="31"/>
      <c r="G526" s="31"/>
      <c r="H526" s="31"/>
      <c r="I526" s="31"/>
      <c r="J526" s="31"/>
      <c r="K526" s="19"/>
      <c r="L526" s="19"/>
      <c r="M526" s="19"/>
      <c r="N526" s="31"/>
      <c r="O526" s="31"/>
      <c r="P526" s="19"/>
      <c r="Q526" s="19"/>
    </row>
    <row r="527" spans="1:17" ht="46.5" customHeight="1" x14ac:dyDescent="0.7">
      <c r="A527" s="19"/>
      <c r="B527" s="19"/>
      <c r="C527" s="19"/>
      <c r="D527" s="31"/>
      <c r="E527" s="31"/>
      <c r="F527" s="31"/>
      <c r="G527" s="31"/>
      <c r="H527" s="31"/>
      <c r="I527" s="31"/>
      <c r="J527" s="31"/>
      <c r="K527" s="19"/>
      <c r="L527" s="19"/>
      <c r="M527" s="19"/>
      <c r="N527" s="31"/>
      <c r="O527" s="31"/>
      <c r="P527" s="19"/>
      <c r="Q527" s="19"/>
    </row>
    <row r="528" spans="1:17" ht="46.5" customHeight="1" x14ac:dyDescent="0.7">
      <c r="A528" s="19"/>
      <c r="B528" s="19"/>
      <c r="C528" s="19"/>
      <c r="D528" s="31"/>
      <c r="E528" s="31"/>
      <c r="F528" s="31"/>
      <c r="G528" s="31"/>
      <c r="H528" s="31"/>
      <c r="I528" s="31"/>
      <c r="J528" s="31"/>
      <c r="K528" s="19"/>
      <c r="L528" s="19"/>
      <c r="M528" s="19"/>
      <c r="N528" s="31"/>
      <c r="O528" s="31"/>
      <c r="P528" s="19"/>
      <c r="Q528" s="19"/>
    </row>
    <row r="529" spans="1:17" ht="46.5" customHeight="1" x14ac:dyDescent="0.7">
      <c r="A529" s="19"/>
      <c r="B529" s="19"/>
      <c r="C529" s="19"/>
      <c r="D529" s="31"/>
      <c r="E529" s="31"/>
      <c r="F529" s="31"/>
      <c r="G529" s="31"/>
      <c r="H529" s="31"/>
      <c r="I529" s="31"/>
      <c r="J529" s="31"/>
      <c r="K529" s="19"/>
      <c r="L529" s="19"/>
      <c r="M529" s="19"/>
      <c r="N529" s="31"/>
      <c r="O529" s="31"/>
      <c r="P529" s="19"/>
      <c r="Q529" s="19"/>
    </row>
    <row r="530" spans="1:17" ht="46.5" customHeight="1" x14ac:dyDescent="0.7">
      <c r="A530" s="19"/>
      <c r="B530" s="19"/>
      <c r="C530" s="19"/>
      <c r="D530" s="31"/>
      <c r="E530" s="31"/>
      <c r="F530" s="31"/>
      <c r="G530" s="31"/>
      <c r="H530" s="31"/>
      <c r="I530" s="31"/>
      <c r="J530" s="31"/>
      <c r="K530" s="19"/>
      <c r="L530" s="19"/>
      <c r="M530" s="19"/>
      <c r="N530" s="31"/>
      <c r="O530" s="31"/>
      <c r="P530" s="19"/>
      <c r="Q530" s="19"/>
    </row>
    <row r="531" spans="1:17" ht="46.5" customHeight="1" x14ac:dyDescent="0.7">
      <c r="A531" s="19"/>
      <c r="B531" s="19"/>
      <c r="C531" s="19"/>
      <c r="D531" s="31"/>
      <c r="E531" s="31"/>
      <c r="F531" s="31"/>
      <c r="G531" s="31"/>
      <c r="H531" s="31"/>
      <c r="I531" s="31"/>
      <c r="J531" s="31"/>
      <c r="K531" s="19"/>
      <c r="L531" s="19"/>
      <c r="M531" s="19"/>
      <c r="N531" s="31"/>
      <c r="O531" s="31"/>
      <c r="P531" s="19"/>
      <c r="Q531" s="19"/>
    </row>
    <row r="532" spans="1:17" ht="46.5" customHeight="1" x14ac:dyDescent="0.7">
      <c r="A532" s="19"/>
      <c r="B532" s="19"/>
      <c r="C532" s="19"/>
      <c r="D532" s="31"/>
      <c r="E532" s="31"/>
      <c r="F532" s="31"/>
      <c r="G532" s="31"/>
      <c r="H532" s="31"/>
      <c r="I532" s="31"/>
      <c r="J532" s="31"/>
      <c r="K532" s="19"/>
      <c r="L532" s="19"/>
      <c r="M532" s="19"/>
      <c r="N532" s="31"/>
      <c r="O532" s="31"/>
      <c r="P532" s="19"/>
      <c r="Q532" s="19"/>
    </row>
    <row r="533" spans="1:17" ht="46.5" customHeight="1" x14ac:dyDescent="0.7">
      <c r="A533" s="19"/>
      <c r="B533" s="19"/>
      <c r="C533" s="19"/>
      <c r="D533" s="31"/>
      <c r="E533" s="31"/>
      <c r="F533" s="31"/>
      <c r="G533" s="31"/>
      <c r="H533" s="31"/>
      <c r="I533" s="31"/>
      <c r="J533" s="31"/>
      <c r="K533" s="19"/>
      <c r="L533" s="19"/>
      <c r="M533" s="19"/>
      <c r="N533" s="31"/>
      <c r="O533" s="31"/>
      <c r="P533" s="19"/>
      <c r="Q533" s="19"/>
    </row>
    <row r="534" spans="1:17" ht="46.5" customHeight="1" x14ac:dyDescent="0.7">
      <c r="A534" s="19"/>
      <c r="B534" s="19"/>
      <c r="C534" s="19"/>
      <c r="D534" s="31"/>
      <c r="E534" s="31"/>
      <c r="F534" s="31"/>
      <c r="G534" s="31"/>
      <c r="H534" s="31"/>
      <c r="I534" s="31"/>
      <c r="J534" s="31"/>
      <c r="K534" s="19"/>
      <c r="L534" s="19"/>
      <c r="M534" s="19"/>
      <c r="N534" s="31"/>
      <c r="O534" s="31"/>
      <c r="P534" s="19"/>
      <c r="Q534" s="19"/>
    </row>
    <row r="535" spans="1:17" ht="46.5" customHeight="1" x14ac:dyDescent="0.7">
      <c r="A535" s="19"/>
      <c r="B535" s="19"/>
      <c r="C535" s="19"/>
      <c r="D535" s="31"/>
      <c r="E535" s="31"/>
      <c r="F535" s="31"/>
      <c r="G535" s="31"/>
      <c r="H535" s="31"/>
      <c r="I535" s="31"/>
      <c r="J535" s="31"/>
      <c r="K535" s="19"/>
      <c r="L535" s="19"/>
      <c r="M535" s="19"/>
      <c r="N535" s="31"/>
      <c r="O535" s="31"/>
      <c r="P535" s="19"/>
      <c r="Q535" s="19"/>
    </row>
    <row r="536" spans="1:17" ht="46.5" customHeight="1" x14ac:dyDescent="0.7">
      <c r="A536" s="19"/>
      <c r="B536" s="19"/>
      <c r="C536" s="19"/>
      <c r="D536" s="31"/>
      <c r="E536" s="31"/>
      <c r="F536" s="31"/>
      <c r="G536" s="31"/>
      <c r="H536" s="31"/>
      <c r="I536" s="31"/>
      <c r="J536" s="31"/>
      <c r="K536" s="19"/>
      <c r="L536" s="19"/>
      <c r="M536" s="19"/>
      <c r="N536" s="31"/>
      <c r="O536" s="31"/>
      <c r="P536" s="19"/>
      <c r="Q536" s="19"/>
    </row>
    <row r="537" spans="1:17" ht="46.5" customHeight="1" x14ac:dyDescent="0.7">
      <c r="A537" s="19"/>
      <c r="B537" s="19"/>
      <c r="C537" s="19"/>
      <c r="D537" s="31"/>
      <c r="E537" s="31"/>
      <c r="F537" s="31"/>
      <c r="G537" s="31"/>
      <c r="H537" s="31"/>
      <c r="I537" s="31"/>
      <c r="J537" s="31"/>
      <c r="K537" s="19"/>
      <c r="L537" s="19"/>
      <c r="M537" s="19"/>
      <c r="N537" s="31"/>
      <c r="O537" s="31"/>
      <c r="P537" s="19"/>
      <c r="Q537" s="19"/>
    </row>
    <row r="538" spans="1:17" ht="46.5" customHeight="1" x14ac:dyDescent="0.7">
      <c r="A538" s="19"/>
      <c r="B538" s="19"/>
      <c r="C538" s="19"/>
      <c r="D538" s="31"/>
      <c r="E538" s="31"/>
      <c r="F538" s="31"/>
      <c r="G538" s="31"/>
      <c r="H538" s="31"/>
      <c r="I538" s="31"/>
      <c r="J538" s="31"/>
      <c r="K538" s="19"/>
      <c r="L538" s="19"/>
      <c r="M538" s="19"/>
      <c r="N538" s="31"/>
      <c r="O538" s="31"/>
      <c r="P538" s="19"/>
      <c r="Q538" s="19"/>
    </row>
    <row r="539" spans="1:17" ht="46.5" customHeight="1" x14ac:dyDescent="0.7">
      <c r="A539" s="19"/>
      <c r="B539" s="19"/>
      <c r="C539" s="19"/>
      <c r="D539" s="31"/>
      <c r="E539" s="31"/>
      <c r="F539" s="31"/>
      <c r="G539" s="31"/>
      <c r="H539" s="31"/>
      <c r="I539" s="31"/>
      <c r="J539" s="31"/>
      <c r="K539" s="19"/>
      <c r="L539" s="19"/>
      <c r="M539" s="19"/>
      <c r="N539" s="31"/>
      <c r="O539" s="31"/>
      <c r="P539" s="19"/>
      <c r="Q539" s="19"/>
    </row>
    <row r="540" spans="1:17" ht="46.5" customHeight="1" x14ac:dyDescent="0.7">
      <c r="A540" s="19"/>
      <c r="B540" s="19"/>
      <c r="C540" s="19"/>
      <c r="D540" s="31"/>
      <c r="E540" s="31"/>
      <c r="F540" s="31"/>
      <c r="G540" s="31"/>
      <c r="H540" s="31"/>
      <c r="I540" s="31"/>
      <c r="J540" s="31"/>
      <c r="K540" s="19"/>
      <c r="L540" s="19"/>
      <c r="M540" s="19"/>
      <c r="N540" s="31"/>
      <c r="O540" s="31"/>
      <c r="P540" s="19"/>
      <c r="Q540" s="19"/>
    </row>
    <row r="541" spans="1:17" ht="46.5" customHeight="1" x14ac:dyDescent="0.7">
      <c r="A541" s="19"/>
      <c r="B541" s="19"/>
      <c r="C541" s="19"/>
      <c r="D541" s="31"/>
      <c r="E541" s="31"/>
      <c r="F541" s="31"/>
      <c r="G541" s="31"/>
      <c r="H541" s="31"/>
      <c r="I541" s="31"/>
      <c r="J541" s="31"/>
      <c r="K541" s="19"/>
      <c r="L541" s="19"/>
      <c r="M541" s="19"/>
      <c r="N541" s="31"/>
      <c r="O541" s="31"/>
      <c r="P541" s="19"/>
      <c r="Q541" s="19"/>
    </row>
    <row r="542" spans="1:17" ht="46.5" customHeight="1" x14ac:dyDescent="0.7">
      <c r="A542" s="19"/>
      <c r="B542" s="19"/>
      <c r="C542" s="19"/>
      <c r="D542" s="31"/>
      <c r="E542" s="31"/>
      <c r="F542" s="31"/>
      <c r="G542" s="31"/>
      <c r="H542" s="31"/>
      <c r="I542" s="31"/>
      <c r="J542" s="31"/>
      <c r="K542" s="19"/>
      <c r="L542" s="19"/>
      <c r="M542" s="19"/>
      <c r="N542" s="31"/>
      <c r="O542" s="31"/>
      <c r="P542" s="19"/>
      <c r="Q542" s="19"/>
    </row>
    <row r="543" spans="1:17" ht="46.5" customHeight="1" x14ac:dyDescent="0.7">
      <c r="A543" s="19"/>
      <c r="B543" s="19"/>
      <c r="C543" s="19"/>
      <c r="D543" s="31"/>
      <c r="E543" s="31"/>
      <c r="F543" s="31"/>
      <c r="G543" s="31"/>
      <c r="H543" s="31"/>
      <c r="I543" s="31"/>
      <c r="J543" s="31"/>
      <c r="K543" s="19"/>
      <c r="L543" s="19"/>
      <c r="M543" s="19"/>
      <c r="N543" s="31"/>
      <c r="O543" s="31"/>
      <c r="P543" s="19"/>
      <c r="Q543" s="19"/>
    </row>
    <row r="544" spans="1:17" ht="46.5" customHeight="1" x14ac:dyDescent="0.7">
      <c r="A544" s="19"/>
      <c r="B544" s="19"/>
      <c r="C544" s="19"/>
      <c r="D544" s="31"/>
      <c r="E544" s="31"/>
      <c r="F544" s="31"/>
      <c r="G544" s="31"/>
      <c r="H544" s="31"/>
      <c r="I544" s="31"/>
      <c r="J544" s="31"/>
      <c r="K544" s="19"/>
      <c r="L544" s="19"/>
      <c r="M544" s="19"/>
      <c r="N544" s="31"/>
      <c r="O544" s="31"/>
      <c r="P544" s="19"/>
      <c r="Q544" s="19"/>
    </row>
    <row r="545" spans="1:17" ht="46.5" customHeight="1" x14ac:dyDescent="0.7">
      <c r="A545" s="19"/>
      <c r="B545" s="19"/>
      <c r="C545" s="19"/>
      <c r="D545" s="31"/>
      <c r="E545" s="31"/>
      <c r="F545" s="31"/>
      <c r="G545" s="31"/>
      <c r="H545" s="31"/>
      <c r="I545" s="31"/>
      <c r="J545" s="31"/>
      <c r="K545" s="19"/>
      <c r="L545" s="19"/>
      <c r="M545" s="19"/>
      <c r="N545" s="31"/>
      <c r="O545" s="31"/>
      <c r="P545" s="19"/>
      <c r="Q545" s="19"/>
    </row>
    <row r="546" spans="1:17" ht="46.5" customHeight="1" x14ac:dyDescent="0.7">
      <c r="A546" s="19"/>
      <c r="B546" s="19"/>
      <c r="C546" s="19"/>
      <c r="D546" s="31"/>
      <c r="E546" s="31"/>
      <c r="F546" s="31"/>
      <c r="G546" s="31"/>
      <c r="H546" s="31"/>
      <c r="I546" s="31"/>
      <c r="J546" s="31"/>
      <c r="K546" s="19"/>
      <c r="L546" s="19"/>
      <c r="M546" s="19"/>
      <c r="N546" s="31"/>
      <c r="O546" s="31"/>
      <c r="P546" s="19"/>
      <c r="Q546" s="19"/>
    </row>
    <row r="547" spans="1:17" ht="46.5" customHeight="1" x14ac:dyDescent="0.7">
      <c r="A547" s="19"/>
      <c r="B547" s="19"/>
      <c r="C547" s="19"/>
      <c r="D547" s="31"/>
      <c r="E547" s="31"/>
      <c r="F547" s="31"/>
      <c r="G547" s="31"/>
      <c r="H547" s="31"/>
      <c r="I547" s="31"/>
      <c r="J547" s="31"/>
      <c r="K547" s="19"/>
      <c r="L547" s="19"/>
      <c r="M547" s="19"/>
      <c r="N547" s="31"/>
      <c r="O547" s="31"/>
      <c r="P547" s="19"/>
      <c r="Q547" s="19"/>
    </row>
    <row r="548" spans="1:17" ht="46.5" customHeight="1" x14ac:dyDescent="0.7">
      <c r="A548" s="19"/>
      <c r="B548" s="19"/>
      <c r="C548" s="19"/>
      <c r="D548" s="31"/>
      <c r="E548" s="31"/>
      <c r="F548" s="31"/>
      <c r="G548" s="31"/>
      <c r="H548" s="31"/>
      <c r="I548" s="31"/>
      <c r="J548" s="31"/>
      <c r="K548" s="19"/>
      <c r="L548" s="19"/>
      <c r="M548" s="19"/>
      <c r="N548" s="31"/>
      <c r="O548" s="31"/>
      <c r="P548" s="19"/>
      <c r="Q548" s="19"/>
    </row>
    <row r="549" spans="1:17" ht="46.5" customHeight="1" x14ac:dyDescent="0.7">
      <c r="A549" s="19"/>
      <c r="B549" s="19"/>
      <c r="C549" s="19"/>
      <c r="D549" s="31"/>
      <c r="E549" s="31"/>
      <c r="F549" s="31"/>
      <c r="G549" s="31"/>
      <c r="H549" s="31"/>
      <c r="I549" s="31"/>
      <c r="J549" s="31"/>
      <c r="K549" s="19"/>
      <c r="L549" s="19"/>
      <c r="M549" s="19"/>
      <c r="N549" s="31"/>
      <c r="O549" s="31"/>
      <c r="P549" s="19"/>
      <c r="Q549" s="19"/>
    </row>
    <row r="550" spans="1:17" ht="46.5" customHeight="1" x14ac:dyDescent="0.7">
      <c r="A550" s="19"/>
      <c r="B550" s="19"/>
      <c r="C550" s="19"/>
      <c r="D550" s="31"/>
      <c r="E550" s="31"/>
      <c r="F550" s="31"/>
      <c r="G550" s="31"/>
      <c r="H550" s="31"/>
      <c r="I550" s="31"/>
      <c r="J550" s="31"/>
      <c r="K550" s="19"/>
      <c r="L550" s="19"/>
      <c r="M550" s="19"/>
      <c r="N550" s="31"/>
      <c r="O550" s="31"/>
      <c r="P550" s="19"/>
      <c r="Q550" s="19"/>
    </row>
    <row r="551" spans="1:17" ht="46.5" customHeight="1" x14ac:dyDescent="0.7">
      <c r="A551" s="19"/>
      <c r="B551" s="19"/>
      <c r="C551" s="19"/>
      <c r="D551" s="31"/>
      <c r="E551" s="31"/>
      <c r="F551" s="31"/>
      <c r="G551" s="31"/>
      <c r="H551" s="31"/>
      <c r="I551" s="31"/>
      <c r="J551" s="31"/>
      <c r="K551" s="19"/>
      <c r="L551" s="19"/>
      <c r="M551" s="19"/>
      <c r="N551" s="31"/>
      <c r="O551" s="31"/>
      <c r="P551" s="19"/>
      <c r="Q551" s="19"/>
    </row>
    <row r="552" spans="1:17" ht="46.5" customHeight="1" x14ac:dyDescent="0.7">
      <c r="A552" s="19"/>
      <c r="B552" s="19"/>
      <c r="C552" s="19"/>
      <c r="D552" s="31"/>
      <c r="E552" s="31"/>
      <c r="F552" s="31"/>
      <c r="G552" s="31"/>
      <c r="H552" s="31"/>
      <c r="I552" s="31"/>
      <c r="J552" s="31"/>
      <c r="K552" s="19"/>
      <c r="L552" s="19"/>
      <c r="M552" s="19"/>
      <c r="N552" s="31"/>
      <c r="O552" s="31"/>
      <c r="P552" s="19"/>
      <c r="Q552" s="19"/>
    </row>
    <row r="553" spans="1:17" ht="46.5" customHeight="1" x14ac:dyDescent="0.7">
      <c r="A553" s="19"/>
      <c r="B553" s="19"/>
      <c r="C553" s="19"/>
      <c r="D553" s="31"/>
      <c r="E553" s="31"/>
      <c r="F553" s="31"/>
      <c r="G553" s="31"/>
      <c r="H553" s="31"/>
      <c r="I553" s="31"/>
      <c r="J553" s="31"/>
      <c r="K553" s="19"/>
      <c r="L553" s="19"/>
      <c r="M553" s="19"/>
      <c r="N553" s="31"/>
      <c r="O553" s="31"/>
      <c r="P553" s="19"/>
      <c r="Q553" s="19"/>
    </row>
    <row r="554" spans="1:17" ht="46.5" customHeight="1" x14ac:dyDescent="0.7">
      <c r="A554" s="19"/>
      <c r="B554" s="19"/>
      <c r="C554" s="19"/>
      <c r="D554" s="31"/>
      <c r="E554" s="31"/>
      <c r="F554" s="31"/>
      <c r="G554" s="31"/>
      <c r="H554" s="31"/>
      <c r="I554" s="31"/>
      <c r="J554" s="31"/>
      <c r="K554" s="19"/>
      <c r="L554" s="19"/>
      <c r="M554" s="19"/>
      <c r="N554" s="31"/>
      <c r="O554" s="31"/>
      <c r="P554" s="19"/>
      <c r="Q554" s="19"/>
    </row>
    <row r="555" spans="1:17" ht="46.5" customHeight="1" x14ac:dyDescent="0.7">
      <c r="A555" s="19"/>
      <c r="B555" s="19"/>
      <c r="C555" s="19"/>
      <c r="D555" s="31"/>
      <c r="E555" s="31"/>
      <c r="F555" s="31"/>
      <c r="G555" s="31"/>
      <c r="H555" s="31"/>
      <c r="I555" s="31"/>
      <c r="J555" s="31"/>
      <c r="K555" s="19"/>
      <c r="L555" s="19"/>
      <c r="M555" s="19"/>
      <c r="N555" s="31"/>
      <c r="O555" s="31"/>
      <c r="P555" s="19"/>
      <c r="Q555" s="19"/>
    </row>
    <row r="556" spans="1:17" ht="46.5" customHeight="1" x14ac:dyDescent="0.7">
      <c r="A556" s="19"/>
      <c r="B556" s="19"/>
      <c r="C556" s="19"/>
      <c r="D556" s="31"/>
      <c r="E556" s="31"/>
      <c r="F556" s="31"/>
      <c r="G556" s="31"/>
      <c r="H556" s="31"/>
      <c r="I556" s="31"/>
      <c r="J556" s="31"/>
      <c r="K556" s="19"/>
      <c r="L556" s="19"/>
      <c r="M556" s="19"/>
      <c r="N556" s="31"/>
      <c r="O556" s="31"/>
      <c r="P556" s="19"/>
      <c r="Q556" s="19"/>
    </row>
    <row r="557" spans="1:17" ht="46.5" customHeight="1" x14ac:dyDescent="0.7">
      <c r="A557" s="19"/>
      <c r="B557" s="19"/>
      <c r="C557" s="19"/>
      <c r="D557" s="31"/>
      <c r="E557" s="31"/>
      <c r="F557" s="31"/>
      <c r="G557" s="31"/>
      <c r="H557" s="31"/>
      <c r="I557" s="31"/>
      <c r="J557" s="31"/>
      <c r="K557" s="19"/>
      <c r="L557" s="19"/>
      <c r="M557" s="19"/>
      <c r="N557" s="31"/>
      <c r="O557" s="31"/>
      <c r="P557" s="19"/>
      <c r="Q557" s="19"/>
    </row>
    <row r="558" spans="1:17" ht="46.5" customHeight="1" x14ac:dyDescent="0.7">
      <c r="A558" s="19"/>
      <c r="B558" s="19"/>
      <c r="C558" s="19"/>
      <c r="D558" s="31"/>
      <c r="E558" s="31"/>
      <c r="F558" s="31"/>
      <c r="G558" s="31"/>
      <c r="H558" s="31"/>
      <c r="I558" s="31"/>
      <c r="J558" s="31"/>
      <c r="K558" s="19"/>
      <c r="L558" s="19"/>
      <c r="M558" s="19"/>
      <c r="N558" s="31"/>
      <c r="O558" s="31"/>
      <c r="P558" s="19"/>
      <c r="Q558" s="19"/>
    </row>
    <row r="559" spans="1:17" ht="46.5" customHeight="1" x14ac:dyDescent="0.7">
      <c r="A559" s="19"/>
      <c r="B559" s="19"/>
      <c r="C559" s="19"/>
      <c r="D559" s="31"/>
      <c r="E559" s="31"/>
      <c r="F559" s="31"/>
      <c r="G559" s="31"/>
      <c r="H559" s="31"/>
      <c r="I559" s="31"/>
      <c r="J559" s="31"/>
      <c r="K559" s="19"/>
      <c r="L559" s="19"/>
      <c r="M559" s="19"/>
      <c r="N559" s="31"/>
      <c r="O559" s="31"/>
      <c r="P559" s="19"/>
      <c r="Q559" s="19"/>
    </row>
    <row r="560" spans="1:17" ht="46.5" customHeight="1" x14ac:dyDescent="0.7">
      <c r="A560" s="19"/>
      <c r="B560" s="19"/>
      <c r="C560" s="19"/>
      <c r="D560" s="31"/>
      <c r="E560" s="31"/>
      <c r="F560" s="31"/>
      <c r="G560" s="31"/>
      <c r="H560" s="31"/>
      <c r="I560" s="31"/>
      <c r="J560" s="31"/>
      <c r="K560" s="19"/>
      <c r="L560" s="19"/>
      <c r="M560" s="19"/>
      <c r="N560" s="31"/>
      <c r="O560" s="31"/>
      <c r="P560" s="19"/>
      <c r="Q560" s="19"/>
    </row>
    <row r="561" spans="1:17" ht="46.5" customHeight="1" x14ac:dyDescent="0.7">
      <c r="A561" s="19"/>
      <c r="B561" s="19"/>
      <c r="C561" s="19"/>
      <c r="D561" s="31"/>
      <c r="E561" s="31"/>
      <c r="F561" s="31"/>
      <c r="G561" s="31"/>
      <c r="H561" s="31"/>
      <c r="I561" s="31"/>
      <c r="J561" s="31"/>
      <c r="K561" s="19"/>
      <c r="L561" s="19"/>
      <c r="M561" s="19"/>
      <c r="N561" s="31"/>
      <c r="O561" s="31"/>
      <c r="P561" s="19"/>
      <c r="Q561" s="19"/>
    </row>
    <row r="562" spans="1:17" ht="46.5" customHeight="1" x14ac:dyDescent="0.7">
      <c r="A562" s="19"/>
      <c r="B562" s="19"/>
      <c r="C562" s="19"/>
      <c r="D562" s="31"/>
      <c r="E562" s="31"/>
      <c r="F562" s="31"/>
      <c r="G562" s="31"/>
      <c r="H562" s="31"/>
      <c r="I562" s="31"/>
      <c r="J562" s="31"/>
      <c r="K562" s="19"/>
      <c r="L562" s="19"/>
      <c r="M562" s="19"/>
      <c r="N562" s="31"/>
      <c r="O562" s="31"/>
      <c r="P562" s="19"/>
      <c r="Q562" s="19"/>
    </row>
    <row r="563" spans="1:17" ht="46.5" customHeight="1" x14ac:dyDescent="0.7">
      <c r="A563" s="19"/>
      <c r="B563" s="19"/>
      <c r="C563" s="19"/>
      <c r="D563" s="31"/>
      <c r="E563" s="31"/>
      <c r="F563" s="31"/>
      <c r="G563" s="31"/>
      <c r="H563" s="31"/>
      <c r="I563" s="31"/>
      <c r="J563" s="31"/>
      <c r="K563" s="19"/>
      <c r="L563" s="19"/>
      <c r="M563" s="19"/>
      <c r="N563" s="31"/>
      <c r="O563" s="31"/>
      <c r="P563" s="19"/>
      <c r="Q563" s="19"/>
    </row>
    <row r="564" spans="1:17" ht="46.5" customHeight="1" x14ac:dyDescent="0.7">
      <c r="A564" s="19"/>
      <c r="B564" s="19"/>
      <c r="C564" s="19"/>
      <c r="D564" s="31"/>
      <c r="E564" s="31"/>
      <c r="F564" s="31"/>
      <c r="G564" s="31"/>
      <c r="H564" s="31"/>
      <c r="I564" s="31"/>
      <c r="J564" s="31"/>
      <c r="K564" s="19"/>
      <c r="L564" s="19"/>
      <c r="M564" s="19"/>
      <c r="N564" s="31"/>
      <c r="O564" s="31"/>
      <c r="P564" s="19"/>
      <c r="Q564" s="19"/>
    </row>
    <row r="565" spans="1:17" ht="46.5" customHeight="1" x14ac:dyDescent="0.7">
      <c r="A565" s="19"/>
      <c r="B565" s="19"/>
      <c r="C565" s="19"/>
      <c r="D565" s="31"/>
      <c r="E565" s="31"/>
      <c r="F565" s="31"/>
      <c r="G565" s="31"/>
      <c r="H565" s="31"/>
      <c r="I565" s="31"/>
      <c r="J565" s="31"/>
      <c r="K565" s="19"/>
      <c r="L565" s="19"/>
      <c r="M565" s="19"/>
      <c r="N565" s="31"/>
      <c r="O565" s="31"/>
      <c r="P565" s="19"/>
      <c r="Q565" s="19"/>
    </row>
    <row r="566" spans="1:17" ht="46.5" customHeight="1" x14ac:dyDescent="0.7">
      <c r="A566" s="19"/>
      <c r="B566" s="19"/>
      <c r="C566" s="19"/>
      <c r="D566" s="31"/>
      <c r="E566" s="31"/>
      <c r="F566" s="31"/>
      <c r="G566" s="31"/>
      <c r="H566" s="31"/>
      <c r="I566" s="31"/>
      <c r="J566" s="31"/>
      <c r="K566" s="19"/>
      <c r="L566" s="19"/>
      <c r="M566" s="19"/>
      <c r="N566" s="31"/>
      <c r="O566" s="31"/>
      <c r="P566" s="19"/>
      <c r="Q566" s="19"/>
    </row>
    <row r="567" spans="1:17" ht="46.5" customHeight="1" x14ac:dyDescent="0.7">
      <c r="A567" s="19"/>
      <c r="B567" s="19"/>
      <c r="C567" s="19"/>
      <c r="D567" s="31"/>
      <c r="E567" s="31"/>
      <c r="F567" s="31"/>
      <c r="G567" s="31"/>
      <c r="H567" s="31"/>
      <c r="I567" s="31"/>
      <c r="J567" s="31"/>
      <c r="K567" s="19"/>
      <c r="L567" s="19"/>
      <c r="M567" s="19"/>
      <c r="N567" s="31"/>
      <c r="O567" s="31"/>
      <c r="P567" s="19"/>
      <c r="Q567" s="19"/>
    </row>
    <row r="568" spans="1:17" ht="46.5" customHeight="1" x14ac:dyDescent="0.7">
      <c r="A568" s="19"/>
      <c r="B568" s="19"/>
      <c r="C568" s="19"/>
      <c r="D568" s="31"/>
      <c r="E568" s="31"/>
      <c r="F568" s="31"/>
      <c r="G568" s="31"/>
      <c r="H568" s="31"/>
      <c r="I568" s="31"/>
      <c r="J568" s="31"/>
      <c r="K568" s="19"/>
      <c r="L568" s="19"/>
      <c r="M568" s="19"/>
      <c r="N568" s="31"/>
      <c r="O568" s="31"/>
      <c r="P568" s="19"/>
      <c r="Q568" s="19"/>
    </row>
    <row r="569" spans="1:17" ht="46.5" customHeight="1" x14ac:dyDescent="0.7">
      <c r="A569" s="19"/>
      <c r="B569" s="19"/>
      <c r="C569" s="19"/>
      <c r="D569" s="31"/>
      <c r="E569" s="31"/>
      <c r="F569" s="31"/>
      <c r="G569" s="31"/>
      <c r="H569" s="31"/>
      <c r="I569" s="31"/>
      <c r="J569" s="31"/>
      <c r="K569" s="19"/>
      <c r="L569" s="19"/>
      <c r="M569" s="19"/>
      <c r="N569" s="31"/>
      <c r="O569" s="31"/>
      <c r="P569" s="19"/>
      <c r="Q569" s="19"/>
    </row>
    <row r="570" spans="1:17" ht="46.5" customHeight="1" x14ac:dyDescent="0.7">
      <c r="A570" s="19"/>
      <c r="B570" s="19"/>
      <c r="C570" s="19"/>
      <c r="D570" s="31"/>
      <c r="E570" s="31"/>
      <c r="F570" s="31"/>
      <c r="G570" s="31"/>
      <c r="H570" s="31"/>
      <c r="I570" s="31"/>
      <c r="J570" s="31"/>
      <c r="K570" s="19"/>
      <c r="L570" s="19"/>
      <c r="M570" s="19"/>
      <c r="N570" s="31"/>
      <c r="O570" s="31"/>
      <c r="P570" s="19"/>
      <c r="Q570" s="19"/>
    </row>
    <row r="571" spans="1:17" ht="46.5" customHeight="1" x14ac:dyDescent="0.7">
      <c r="A571" s="19"/>
      <c r="B571" s="19"/>
      <c r="C571" s="19"/>
      <c r="D571" s="31"/>
      <c r="E571" s="31"/>
      <c r="F571" s="31"/>
      <c r="G571" s="31"/>
      <c r="H571" s="31"/>
      <c r="I571" s="31"/>
      <c r="J571" s="31"/>
      <c r="K571" s="19"/>
      <c r="L571" s="19"/>
      <c r="M571" s="19"/>
      <c r="N571" s="31"/>
      <c r="O571" s="31"/>
      <c r="P571" s="19"/>
      <c r="Q571" s="19"/>
    </row>
    <row r="572" spans="1:17" ht="46.5" customHeight="1" x14ac:dyDescent="0.7">
      <c r="A572" s="19"/>
      <c r="B572" s="19"/>
      <c r="C572" s="19"/>
      <c r="D572" s="31"/>
      <c r="E572" s="31"/>
      <c r="F572" s="31"/>
      <c r="G572" s="31"/>
      <c r="H572" s="31"/>
      <c r="I572" s="31"/>
      <c r="J572" s="31"/>
      <c r="K572" s="19"/>
      <c r="L572" s="19"/>
      <c r="M572" s="19"/>
      <c r="N572" s="31"/>
      <c r="O572" s="31"/>
      <c r="P572" s="19"/>
      <c r="Q572" s="19"/>
    </row>
    <row r="573" spans="1:17" ht="46.5" customHeight="1" x14ac:dyDescent="0.7">
      <c r="A573" s="19"/>
      <c r="B573" s="19"/>
      <c r="C573" s="19"/>
      <c r="D573" s="31"/>
      <c r="E573" s="31"/>
      <c r="F573" s="31"/>
      <c r="G573" s="31"/>
      <c r="H573" s="31"/>
      <c r="I573" s="31"/>
      <c r="J573" s="31"/>
      <c r="K573" s="19"/>
      <c r="L573" s="19"/>
      <c r="M573" s="19"/>
      <c r="N573" s="31"/>
      <c r="O573" s="31"/>
      <c r="P573" s="19"/>
      <c r="Q573" s="19"/>
    </row>
    <row r="574" spans="1:17" ht="46.5" customHeight="1" x14ac:dyDescent="0.7">
      <c r="A574" s="19"/>
      <c r="B574" s="19"/>
      <c r="C574" s="19"/>
      <c r="D574" s="31"/>
      <c r="E574" s="31"/>
      <c r="F574" s="31"/>
      <c r="G574" s="31"/>
      <c r="H574" s="31"/>
      <c r="I574" s="31"/>
      <c r="J574" s="31"/>
      <c r="K574" s="19"/>
      <c r="L574" s="19"/>
      <c r="M574" s="19"/>
      <c r="N574" s="31"/>
      <c r="O574" s="31"/>
      <c r="P574" s="19"/>
      <c r="Q574" s="19"/>
    </row>
    <row r="575" spans="1:17" ht="46.5" customHeight="1" x14ac:dyDescent="0.7">
      <c r="A575" s="19"/>
      <c r="B575" s="19"/>
      <c r="C575" s="19"/>
      <c r="D575" s="31"/>
      <c r="E575" s="31"/>
      <c r="F575" s="31"/>
      <c r="G575" s="31"/>
      <c r="H575" s="31"/>
      <c r="I575" s="31"/>
      <c r="J575" s="31"/>
      <c r="K575" s="19"/>
      <c r="L575" s="19"/>
      <c r="M575" s="19"/>
      <c r="N575" s="31"/>
      <c r="O575" s="31"/>
      <c r="P575" s="19"/>
      <c r="Q575" s="19"/>
    </row>
    <row r="576" spans="1:17" ht="46.5" customHeight="1" x14ac:dyDescent="0.7">
      <c r="A576" s="19"/>
      <c r="B576" s="19"/>
      <c r="C576" s="19"/>
      <c r="D576" s="31"/>
      <c r="E576" s="31"/>
      <c r="F576" s="31"/>
      <c r="G576" s="31"/>
      <c r="H576" s="31"/>
      <c r="I576" s="31"/>
      <c r="J576" s="31"/>
      <c r="K576" s="19"/>
      <c r="L576" s="19"/>
      <c r="M576" s="19"/>
      <c r="N576" s="31"/>
      <c r="O576" s="31"/>
      <c r="P576" s="19"/>
      <c r="Q576" s="19"/>
    </row>
    <row r="577" spans="1:17" ht="46.5" customHeight="1" x14ac:dyDescent="0.7">
      <c r="A577" s="19"/>
      <c r="B577" s="19"/>
      <c r="C577" s="19"/>
      <c r="D577" s="31"/>
      <c r="E577" s="31"/>
      <c r="F577" s="31"/>
      <c r="G577" s="31"/>
      <c r="H577" s="31"/>
      <c r="I577" s="31"/>
      <c r="J577" s="31"/>
      <c r="K577" s="19"/>
      <c r="L577" s="19"/>
      <c r="M577" s="19"/>
      <c r="N577" s="31"/>
      <c r="O577" s="31"/>
      <c r="P577" s="19"/>
      <c r="Q577" s="19"/>
    </row>
    <row r="578" spans="1:17" ht="46.5" customHeight="1" x14ac:dyDescent="0.7">
      <c r="A578" s="19"/>
      <c r="B578" s="19"/>
      <c r="C578" s="19"/>
      <c r="D578" s="31"/>
      <c r="E578" s="31"/>
      <c r="F578" s="31"/>
      <c r="G578" s="31"/>
      <c r="H578" s="31"/>
      <c r="I578" s="31"/>
      <c r="J578" s="31"/>
      <c r="K578" s="19"/>
      <c r="L578" s="19"/>
      <c r="M578" s="19"/>
      <c r="N578" s="31"/>
      <c r="O578" s="31"/>
      <c r="P578" s="19"/>
      <c r="Q578" s="19"/>
    </row>
    <row r="579" spans="1:17" ht="46.5" customHeight="1" x14ac:dyDescent="0.7">
      <c r="A579" s="19"/>
      <c r="B579" s="19"/>
      <c r="C579" s="19"/>
      <c r="D579" s="31"/>
      <c r="E579" s="31"/>
      <c r="F579" s="31"/>
      <c r="G579" s="31"/>
      <c r="H579" s="31"/>
      <c r="I579" s="31"/>
      <c r="J579" s="31"/>
      <c r="K579" s="19"/>
      <c r="L579" s="19"/>
      <c r="M579" s="19"/>
      <c r="N579" s="31"/>
      <c r="O579" s="31"/>
      <c r="P579" s="19"/>
      <c r="Q579" s="19"/>
    </row>
    <row r="580" spans="1:17" ht="46.5" customHeight="1" x14ac:dyDescent="0.7">
      <c r="A580" s="19"/>
      <c r="B580" s="19"/>
      <c r="C580" s="19"/>
      <c r="D580" s="31"/>
      <c r="E580" s="31"/>
      <c r="F580" s="31"/>
      <c r="G580" s="31"/>
      <c r="H580" s="31"/>
      <c r="I580" s="31"/>
      <c r="J580" s="31"/>
      <c r="K580" s="19"/>
      <c r="L580" s="19"/>
      <c r="M580" s="19"/>
      <c r="N580" s="31"/>
      <c r="O580" s="31"/>
      <c r="P580" s="19"/>
      <c r="Q580" s="19"/>
    </row>
    <row r="581" spans="1:17" ht="46.5" customHeight="1" x14ac:dyDescent="0.7">
      <c r="A581" s="19"/>
      <c r="B581" s="19"/>
      <c r="C581" s="19"/>
      <c r="D581" s="31"/>
      <c r="E581" s="31"/>
      <c r="F581" s="31"/>
      <c r="G581" s="31"/>
      <c r="H581" s="31"/>
      <c r="I581" s="31"/>
      <c r="J581" s="31"/>
      <c r="K581" s="19"/>
      <c r="L581" s="19"/>
      <c r="M581" s="19"/>
      <c r="N581" s="31"/>
      <c r="O581" s="31"/>
      <c r="P581" s="19"/>
      <c r="Q581" s="19"/>
    </row>
    <row r="582" spans="1:17" ht="46.5" customHeight="1" x14ac:dyDescent="0.7">
      <c r="A582" s="19"/>
      <c r="B582" s="19"/>
      <c r="C582" s="19"/>
      <c r="D582" s="31"/>
      <c r="E582" s="31"/>
      <c r="F582" s="31"/>
      <c r="G582" s="31"/>
      <c r="H582" s="31"/>
      <c r="I582" s="31"/>
      <c r="J582" s="31"/>
      <c r="K582" s="19"/>
      <c r="L582" s="19"/>
      <c r="M582" s="19"/>
      <c r="N582" s="31"/>
      <c r="O582" s="31"/>
      <c r="P582" s="19"/>
      <c r="Q582" s="19"/>
    </row>
    <row r="583" spans="1:17" ht="46.5" customHeight="1" x14ac:dyDescent="0.7">
      <c r="A583" s="19"/>
      <c r="B583" s="19"/>
      <c r="C583" s="19"/>
      <c r="D583" s="31"/>
      <c r="E583" s="31"/>
      <c r="F583" s="31"/>
      <c r="G583" s="31"/>
      <c r="H583" s="31"/>
      <c r="I583" s="31"/>
      <c r="J583" s="31"/>
      <c r="K583" s="19"/>
      <c r="L583" s="19"/>
      <c r="M583" s="19"/>
      <c r="N583" s="31"/>
      <c r="O583" s="31"/>
      <c r="P583" s="19"/>
      <c r="Q583" s="19"/>
    </row>
    <row r="584" spans="1:17" ht="46.5" customHeight="1" x14ac:dyDescent="0.7">
      <c r="A584" s="19"/>
      <c r="B584" s="19"/>
      <c r="C584" s="19"/>
      <c r="D584" s="31"/>
      <c r="E584" s="31"/>
      <c r="F584" s="31"/>
      <c r="G584" s="31"/>
      <c r="H584" s="31"/>
      <c r="I584" s="31"/>
      <c r="J584" s="31"/>
      <c r="K584" s="19"/>
      <c r="L584" s="19"/>
      <c r="M584" s="19"/>
      <c r="N584" s="31"/>
      <c r="O584" s="31"/>
      <c r="P584" s="19"/>
      <c r="Q584" s="19"/>
    </row>
    <row r="585" spans="1:17" ht="46.5" customHeight="1" x14ac:dyDescent="0.7">
      <c r="A585" s="19"/>
      <c r="B585" s="19"/>
      <c r="C585" s="19"/>
      <c r="D585" s="31"/>
      <c r="E585" s="31"/>
      <c r="F585" s="31"/>
      <c r="G585" s="31"/>
      <c r="H585" s="31"/>
      <c r="I585" s="31"/>
      <c r="J585" s="31"/>
      <c r="K585" s="19"/>
      <c r="L585" s="19"/>
      <c r="M585" s="19"/>
      <c r="N585" s="31"/>
      <c r="O585" s="31"/>
      <c r="P585" s="19"/>
      <c r="Q585" s="19"/>
    </row>
    <row r="586" spans="1:17" ht="46.5" customHeight="1" x14ac:dyDescent="0.7">
      <c r="A586" s="19"/>
      <c r="B586" s="19"/>
      <c r="C586" s="19"/>
      <c r="D586" s="31"/>
      <c r="E586" s="31"/>
      <c r="F586" s="31"/>
      <c r="G586" s="31"/>
      <c r="H586" s="31"/>
      <c r="I586" s="31"/>
      <c r="J586" s="31"/>
      <c r="K586" s="19"/>
      <c r="L586" s="19"/>
      <c r="M586" s="19"/>
      <c r="N586" s="31"/>
      <c r="O586" s="31"/>
      <c r="P586" s="19"/>
      <c r="Q586" s="19"/>
    </row>
    <row r="587" spans="1:17" ht="46.5" customHeight="1" x14ac:dyDescent="0.7">
      <c r="A587" s="19"/>
      <c r="B587" s="19"/>
      <c r="C587" s="19"/>
      <c r="D587" s="31"/>
      <c r="E587" s="31"/>
      <c r="F587" s="31"/>
      <c r="G587" s="31"/>
      <c r="H587" s="31"/>
      <c r="I587" s="31"/>
      <c r="J587" s="31"/>
      <c r="K587" s="19"/>
      <c r="L587" s="19"/>
      <c r="M587" s="19"/>
      <c r="N587" s="31"/>
      <c r="O587" s="31"/>
      <c r="P587" s="19"/>
      <c r="Q587" s="19"/>
    </row>
    <row r="588" spans="1:17" ht="46.5" customHeight="1" x14ac:dyDescent="0.7">
      <c r="A588" s="19"/>
      <c r="B588" s="19"/>
      <c r="C588" s="19"/>
      <c r="D588" s="31"/>
      <c r="E588" s="31"/>
      <c r="F588" s="31"/>
      <c r="G588" s="31"/>
      <c r="H588" s="31"/>
      <c r="I588" s="31"/>
      <c r="J588" s="31"/>
      <c r="K588" s="19"/>
      <c r="L588" s="19"/>
      <c r="M588" s="19"/>
      <c r="N588" s="31"/>
      <c r="O588" s="31"/>
      <c r="P588" s="19"/>
      <c r="Q588" s="19"/>
    </row>
    <row r="589" spans="1:17" ht="46.5" customHeight="1" x14ac:dyDescent="0.7">
      <c r="A589" s="19"/>
      <c r="B589" s="19"/>
      <c r="C589" s="19"/>
      <c r="D589" s="31"/>
      <c r="E589" s="31"/>
      <c r="F589" s="31"/>
      <c r="G589" s="31"/>
      <c r="H589" s="31"/>
      <c r="I589" s="31"/>
      <c r="J589" s="31"/>
      <c r="K589" s="19"/>
      <c r="L589" s="19"/>
      <c r="M589" s="19"/>
      <c r="N589" s="31"/>
      <c r="O589" s="31"/>
      <c r="P589" s="19"/>
      <c r="Q589" s="19"/>
    </row>
    <row r="590" spans="1:17" ht="46.5" customHeight="1" x14ac:dyDescent="0.7">
      <c r="A590" s="19"/>
      <c r="B590" s="19"/>
      <c r="C590" s="19"/>
      <c r="D590" s="31"/>
      <c r="E590" s="31"/>
      <c r="F590" s="31"/>
      <c r="G590" s="31"/>
      <c r="H590" s="31"/>
      <c r="I590" s="31"/>
      <c r="J590" s="31"/>
      <c r="K590" s="19"/>
      <c r="L590" s="19"/>
      <c r="M590" s="19"/>
      <c r="N590" s="31"/>
      <c r="O590" s="31"/>
      <c r="P590" s="19"/>
      <c r="Q590" s="19"/>
    </row>
    <row r="591" spans="1:17" ht="46.5" customHeight="1" x14ac:dyDescent="0.7">
      <c r="A591" s="19"/>
      <c r="B591" s="19"/>
      <c r="C591" s="19"/>
      <c r="D591" s="31"/>
      <c r="E591" s="31"/>
      <c r="F591" s="31"/>
      <c r="G591" s="31"/>
      <c r="H591" s="31"/>
      <c r="I591" s="31"/>
      <c r="J591" s="31"/>
      <c r="K591" s="19"/>
      <c r="L591" s="19"/>
      <c r="M591" s="19"/>
      <c r="N591" s="31"/>
      <c r="O591" s="31"/>
      <c r="P591" s="19"/>
      <c r="Q591" s="19"/>
    </row>
    <row r="592" spans="1:17" ht="46.5" customHeight="1" x14ac:dyDescent="0.7">
      <c r="A592" s="19"/>
      <c r="B592" s="19"/>
      <c r="C592" s="19"/>
      <c r="D592" s="31"/>
      <c r="E592" s="31"/>
      <c r="F592" s="31"/>
      <c r="G592" s="31"/>
      <c r="H592" s="31"/>
      <c r="I592" s="31"/>
      <c r="J592" s="31"/>
      <c r="K592" s="19"/>
      <c r="L592" s="19"/>
      <c r="M592" s="19"/>
      <c r="N592" s="31"/>
      <c r="O592" s="31"/>
      <c r="P592" s="19"/>
      <c r="Q592" s="19"/>
    </row>
    <row r="593" spans="1:17" ht="46.5" customHeight="1" x14ac:dyDescent="0.7">
      <c r="A593" s="19"/>
      <c r="B593" s="19"/>
      <c r="C593" s="19"/>
      <c r="D593" s="31"/>
      <c r="E593" s="31"/>
      <c r="F593" s="31"/>
      <c r="G593" s="31"/>
      <c r="H593" s="31"/>
      <c r="I593" s="31"/>
      <c r="J593" s="31"/>
      <c r="K593" s="19"/>
      <c r="L593" s="19"/>
      <c r="M593" s="19"/>
      <c r="N593" s="31"/>
      <c r="O593" s="31"/>
      <c r="P593" s="19"/>
      <c r="Q593" s="19"/>
    </row>
    <row r="594" spans="1:17" ht="46.5" customHeight="1" x14ac:dyDescent="0.7">
      <c r="A594" s="19"/>
      <c r="B594" s="19"/>
      <c r="C594" s="19"/>
      <c r="D594" s="31"/>
      <c r="E594" s="31"/>
      <c r="F594" s="31"/>
      <c r="G594" s="31"/>
      <c r="H594" s="31"/>
      <c r="I594" s="31"/>
      <c r="J594" s="31"/>
      <c r="K594" s="19"/>
      <c r="L594" s="19"/>
      <c r="M594" s="19"/>
      <c r="N594" s="31"/>
      <c r="O594" s="31"/>
      <c r="P594" s="19"/>
      <c r="Q594" s="19"/>
    </row>
    <row r="595" spans="1:17" ht="46.5" customHeight="1" x14ac:dyDescent="0.7">
      <c r="A595" s="19"/>
      <c r="B595" s="19"/>
      <c r="C595" s="19"/>
      <c r="D595" s="31"/>
      <c r="E595" s="31"/>
      <c r="F595" s="31"/>
      <c r="G595" s="31"/>
      <c r="H595" s="31"/>
      <c r="I595" s="31"/>
      <c r="J595" s="31"/>
      <c r="K595" s="19"/>
      <c r="L595" s="19"/>
      <c r="M595" s="19"/>
      <c r="N595" s="31"/>
      <c r="O595" s="31"/>
      <c r="P595" s="19"/>
      <c r="Q595" s="19"/>
    </row>
    <row r="596" spans="1:17" ht="46.5" customHeight="1" x14ac:dyDescent="0.7">
      <c r="A596" s="19"/>
      <c r="B596" s="19"/>
      <c r="C596" s="19"/>
      <c r="D596" s="31"/>
      <c r="E596" s="31"/>
      <c r="F596" s="31"/>
      <c r="G596" s="31"/>
      <c r="H596" s="31"/>
      <c r="I596" s="31"/>
      <c r="J596" s="31"/>
      <c r="K596" s="19"/>
      <c r="L596" s="19"/>
      <c r="M596" s="19"/>
      <c r="N596" s="31"/>
      <c r="O596" s="31"/>
      <c r="P596" s="19"/>
      <c r="Q596" s="19"/>
    </row>
    <row r="597" spans="1:17" ht="46.5" customHeight="1" x14ac:dyDescent="0.7">
      <c r="A597" s="19"/>
      <c r="B597" s="19"/>
      <c r="C597" s="19"/>
      <c r="D597" s="31"/>
      <c r="E597" s="31"/>
      <c r="F597" s="31"/>
      <c r="G597" s="31"/>
      <c r="H597" s="31"/>
      <c r="I597" s="31"/>
      <c r="J597" s="31"/>
      <c r="K597" s="19"/>
      <c r="L597" s="19"/>
      <c r="M597" s="19"/>
      <c r="N597" s="31"/>
      <c r="O597" s="31"/>
      <c r="P597" s="19"/>
      <c r="Q597" s="19"/>
    </row>
    <row r="598" spans="1:17" ht="46.5" customHeight="1" x14ac:dyDescent="0.7">
      <c r="A598" s="19"/>
      <c r="B598" s="19"/>
      <c r="C598" s="19"/>
      <c r="D598" s="31"/>
      <c r="E598" s="31"/>
      <c r="F598" s="31"/>
      <c r="G598" s="31"/>
      <c r="H598" s="31"/>
      <c r="I598" s="31"/>
      <c r="J598" s="31"/>
      <c r="K598" s="19"/>
      <c r="L598" s="19"/>
      <c r="M598" s="19"/>
      <c r="N598" s="31"/>
      <c r="O598" s="31"/>
      <c r="P598" s="19"/>
      <c r="Q598" s="19"/>
    </row>
    <row r="599" spans="1:17" ht="46.5" customHeight="1" x14ac:dyDescent="0.7">
      <c r="A599" s="19"/>
      <c r="B599" s="19"/>
      <c r="C599" s="19"/>
      <c r="D599" s="31"/>
      <c r="E599" s="31"/>
      <c r="F599" s="31"/>
      <c r="G599" s="31"/>
      <c r="H599" s="31"/>
      <c r="I599" s="31"/>
      <c r="J599" s="31"/>
      <c r="K599" s="19"/>
      <c r="L599" s="19"/>
      <c r="M599" s="19"/>
      <c r="N599" s="31"/>
      <c r="O599" s="31"/>
      <c r="P599" s="19"/>
      <c r="Q599" s="19"/>
    </row>
    <row r="600" spans="1:17" ht="46.5" customHeight="1" x14ac:dyDescent="0.7">
      <c r="A600" s="19"/>
      <c r="B600" s="19"/>
      <c r="C600" s="19"/>
      <c r="D600" s="31"/>
      <c r="E600" s="31"/>
      <c r="F600" s="31"/>
      <c r="G600" s="31"/>
      <c r="H600" s="31"/>
      <c r="I600" s="31"/>
      <c r="J600" s="31"/>
      <c r="K600" s="19"/>
      <c r="L600" s="19"/>
      <c r="M600" s="19"/>
      <c r="N600" s="31"/>
      <c r="O600" s="31"/>
      <c r="P600" s="19"/>
      <c r="Q600" s="19"/>
    </row>
    <row r="601" spans="1:17" ht="46.5" customHeight="1" x14ac:dyDescent="0.7">
      <c r="A601" s="19"/>
      <c r="B601" s="19"/>
      <c r="C601" s="19"/>
      <c r="D601" s="31"/>
      <c r="E601" s="31"/>
      <c r="F601" s="31"/>
      <c r="G601" s="31"/>
      <c r="H601" s="31"/>
      <c r="I601" s="31"/>
      <c r="J601" s="31"/>
      <c r="K601" s="19"/>
      <c r="L601" s="19"/>
      <c r="M601" s="19"/>
      <c r="N601" s="31"/>
      <c r="O601" s="31"/>
      <c r="P601" s="19"/>
      <c r="Q601" s="19"/>
    </row>
    <row r="602" spans="1:17" ht="46.5" customHeight="1" x14ac:dyDescent="0.7">
      <c r="A602" s="19"/>
      <c r="B602" s="19"/>
      <c r="C602" s="19"/>
      <c r="D602" s="31"/>
      <c r="E602" s="31"/>
      <c r="F602" s="31"/>
      <c r="G602" s="31"/>
      <c r="H602" s="31"/>
      <c r="I602" s="31"/>
      <c r="J602" s="31"/>
      <c r="K602" s="19"/>
      <c r="L602" s="19"/>
      <c r="M602" s="19"/>
      <c r="N602" s="31"/>
      <c r="O602" s="31"/>
      <c r="P602" s="19"/>
      <c r="Q602" s="19"/>
    </row>
    <row r="603" spans="1:17" ht="46.5" customHeight="1" x14ac:dyDescent="0.7">
      <c r="A603" s="19"/>
      <c r="B603" s="19"/>
      <c r="C603" s="19"/>
      <c r="D603" s="31"/>
      <c r="E603" s="31"/>
      <c r="F603" s="31"/>
      <c r="G603" s="31"/>
      <c r="H603" s="31"/>
      <c r="I603" s="31"/>
      <c r="J603" s="31"/>
      <c r="K603" s="19"/>
      <c r="L603" s="19"/>
      <c r="M603" s="19"/>
      <c r="N603" s="31"/>
      <c r="O603" s="31"/>
      <c r="P603" s="19"/>
      <c r="Q603" s="19"/>
    </row>
    <row r="604" spans="1:17" ht="46.5" customHeight="1" x14ac:dyDescent="0.7">
      <c r="A604" s="19"/>
      <c r="B604" s="19"/>
      <c r="C604" s="19"/>
      <c r="D604" s="31"/>
      <c r="E604" s="31"/>
      <c r="F604" s="31"/>
      <c r="G604" s="31"/>
      <c r="H604" s="31"/>
      <c r="I604" s="31"/>
      <c r="J604" s="31"/>
      <c r="K604" s="19"/>
      <c r="L604" s="19"/>
      <c r="M604" s="19"/>
      <c r="N604" s="31"/>
      <c r="O604" s="31"/>
      <c r="P604" s="19"/>
      <c r="Q604" s="19"/>
    </row>
    <row r="605" spans="1:17" ht="46.5" customHeight="1" x14ac:dyDescent="0.7">
      <c r="A605" s="19"/>
      <c r="B605" s="19"/>
      <c r="C605" s="19"/>
      <c r="D605" s="31"/>
      <c r="E605" s="31"/>
      <c r="F605" s="31"/>
      <c r="G605" s="31"/>
      <c r="H605" s="31"/>
      <c r="I605" s="31"/>
      <c r="J605" s="31"/>
      <c r="K605" s="19"/>
      <c r="L605" s="19"/>
      <c r="M605" s="19"/>
      <c r="N605" s="31"/>
      <c r="O605" s="31"/>
      <c r="P605" s="19"/>
      <c r="Q605" s="19"/>
    </row>
    <row r="606" spans="1:17" ht="46.5" customHeight="1" x14ac:dyDescent="0.7">
      <c r="A606" s="19"/>
      <c r="B606" s="19"/>
      <c r="C606" s="19"/>
      <c r="D606" s="31"/>
      <c r="E606" s="31"/>
      <c r="F606" s="31"/>
      <c r="G606" s="31"/>
      <c r="H606" s="31"/>
      <c r="I606" s="31"/>
      <c r="J606" s="31"/>
      <c r="K606" s="19"/>
      <c r="L606" s="19"/>
      <c r="M606" s="19"/>
      <c r="N606" s="31"/>
      <c r="O606" s="31"/>
      <c r="P606" s="19"/>
      <c r="Q606" s="19"/>
    </row>
    <row r="607" spans="1:17" ht="46.5" customHeight="1" x14ac:dyDescent="0.7">
      <c r="A607" s="19"/>
      <c r="B607" s="19"/>
      <c r="C607" s="19"/>
      <c r="D607" s="31"/>
      <c r="E607" s="31"/>
      <c r="F607" s="31"/>
      <c r="G607" s="31"/>
      <c r="H607" s="31"/>
      <c r="I607" s="31"/>
      <c r="J607" s="31"/>
      <c r="K607" s="19"/>
      <c r="L607" s="19"/>
      <c r="M607" s="19"/>
      <c r="N607" s="31"/>
      <c r="O607" s="31"/>
      <c r="P607" s="19"/>
      <c r="Q607" s="19"/>
    </row>
    <row r="608" spans="1:17" ht="46.5" customHeight="1" x14ac:dyDescent="0.7">
      <c r="A608" s="19"/>
      <c r="B608" s="19"/>
      <c r="C608" s="19"/>
      <c r="D608" s="31"/>
      <c r="E608" s="31"/>
      <c r="F608" s="31"/>
      <c r="G608" s="31"/>
      <c r="H608" s="31"/>
      <c r="I608" s="31"/>
      <c r="J608" s="31"/>
      <c r="K608" s="19"/>
      <c r="L608" s="19"/>
      <c r="M608" s="19"/>
      <c r="N608" s="31"/>
      <c r="O608" s="31"/>
      <c r="P608" s="19"/>
      <c r="Q608" s="19"/>
    </row>
    <row r="609" spans="1:17" ht="46.5" customHeight="1" x14ac:dyDescent="0.7">
      <c r="A609" s="19"/>
      <c r="B609" s="19"/>
      <c r="C609" s="19"/>
      <c r="D609" s="31"/>
      <c r="E609" s="31"/>
      <c r="F609" s="31"/>
      <c r="G609" s="31"/>
      <c r="H609" s="31"/>
      <c r="I609" s="31"/>
      <c r="J609" s="31"/>
      <c r="K609" s="19"/>
      <c r="L609" s="19"/>
      <c r="M609" s="19"/>
      <c r="N609" s="31"/>
      <c r="O609" s="31"/>
      <c r="P609" s="19"/>
      <c r="Q609" s="19"/>
    </row>
    <row r="610" spans="1:17" ht="46.5" customHeight="1" x14ac:dyDescent="0.7">
      <c r="A610" s="19"/>
      <c r="B610" s="19"/>
      <c r="C610" s="19"/>
      <c r="D610" s="31"/>
      <c r="E610" s="31"/>
      <c r="F610" s="31"/>
      <c r="G610" s="31"/>
      <c r="H610" s="31"/>
      <c r="I610" s="31"/>
      <c r="J610" s="31"/>
      <c r="K610" s="19"/>
      <c r="L610" s="19"/>
      <c r="M610" s="19"/>
      <c r="N610" s="31"/>
      <c r="O610" s="31"/>
      <c r="P610" s="19"/>
      <c r="Q610" s="19"/>
    </row>
    <row r="611" spans="1:17" ht="46.5" customHeight="1" x14ac:dyDescent="0.7">
      <c r="A611" s="19"/>
      <c r="B611" s="19"/>
      <c r="C611" s="19"/>
      <c r="D611" s="31"/>
      <c r="E611" s="31"/>
      <c r="F611" s="31"/>
      <c r="G611" s="31"/>
      <c r="H611" s="31"/>
      <c r="I611" s="31"/>
      <c r="J611" s="31"/>
      <c r="K611" s="19"/>
      <c r="L611" s="19"/>
      <c r="M611" s="19"/>
      <c r="N611" s="31"/>
      <c r="O611" s="31"/>
      <c r="P611" s="19"/>
      <c r="Q611" s="19"/>
    </row>
    <row r="612" spans="1:17" ht="46.5" customHeight="1" x14ac:dyDescent="0.7">
      <c r="A612" s="19"/>
      <c r="B612" s="19"/>
      <c r="C612" s="19"/>
      <c r="D612" s="31"/>
      <c r="E612" s="31"/>
      <c r="F612" s="31"/>
      <c r="G612" s="31"/>
      <c r="H612" s="31"/>
      <c r="I612" s="31"/>
      <c r="J612" s="31"/>
      <c r="K612" s="19"/>
      <c r="L612" s="19"/>
      <c r="M612" s="19"/>
      <c r="N612" s="31"/>
      <c r="O612" s="31"/>
      <c r="P612" s="19"/>
      <c r="Q612" s="19"/>
    </row>
    <row r="613" spans="1:17" ht="46.5" customHeight="1" x14ac:dyDescent="0.7">
      <c r="A613" s="19"/>
      <c r="B613" s="19"/>
      <c r="C613" s="19"/>
      <c r="D613" s="31"/>
      <c r="E613" s="31"/>
      <c r="F613" s="31"/>
      <c r="G613" s="31"/>
      <c r="H613" s="31"/>
      <c r="I613" s="31"/>
      <c r="J613" s="31"/>
      <c r="K613" s="19"/>
      <c r="L613" s="19"/>
      <c r="M613" s="19"/>
      <c r="N613" s="31"/>
      <c r="O613" s="31"/>
      <c r="P613" s="19"/>
      <c r="Q613" s="19"/>
    </row>
    <row r="614" spans="1:17" ht="46.5" customHeight="1" x14ac:dyDescent="0.7">
      <c r="A614" s="19"/>
      <c r="B614" s="19"/>
      <c r="C614" s="19"/>
      <c r="D614" s="31"/>
      <c r="E614" s="31"/>
      <c r="F614" s="31"/>
      <c r="G614" s="31"/>
      <c r="H614" s="31"/>
      <c r="I614" s="31"/>
      <c r="J614" s="31"/>
      <c r="K614" s="19"/>
      <c r="L614" s="19"/>
      <c r="M614" s="19"/>
      <c r="N614" s="31"/>
      <c r="O614" s="31"/>
      <c r="P614" s="19"/>
      <c r="Q614" s="19"/>
    </row>
    <row r="615" spans="1:17" ht="46.5" customHeight="1" x14ac:dyDescent="0.7">
      <c r="A615" s="19"/>
      <c r="B615" s="19"/>
      <c r="C615" s="19"/>
      <c r="D615" s="31"/>
      <c r="E615" s="31"/>
      <c r="F615" s="31"/>
      <c r="G615" s="31"/>
      <c r="H615" s="31"/>
      <c r="I615" s="31"/>
      <c r="J615" s="31"/>
      <c r="K615" s="19"/>
      <c r="L615" s="19"/>
      <c r="M615" s="19"/>
      <c r="N615" s="31"/>
      <c r="O615" s="31"/>
      <c r="P615" s="19"/>
      <c r="Q615" s="19"/>
    </row>
    <row r="616" spans="1:17" ht="46.5" customHeight="1" x14ac:dyDescent="0.7">
      <c r="A616" s="19"/>
      <c r="B616" s="19"/>
      <c r="C616" s="19"/>
      <c r="D616" s="31"/>
      <c r="E616" s="31"/>
      <c r="F616" s="31"/>
      <c r="G616" s="31"/>
      <c r="H616" s="31"/>
      <c r="I616" s="31"/>
      <c r="J616" s="31"/>
      <c r="K616" s="19"/>
      <c r="L616" s="19"/>
      <c r="M616" s="19"/>
      <c r="N616" s="31"/>
      <c r="O616" s="31"/>
      <c r="P616" s="19"/>
      <c r="Q616" s="19"/>
    </row>
    <row r="617" spans="1:17" ht="46.5" customHeight="1" x14ac:dyDescent="0.7">
      <c r="A617" s="19"/>
      <c r="B617" s="19"/>
      <c r="C617" s="19"/>
      <c r="D617" s="31"/>
      <c r="E617" s="31"/>
      <c r="F617" s="31"/>
      <c r="G617" s="31"/>
      <c r="H617" s="31"/>
      <c r="I617" s="31"/>
      <c r="J617" s="31"/>
      <c r="K617" s="19"/>
      <c r="L617" s="19"/>
      <c r="M617" s="19"/>
      <c r="N617" s="31"/>
      <c r="O617" s="31"/>
      <c r="P617" s="19"/>
      <c r="Q617" s="19"/>
    </row>
    <row r="618" spans="1:17" ht="46.5" customHeight="1" x14ac:dyDescent="0.7">
      <c r="A618" s="19"/>
      <c r="B618" s="19"/>
      <c r="C618" s="19"/>
      <c r="D618" s="31"/>
      <c r="E618" s="31"/>
      <c r="F618" s="31"/>
      <c r="G618" s="31"/>
      <c r="H618" s="31"/>
      <c r="I618" s="31"/>
      <c r="J618" s="31"/>
      <c r="K618" s="19"/>
      <c r="L618" s="19"/>
      <c r="M618" s="19"/>
      <c r="N618" s="31"/>
      <c r="O618" s="31"/>
      <c r="P618" s="19"/>
      <c r="Q618" s="19"/>
    </row>
    <row r="619" spans="1:17" ht="46.5" customHeight="1" x14ac:dyDescent="0.7">
      <c r="A619" s="19"/>
      <c r="B619" s="19"/>
      <c r="C619" s="19"/>
      <c r="D619" s="31"/>
      <c r="E619" s="31"/>
      <c r="F619" s="31"/>
      <c r="G619" s="31"/>
      <c r="H619" s="31"/>
      <c r="I619" s="31"/>
      <c r="J619" s="31"/>
      <c r="K619" s="19"/>
      <c r="L619" s="19"/>
      <c r="M619" s="19"/>
      <c r="N619" s="31"/>
      <c r="O619" s="31"/>
      <c r="P619" s="19"/>
      <c r="Q619" s="19"/>
    </row>
    <row r="620" spans="1:17" ht="46.5" customHeight="1" x14ac:dyDescent="0.7">
      <c r="A620" s="19"/>
      <c r="B620" s="19"/>
      <c r="C620" s="19"/>
      <c r="D620" s="31"/>
      <c r="E620" s="31"/>
      <c r="F620" s="31"/>
      <c r="G620" s="31"/>
      <c r="H620" s="31"/>
      <c r="I620" s="31"/>
      <c r="J620" s="31"/>
      <c r="K620" s="19"/>
      <c r="L620" s="19"/>
      <c r="M620" s="19"/>
      <c r="N620" s="31"/>
      <c r="O620" s="31"/>
      <c r="P620" s="19"/>
      <c r="Q620" s="19"/>
    </row>
    <row r="621" spans="1:17" ht="46.5" customHeight="1" x14ac:dyDescent="0.7">
      <c r="A621" s="19"/>
      <c r="B621" s="19"/>
      <c r="C621" s="19"/>
      <c r="D621" s="31"/>
      <c r="E621" s="31"/>
      <c r="F621" s="31"/>
      <c r="G621" s="31"/>
      <c r="H621" s="31"/>
      <c r="I621" s="31"/>
      <c r="J621" s="31"/>
      <c r="K621" s="19"/>
      <c r="L621" s="19"/>
      <c r="M621" s="19"/>
      <c r="N621" s="31"/>
      <c r="O621" s="31"/>
      <c r="P621" s="19"/>
      <c r="Q621" s="19"/>
    </row>
    <row r="622" spans="1:17" ht="46.5" customHeight="1" x14ac:dyDescent="0.7">
      <c r="A622" s="19"/>
      <c r="B622" s="19"/>
      <c r="C622" s="19"/>
      <c r="D622" s="31"/>
      <c r="E622" s="31"/>
      <c r="F622" s="31"/>
      <c r="G622" s="31"/>
      <c r="H622" s="31"/>
      <c r="I622" s="31"/>
      <c r="J622" s="31"/>
      <c r="K622" s="19"/>
      <c r="L622" s="19"/>
      <c r="M622" s="19"/>
      <c r="N622" s="31"/>
      <c r="O622" s="31"/>
      <c r="P622" s="19"/>
      <c r="Q622" s="19"/>
    </row>
    <row r="623" spans="1:17" ht="46.5" customHeight="1" x14ac:dyDescent="0.7">
      <c r="A623" s="19"/>
      <c r="B623" s="19"/>
      <c r="C623" s="19"/>
      <c r="D623" s="31"/>
      <c r="E623" s="31"/>
      <c r="F623" s="31"/>
      <c r="G623" s="31"/>
      <c r="H623" s="31"/>
      <c r="I623" s="31"/>
      <c r="J623" s="31"/>
      <c r="K623" s="19"/>
      <c r="L623" s="19"/>
      <c r="M623" s="19"/>
      <c r="N623" s="31"/>
      <c r="O623" s="31"/>
      <c r="P623" s="19"/>
      <c r="Q623" s="19"/>
    </row>
    <row r="624" spans="1:17" ht="46.5" customHeight="1" x14ac:dyDescent="0.7">
      <c r="A624" s="19"/>
      <c r="B624" s="19"/>
      <c r="C624" s="19"/>
      <c r="D624" s="31"/>
      <c r="E624" s="31"/>
      <c r="F624" s="31"/>
      <c r="G624" s="31"/>
      <c r="H624" s="31"/>
      <c r="I624" s="31"/>
      <c r="J624" s="31"/>
      <c r="K624" s="19"/>
      <c r="L624" s="19"/>
      <c r="M624" s="19"/>
      <c r="N624" s="31"/>
      <c r="O624" s="31"/>
      <c r="P624" s="19"/>
      <c r="Q624" s="19"/>
    </row>
    <row r="625" spans="1:17" ht="46.5" customHeight="1" x14ac:dyDescent="0.7">
      <c r="A625" s="19"/>
      <c r="B625" s="19"/>
      <c r="C625" s="19"/>
      <c r="D625" s="31"/>
      <c r="E625" s="31"/>
      <c r="F625" s="31"/>
      <c r="G625" s="31"/>
      <c r="H625" s="31"/>
      <c r="I625" s="31"/>
      <c r="J625" s="31"/>
      <c r="K625" s="19"/>
      <c r="L625" s="19"/>
      <c r="M625" s="19"/>
      <c r="N625" s="31"/>
      <c r="O625" s="31"/>
      <c r="P625" s="19"/>
      <c r="Q625" s="19"/>
    </row>
    <row r="626" spans="1:17" ht="46.5" customHeight="1" x14ac:dyDescent="0.7">
      <c r="A626" s="19"/>
      <c r="B626" s="19"/>
      <c r="C626" s="19"/>
      <c r="D626" s="31"/>
      <c r="E626" s="31"/>
      <c r="F626" s="31"/>
      <c r="G626" s="31"/>
      <c r="H626" s="31"/>
      <c r="I626" s="31"/>
      <c r="J626" s="31"/>
      <c r="K626" s="19"/>
      <c r="L626" s="19"/>
      <c r="M626" s="19"/>
      <c r="N626" s="31"/>
      <c r="O626" s="31"/>
      <c r="P626" s="19"/>
      <c r="Q626" s="19"/>
    </row>
    <row r="627" spans="1:17" ht="46.5" customHeight="1" x14ac:dyDescent="0.7">
      <c r="A627" s="19"/>
      <c r="B627" s="19"/>
      <c r="C627" s="19"/>
      <c r="D627" s="31"/>
      <c r="E627" s="31"/>
      <c r="F627" s="31"/>
      <c r="G627" s="31"/>
      <c r="H627" s="31"/>
      <c r="I627" s="31"/>
      <c r="J627" s="31"/>
      <c r="K627" s="19"/>
      <c r="L627" s="19"/>
      <c r="M627" s="19"/>
      <c r="N627" s="31"/>
      <c r="O627" s="31"/>
      <c r="P627" s="19"/>
      <c r="Q627" s="19"/>
    </row>
    <row r="628" spans="1:17" ht="46.5" customHeight="1" x14ac:dyDescent="0.7">
      <c r="A628" s="19"/>
      <c r="B628" s="19"/>
      <c r="C628" s="19"/>
      <c r="D628" s="31"/>
      <c r="E628" s="31"/>
      <c r="F628" s="31"/>
      <c r="G628" s="31"/>
      <c r="H628" s="31"/>
      <c r="I628" s="31"/>
      <c r="J628" s="31"/>
      <c r="K628" s="19"/>
      <c r="L628" s="19"/>
      <c r="M628" s="19"/>
      <c r="N628" s="31"/>
      <c r="O628" s="31"/>
      <c r="P628" s="19"/>
      <c r="Q628" s="19"/>
    </row>
    <row r="629" spans="1:17" ht="46.5" customHeight="1" x14ac:dyDescent="0.7">
      <c r="A629" s="19"/>
      <c r="B629" s="19"/>
      <c r="C629" s="19"/>
      <c r="D629" s="31"/>
      <c r="E629" s="31"/>
      <c r="F629" s="31"/>
      <c r="G629" s="31"/>
      <c r="H629" s="31"/>
      <c r="I629" s="31"/>
      <c r="J629" s="31"/>
      <c r="K629" s="19"/>
      <c r="L629" s="19"/>
      <c r="M629" s="19"/>
      <c r="N629" s="31"/>
      <c r="O629" s="31"/>
      <c r="P629" s="19"/>
      <c r="Q629" s="19"/>
    </row>
    <row r="630" spans="1:17" ht="46.5" customHeight="1" x14ac:dyDescent="0.7">
      <c r="A630" s="19"/>
      <c r="B630" s="19"/>
      <c r="C630" s="19"/>
      <c r="D630" s="31"/>
      <c r="E630" s="31"/>
      <c r="F630" s="31"/>
      <c r="G630" s="31"/>
      <c r="H630" s="31"/>
      <c r="I630" s="31"/>
      <c r="J630" s="31"/>
      <c r="K630" s="19"/>
      <c r="L630" s="19"/>
      <c r="M630" s="19"/>
      <c r="N630" s="31"/>
      <c r="O630" s="31"/>
      <c r="P630" s="19"/>
      <c r="Q630" s="19"/>
    </row>
    <row r="631" spans="1:17" ht="46.5" customHeight="1" x14ac:dyDescent="0.7">
      <c r="A631" s="19"/>
      <c r="B631" s="19"/>
      <c r="C631" s="19"/>
      <c r="D631" s="31"/>
      <c r="E631" s="31"/>
      <c r="F631" s="31"/>
      <c r="G631" s="31"/>
      <c r="H631" s="31"/>
      <c r="I631" s="31"/>
      <c r="J631" s="31"/>
      <c r="K631" s="19"/>
      <c r="L631" s="19"/>
      <c r="M631" s="19"/>
      <c r="N631" s="31"/>
      <c r="O631" s="31"/>
      <c r="P631" s="19"/>
      <c r="Q631" s="19"/>
    </row>
    <row r="632" spans="1:17" ht="46.5" customHeight="1" x14ac:dyDescent="0.7">
      <c r="A632" s="19"/>
      <c r="B632" s="19"/>
      <c r="C632" s="19"/>
      <c r="D632" s="31"/>
      <c r="E632" s="31"/>
      <c r="F632" s="31"/>
      <c r="G632" s="31"/>
      <c r="H632" s="31"/>
      <c r="I632" s="31"/>
      <c r="J632" s="31"/>
      <c r="K632" s="19"/>
      <c r="L632" s="19"/>
      <c r="M632" s="19"/>
      <c r="N632" s="31"/>
      <c r="O632" s="31"/>
      <c r="P632" s="19"/>
      <c r="Q632" s="19"/>
    </row>
    <row r="633" spans="1:17" ht="46.5" customHeight="1" x14ac:dyDescent="0.7">
      <c r="A633" s="19"/>
      <c r="B633" s="19"/>
      <c r="C633" s="19"/>
      <c r="D633" s="31"/>
      <c r="E633" s="31"/>
      <c r="F633" s="31"/>
      <c r="G633" s="31"/>
      <c r="H633" s="31"/>
      <c r="I633" s="31"/>
      <c r="J633" s="31"/>
      <c r="K633" s="19"/>
      <c r="L633" s="19"/>
      <c r="M633" s="19"/>
      <c r="N633" s="31"/>
      <c r="O633" s="31"/>
      <c r="P633" s="19"/>
      <c r="Q633" s="19"/>
    </row>
    <row r="634" spans="1:17" ht="46.5" customHeight="1" x14ac:dyDescent="0.7">
      <c r="A634" s="19"/>
      <c r="B634" s="19"/>
      <c r="C634" s="19"/>
      <c r="D634" s="31"/>
      <c r="E634" s="31"/>
      <c r="F634" s="31"/>
      <c r="G634" s="31"/>
      <c r="H634" s="31"/>
      <c r="I634" s="31"/>
      <c r="J634" s="31"/>
      <c r="K634" s="19"/>
      <c r="L634" s="19"/>
      <c r="M634" s="19"/>
      <c r="N634" s="31"/>
      <c r="O634" s="31"/>
      <c r="P634" s="19"/>
      <c r="Q634" s="19"/>
    </row>
    <row r="635" spans="1:17" ht="46.5" customHeight="1" x14ac:dyDescent="0.7">
      <c r="A635" s="19"/>
      <c r="B635" s="19"/>
      <c r="C635" s="19"/>
      <c r="D635" s="31"/>
      <c r="E635" s="31"/>
      <c r="F635" s="31"/>
      <c r="G635" s="31"/>
      <c r="H635" s="31"/>
      <c r="I635" s="31"/>
      <c r="J635" s="31"/>
      <c r="K635" s="19"/>
      <c r="L635" s="19"/>
      <c r="M635" s="19"/>
      <c r="N635" s="31"/>
      <c r="O635" s="31"/>
      <c r="P635" s="19"/>
      <c r="Q635" s="19"/>
    </row>
    <row r="636" spans="1:17" ht="46.5" customHeight="1" x14ac:dyDescent="0.7">
      <c r="A636" s="19"/>
      <c r="B636" s="19"/>
      <c r="C636" s="19"/>
      <c r="D636" s="31"/>
      <c r="E636" s="31"/>
      <c r="F636" s="31"/>
      <c r="G636" s="31"/>
      <c r="H636" s="31"/>
      <c r="I636" s="31"/>
      <c r="J636" s="31"/>
      <c r="K636" s="19"/>
      <c r="L636" s="19"/>
      <c r="M636" s="19"/>
      <c r="N636" s="31"/>
      <c r="O636" s="31"/>
      <c r="P636" s="19"/>
      <c r="Q636" s="19"/>
    </row>
    <row r="637" spans="1:17" ht="46.5" customHeight="1" x14ac:dyDescent="0.7">
      <c r="A637" s="19"/>
      <c r="B637" s="19"/>
      <c r="C637" s="19"/>
      <c r="D637" s="31"/>
      <c r="E637" s="31"/>
      <c r="F637" s="31"/>
      <c r="G637" s="31"/>
      <c r="H637" s="31"/>
      <c r="I637" s="31"/>
      <c r="J637" s="31"/>
      <c r="K637" s="19"/>
      <c r="L637" s="19"/>
      <c r="M637" s="19"/>
      <c r="N637" s="31"/>
      <c r="O637" s="31"/>
      <c r="P637" s="19"/>
      <c r="Q637" s="19"/>
    </row>
    <row r="638" spans="1:17" ht="46.5" customHeight="1" x14ac:dyDescent="0.7">
      <c r="A638" s="19"/>
      <c r="B638" s="19"/>
      <c r="C638" s="19"/>
      <c r="D638" s="31"/>
      <c r="E638" s="31"/>
      <c r="F638" s="31"/>
      <c r="G638" s="31"/>
      <c r="H638" s="31"/>
      <c r="I638" s="31"/>
      <c r="J638" s="31"/>
      <c r="K638" s="19"/>
      <c r="L638" s="19"/>
      <c r="M638" s="19"/>
      <c r="N638" s="31"/>
      <c r="O638" s="31"/>
      <c r="P638" s="19"/>
      <c r="Q638" s="19"/>
    </row>
    <row r="639" spans="1:17" ht="46.5" customHeight="1" x14ac:dyDescent="0.7">
      <c r="A639" s="19"/>
      <c r="B639" s="19"/>
      <c r="C639" s="19"/>
      <c r="D639" s="31"/>
      <c r="E639" s="31"/>
      <c r="F639" s="31"/>
      <c r="G639" s="31"/>
      <c r="H639" s="31"/>
      <c r="I639" s="31"/>
      <c r="J639" s="31"/>
      <c r="K639" s="19"/>
      <c r="L639" s="19"/>
      <c r="M639" s="19"/>
      <c r="N639" s="31"/>
      <c r="O639" s="31"/>
      <c r="P639" s="19"/>
      <c r="Q639" s="19"/>
    </row>
    <row r="640" spans="1:17" ht="46.5" customHeight="1" x14ac:dyDescent="0.7">
      <c r="A640" s="19"/>
      <c r="B640" s="19"/>
      <c r="C640" s="19"/>
      <c r="D640" s="31"/>
      <c r="E640" s="31"/>
      <c r="F640" s="31"/>
      <c r="G640" s="31"/>
      <c r="H640" s="31"/>
      <c r="I640" s="31"/>
      <c r="J640" s="31"/>
      <c r="K640" s="19"/>
      <c r="L640" s="19"/>
      <c r="M640" s="19"/>
      <c r="N640" s="31"/>
      <c r="O640" s="31"/>
      <c r="P640" s="19"/>
      <c r="Q640" s="19"/>
    </row>
    <row r="641" spans="1:17" ht="46.5" customHeight="1" x14ac:dyDescent="0.7">
      <c r="A641" s="19"/>
      <c r="B641" s="19"/>
      <c r="C641" s="19"/>
      <c r="D641" s="31"/>
      <c r="E641" s="31"/>
      <c r="F641" s="31"/>
      <c r="G641" s="31"/>
      <c r="H641" s="31"/>
      <c r="I641" s="31"/>
      <c r="J641" s="31"/>
      <c r="K641" s="19"/>
      <c r="L641" s="19"/>
      <c r="M641" s="19"/>
      <c r="N641" s="31"/>
      <c r="O641" s="31"/>
      <c r="P641" s="19"/>
      <c r="Q641" s="19"/>
    </row>
    <row r="642" spans="1:17" ht="46.5" customHeight="1" x14ac:dyDescent="0.7">
      <c r="A642" s="19"/>
      <c r="B642" s="19"/>
      <c r="C642" s="19"/>
      <c r="D642" s="31"/>
      <c r="E642" s="31"/>
      <c r="F642" s="31"/>
      <c r="G642" s="31"/>
      <c r="H642" s="31"/>
      <c r="I642" s="31"/>
      <c r="J642" s="31"/>
      <c r="K642" s="19"/>
      <c r="L642" s="19"/>
      <c r="M642" s="19"/>
      <c r="N642" s="31"/>
      <c r="O642" s="31"/>
      <c r="P642" s="19"/>
      <c r="Q642" s="19"/>
    </row>
    <row r="643" spans="1:17" ht="46.5" customHeight="1" x14ac:dyDescent="0.7">
      <c r="A643" s="19"/>
      <c r="B643" s="19"/>
      <c r="C643" s="19"/>
      <c r="D643" s="31"/>
      <c r="E643" s="31"/>
      <c r="F643" s="31"/>
      <c r="G643" s="31"/>
      <c r="H643" s="31"/>
      <c r="I643" s="31"/>
      <c r="J643" s="31"/>
      <c r="K643" s="19"/>
      <c r="L643" s="19"/>
      <c r="M643" s="19"/>
      <c r="N643" s="31"/>
      <c r="O643" s="31"/>
      <c r="P643" s="19"/>
      <c r="Q643" s="19"/>
    </row>
    <row r="644" spans="1:17" ht="46.5" customHeight="1" x14ac:dyDescent="0.7">
      <c r="A644" s="19"/>
      <c r="B644" s="19"/>
      <c r="C644" s="19"/>
      <c r="D644" s="31"/>
      <c r="E644" s="31"/>
      <c r="F644" s="31"/>
      <c r="G644" s="31"/>
      <c r="H644" s="31"/>
      <c r="I644" s="31"/>
      <c r="J644" s="31"/>
      <c r="K644" s="19"/>
      <c r="L644" s="19"/>
      <c r="M644" s="19"/>
      <c r="N644" s="31"/>
      <c r="O644" s="31"/>
      <c r="P644" s="19"/>
      <c r="Q644" s="19"/>
    </row>
    <row r="645" spans="1:17" ht="46.5" customHeight="1" x14ac:dyDescent="0.7">
      <c r="A645" s="19"/>
      <c r="B645" s="19"/>
      <c r="C645" s="19"/>
      <c r="D645" s="31"/>
      <c r="E645" s="31"/>
      <c r="F645" s="31"/>
      <c r="G645" s="31"/>
      <c r="H645" s="31"/>
      <c r="I645" s="31"/>
      <c r="J645" s="31"/>
      <c r="K645" s="19"/>
      <c r="L645" s="19"/>
      <c r="M645" s="19"/>
      <c r="N645" s="31"/>
      <c r="O645" s="31"/>
      <c r="P645" s="19"/>
      <c r="Q645" s="19"/>
    </row>
    <row r="646" spans="1:17" ht="46.5" customHeight="1" x14ac:dyDescent="0.7">
      <c r="A646" s="19"/>
      <c r="B646" s="19"/>
      <c r="C646" s="19"/>
      <c r="D646" s="31"/>
      <c r="E646" s="31"/>
      <c r="F646" s="31"/>
      <c r="G646" s="31"/>
      <c r="H646" s="31"/>
      <c r="I646" s="31"/>
      <c r="J646" s="31"/>
      <c r="K646" s="19"/>
      <c r="L646" s="19"/>
      <c r="M646" s="19"/>
      <c r="N646" s="31"/>
      <c r="O646" s="31"/>
      <c r="P646" s="19"/>
      <c r="Q646" s="19"/>
    </row>
    <row r="647" spans="1:17" ht="46.5" customHeight="1" x14ac:dyDescent="0.7">
      <c r="A647" s="19"/>
      <c r="B647" s="19"/>
      <c r="C647" s="19"/>
      <c r="D647" s="31"/>
      <c r="E647" s="31"/>
      <c r="F647" s="31"/>
      <c r="G647" s="31"/>
      <c r="H647" s="31"/>
      <c r="I647" s="31"/>
      <c r="J647" s="31"/>
      <c r="K647" s="19"/>
      <c r="L647" s="19"/>
      <c r="M647" s="19"/>
      <c r="N647" s="31"/>
      <c r="O647" s="31"/>
      <c r="P647" s="19"/>
      <c r="Q647" s="19"/>
    </row>
    <row r="648" spans="1:17" ht="46.5" customHeight="1" x14ac:dyDescent="0.7">
      <c r="A648" s="19"/>
      <c r="B648" s="19"/>
      <c r="C648" s="19"/>
      <c r="D648" s="31"/>
      <c r="E648" s="31"/>
      <c r="F648" s="31"/>
      <c r="G648" s="31"/>
      <c r="H648" s="31"/>
      <c r="I648" s="31"/>
      <c r="J648" s="31"/>
      <c r="K648" s="19"/>
      <c r="L648" s="19"/>
      <c r="M648" s="19"/>
      <c r="N648" s="31"/>
      <c r="O648" s="31"/>
      <c r="P648" s="19"/>
      <c r="Q648" s="19"/>
    </row>
    <row r="649" spans="1:17" ht="46.5" customHeight="1" x14ac:dyDescent="0.7">
      <c r="A649" s="19"/>
      <c r="B649" s="19"/>
      <c r="C649" s="19"/>
      <c r="D649" s="31"/>
      <c r="E649" s="31"/>
      <c r="F649" s="31"/>
      <c r="G649" s="31"/>
      <c r="H649" s="31"/>
      <c r="I649" s="31"/>
      <c r="J649" s="31"/>
      <c r="K649" s="19"/>
      <c r="L649" s="19"/>
      <c r="M649" s="19"/>
      <c r="N649" s="31"/>
      <c r="O649" s="31"/>
      <c r="P649" s="19"/>
      <c r="Q649" s="19"/>
    </row>
    <row r="650" spans="1:17" ht="46.5" customHeight="1" x14ac:dyDescent="0.7">
      <c r="A650" s="19"/>
      <c r="B650" s="19"/>
      <c r="C650" s="19"/>
      <c r="D650" s="31"/>
      <c r="E650" s="31"/>
      <c r="F650" s="31"/>
      <c r="G650" s="31"/>
      <c r="H650" s="31"/>
      <c r="I650" s="31"/>
      <c r="J650" s="31"/>
      <c r="K650" s="19"/>
      <c r="L650" s="19"/>
      <c r="M650" s="19"/>
      <c r="N650" s="31"/>
      <c r="O650" s="31"/>
      <c r="P650" s="19"/>
      <c r="Q650" s="19"/>
    </row>
    <row r="651" spans="1:17" ht="46.5" customHeight="1" x14ac:dyDescent="0.7">
      <c r="A651" s="19"/>
      <c r="B651" s="19"/>
      <c r="C651" s="19"/>
      <c r="D651" s="31"/>
      <c r="E651" s="31"/>
      <c r="F651" s="31"/>
      <c r="G651" s="31"/>
      <c r="H651" s="31"/>
      <c r="I651" s="31"/>
      <c r="J651" s="31"/>
      <c r="K651" s="19"/>
      <c r="L651" s="19"/>
      <c r="M651" s="19"/>
      <c r="N651" s="31"/>
      <c r="O651" s="31"/>
      <c r="P651" s="19"/>
      <c r="Q651" s="19"/>
    </row>
    <row r="652" spans="1:17" ht="46.5" customHeight="1" x14ac:dyDescent="0.7">
      <c r="A652" s="19"/>
      <c r="B652" s="19"/>
      <c r="C652" s="19"/>
      <c r="D652" s="31"/>
      <c r="E652" s="31"/>
      <c r="F652" s="31"/>
      <c r="G652" s="31"/>
      <c r="H652" s="31"/>
      <c r="I652" s="31"/>
      <c r="J652" s="31"/>
      <c r="K652" s="19"/>
      <c r="L652" s="19"/>
      <c r="M652" s="19"/>
      <c r="N652" s="31"/>
      <c r="O652" s="31"/>
      <c r="P652" s="19"/>
      <c r="Q652" s="19"/>
    </row>
    <row r="653" spans="1:17" ht="46.5" customHeight="1" x14ac:dyDescent="0.7">
      <c r="A653" s="19"/>
      <c r="B653" s="19"/>
      <c r="C653" s="19"/>
      <c r="D653" s="31"/>
      <c r="E653" s="31"/>
      <c r="F653" s="31"/>
      <c r="G653" s="31"/>
      <c r="H653" s="31"/>
      <c r="I653" s="31"/>
      <c r="J653" s="31"/>
      <c r="K653" s="19"/>
      <c r="L653" s="19"/>
      <c r="M653" s="19"/>
      <c r="N653" s="31"/>
      <c r="O653" s="31"/>
      <c r="P653" s="19"/>
      <c r="Q653" s="19"/>
    </row>
    <row r="654" spans="1:17" ht="46.5" customHeight="1" x14ac:dyDescent="0.7">
      <c r="A654" s="19"/>
      <c r="B654" s="19"/>
      <c r="C654" s="19"/>
      <c r="D654" s="31"/>
      <c r="E654" s="31"/>
      <c r="F654" s="31"/>
      <c r="G654" s="31"/>
      <c r="H654" s="31"/>
      <c r="I654" s="31"/>
      <c r="J654" s="31"/>
      <c r="K654" s="19"/>
      <c r="L654" s="19"/>
      <c r="M654" s="19"/>
      <c r="N654" s="31"/>
      <c r="O654" s="31"/>
      <c r="P654" s="19"/>
      <c r="Q654" s="19"/>
    </row>
    <row r="655" spans="1:17" ht="46.5" customHeight="1" x14ac:dyDescent="0.7">
      <c r="A655" s="19"/>
      <c r="B655" s="19"/>
      <c r="C655" s="19"/>
      <c r="D655" s="31"/>
      <c r="E655" s="31"/>
      <c r="F655" s="31"/>
      <c r="G655" s="31"/>
      <c r="H655" s="31"/>
      <c r="I655" s="31"/>
      <c r="J655" s="31"/>
      <c r="K655" s="19"/>
      <c r="L655" s="19"/>
      <c r="M655" s="19"/>
      <c r="N655" s="31"/>
      <c r="O655" s="31"/>
      <c r="P655" s="19"/>
      <c r="Q655" s="19"/>
    </row>
    <row r="656" spans="1:17" ht="46.5" customHeight="1" x14ac:dyDescent="0.7">
      <c r="A656" s="19"/>
      <c r="B656" s="19"/>
      <c r="C656" s="19"/>
      <c r="D656" s="31"/>
      <c r="E656" s="31"/>
      <c r="F656" s="31"/>
      <c r="G656" s="31"/>
      <c r="H656" s="31"/>
      <c r="I656" s="31"/>
      <c r="J656" s="31"/>
      <c r="K656" s="19"/>
      <c r="L656" s="19"/>
      <c r="M656" s="19"/>
      <c r="N656" s="31"/>
      <c r="O656" s="31"/>
      <c r="P656" s="19"/>
      <c r="Q656" s="19"/>
    </row>
    <row r="657" spans="1:17" ht="46.5" customHeight="1" x14ac:dyDescent="0.7">
      <c r="A657" s="19"/>
      <c r="B657" s="19"/>
      <c r="C657" s="19"/>
      <c r="D657" s="31"/>
      <c r="E657" s="31"/>
      <c r="F657" s="31"/>
      <c r="G657" s="31"/>
      <c r="H657" s="31"/>
      <c r="I657" s="31"/>
      <c r="J657" s="31"/>
      <c r="K657" s="19"/>
      <c r="L657" s="19"/>
      <c r="M657" s="19"/>
      <c r="N657" s="31"/>
      <c r="O657" s="31"/>
      <c r="P657" s="19"/>
      <c r="Q657" s="19"/>
    </row>
    <row r="658" spans="1:17" ht="46.5" customHeight="1" x14ac:dyDescent="0.7">
      <c r="A658" s="19"/>
      <c r="B658" s="19"/>
      <c r="C658" s="19"/>
      <c r="D658" s="31"/>
      <c r="E658" s="31"/>
      <c r="F658" s="31"/>
      <c r="G658" s="31"/>
      <c r="H658" s="31"/>
      <c r="I658" s="31"/>
      <c r="J658" s="31"/>
      <c r="K658" s="19"/>
      <c r="L658" s="19"/>
      <c r="M658" s="19"/>
      <c r="N658" s="31"/>
      <c r="O658" s="31"/>
      <c r="P658" s="19"/>
      <c r="Q658" s="19"/>
    </row>
    <row r="659" spans="1:17" ht="46.5" customHeight="1" x14ac:dyDescent="0.7">
      <c r="A659" s="19"/>
      <c r="B659" s="19"/>
      <c r="C659" s="19"/>
      <c r="D659" s="31"/>
      <c r="E659" s="31"/>
      <c r="F659" s="31"/>
      <c r="G659" s="31"/>
      <c r="H659" s="31"/>
      <c r="I659" s="31"/>
      <c r="J659" s="31"/>
      <c r="K659" s="19"/>
      <c r="L659" s="19"/>
      <c r="M659" s="19"/>
      <c r="N659" s="31"/>
      <c r="O659" s="31"/>
      <c r="P659" s="19"/>
      <c r="Q659" s="19"/>
    </row>
    <row r="660" spans="1:17" ht="46.5" customHeight="1" x14ac:dyDescent="0.7">
      <c r="A660" s="19"/>
      <c r="B660" s="19"/>
      <c r="C660" s="19"/>
      <c r="D660" s="31"/>
      <c r="E660" s="31"/>
      <c r="F660" s="31"/>
      <c r="G660" s="31"/>
      <c r="H660" s="31"/>
      <c r="I660" s="31"/>
      <c r="J660" s="31"/>
      <c r="K660" s="19"/>
      <c r="L660" s="19"/>
      <c r="M660" s="19"/>
      <c r="N660" s="31"/>
      <c r="O660" s="31"/>
      <c r="P660" s="19"/>
      <c r="Q660" s="19"/>
    </row>
    <row r="661" spans="1:17" ht="46.5" customHeight="1" x14ac:dyDescent="0.7">
      <c r="A661" s="19"/>
      <c r="B661" s="19"/>
      <c r="C661" s="19"/>
      <c r="D661" s="31"/>
      <c r="E661" s="31"/>
      <c r="F661" s="31"/>
      <c r="G661" s="31"/>
      <c r="H661" s="31"/>
      <c r="I661" s="31"/>
      <c r="J661" s="31"/>
      <c r="K661" s="19"/>
      <c r="L661" s="19"/>
      <c r="M661" s="19"/>
      <c r="N661" s="31"/>
      <c r="O661" s="31"/>
      <c r="P661" s="19"/>
      <c r="Q661" s="19"/>
    </row>
    <row r="662" spans="1:17" ht="46.5" customHeight="1" x14ac:dyDescent="0.7">
      <c r="A662" s="19"/>
      <c r="B662" s="19"/>
      <c r="C662" s="19"/>
      <c r="D662" s="31"/>
      <c r="E662" s="31"/>
      <c r="F662" s="31"/>
      <c r="G662" s="31"/>
      <c r="H662" s="31"/>
      <c r="I662" s="31"/>
      <c r="J662" s="31"/>
      <c r="K662" s="19"/>
      <c r="L662" s="19"/>
      <c r="M662" s="19"/>
      <c r="N662" s="31"/>
      <c r="O662" s="31"/>
      <c r="P662" s="19"/>
      <c r="Q662" s="19"/>
    </row>
    <row r="663" spans="1:17" ht="46.5" customHeight="1" x14ac:dyDescent="0.7">
      <c r="A663" s="19"/>
      <c r="B663" s="19"/>
      <c r="C663" s="19"/>
      <c r="D663" s="31"/>
      <c r="E663" s="31"/>
      <c r="F663" s="31"/>
      <c r="G663" s="31"/>
      <c r="H663" s="31"/>
      <c r="I663" s="31"/>
      <c r="J663" s="31"/>
      <c r="K663" s="19"/>
      <c r="L663" s="19"/>
      <c r="M663" s="19"/>
      <c r="N663" s="31"/>
      <c r="O663" s="31"/>
      <c r="P663" s="19"/>
      <c r="Q663" s="19"/>
    </row>
    <row r="664" spans="1:17" ht="46.5" customHeight="1" x14ac:dyDescent="0.7">
      <c r="A664" s="19"/>
      <c r="B664" s="19"/>
      <c r="C664" s="19"/>
      <c r="D664" s="31"/>
      <c r="E664" s="31"/>
      <c r="F664" s="31"/>
      <c r="G664" s="31"/>
      <c r="H664" s="31"/>
      <c r="I664" s="31"/>
      <c r="J664" s="31"/>
      <c r="K664" s="19"/>
      <c r="L664" s="19"/>
      <c r="M664" s="19"/>
      <c r="N664" s="31"/>
      <c r="O664" s="31"/>
      <c r="P664" s="19"/>
      <c r="Q664" s="19"/>
    </row>
    <row r="665" spans="1:17" ht="46.5" customHeight="1" x14ac:dyDescent="0.7">
      <c r="A665" s="19"/>
      <c r="B665" s="19"/>
      <c r="C665" s="19"/>
      <c r="D665" s="31"/>
      <c r="E665" s="31"/>
      <c r="F665" s="31"/>
      <c r="G665" s="31"/>
      <c r="H665" s="31"/>
      <c r="I665" s="31"/>
      <c r="J665" s="31"/>
      <c r="K665" s="19"/>
      <c r="L665" s="19"/>
      <c r="M665" s="19"/>
      <c r="N665" s="31"/>
      <c r="O665" s="31"/>
      <c r="P665" s="19"/>
      <c r="Q665" s="19"/>
    </row>
    <row r="666" spans="1:17" ht="46.5" customHeight="1" x14ac:dyDescent="0.7">
      <c r="A666" s="19"/>
      <c r="B666" s="19"/>
      <c r="C666" s="19"/>
      <c r="D666" s="31"/>
      <c r="E666" s="31"/>
      <c r="F666" s="31"/>
      <c r="G666" s="31"/>
      <c r="H666" s="31"/>
      <c r="I666" s="31"/>
      <c r="J666" s="31"/>
      <c r="K666" s="19"/>
      <c r="L666" s="19"/>
      <c r="M666" s="19"/>
      <c r="N666" s="31"/>
      <c r="O666" s="31"/>
      <c r="P666" s="19"/>
      <c r="Q666" s="19"/>
    </row>
    <row r="667" spans="1:17" ht="46.5" customHeight="1" x14ac:dyDescent="0.7">
      <c r="A667" s="19"/>
      <c r="B667" s="19"/>
      <c r="C667" s="19"/>
      <c r="D667" s="31"/>
      <c r="E667" s="31"/>
      <c r="F667" s="31"/>
      <c r="G667" s="31"/>
      <c r="H667" s="31"/>
      <c r="I667" s="31"/>
      <c r="J667" s="31"/>
      <c r="K667" s="19"/>
      <c r="L667" s="19"/>
      <c r="M667" s="19"/>
      <c r="N667" s="31"/>
      <c r="O667" s="31"/>
      <c r="P667" s="19"/>
      <c r="Q667" s="19"/>
    </row>
    <row r="668" spans="1:17" ht="46.5" customHeight="1" x14ac:dyDescent="0.7">
      <c r="A668" s="19"/>
      <c r="B668" s="19"/>
      <c r="C668" s="19"/>
      <c r="D668" s="31"/>
      <c r="E668" s="31"/>
      <c r="F668" s="31"/>
      <c r="G668" s="31"/>
      <c r="H668" s="31"/>
      <c r="I668" s="31"/>
      <c r="J668" s="31"/>
      <c r="K668" s="19"/>
      <c r="L668" s="19"/>
      <c r="M668" s="19"/>
      <c r="N668" s="31"/>
      <c r="O668" s="31"/>
      <c r="P668" s="19"/>
      <c r="Q668" s="19"/>
    </row>
    <row r="669" spans="1:17" ht="46.5" customHeight="1" x14ac:dyDescent="0.7">
      <c r="A669" s="19"/>
      <c r="B669" s="19"/>
      <c r="C669" s="19"/>
      <c r="D669" s="31"/>
      <c r="E669" s="31"/>
      <c r="F669" s="31"/>
      <c r="G669" s="31"/>
      <c r="H669" s="31"/>
      <c r="I669" s="31"/>
      <c r="J669" s="31"/>
      <c r="K669" s="19"/>
      <c r="L669" s="19"/>
      <c r="M669" s="19"/>
      <c r="N669" s="31"/>
      <c r="O669" s="31"/>
      <c r="P669" s="19"/>
      <c r="Q669" s="19"/>
    </row>
    <row r="670" spans="1:17" ht="46.5" customHeight="1" x14ac:dyDescent="0.7">
      <c r="A670" s="19"/>
      <c r="B670" s="19"/>
      <c r="C670" s="19"/>
      <c r="D670" s="31"/>
      <c r="E670" s="31"/>
      <c r="F670" s="31"/>
      <c r="G670" s="31"/>
      <c r="H670" s="31"/>
      <c r="I670" s="31"/>
      <c r="J670" s="31"/>
      <c r="K670" s="19"/>
      <c r="L670" s="19"/>
      <c r="M670" s="19"/>
      <c r="N670" s="31"/>
      <c r="O670" s="31"/>
      <c r="P670" s="19"/>
      <c r="Q670" s="19"/>
    </row>
    <row r="671" spans="1:17" ht="46.5" customHeight="1" x14ac:dyDescent="0.7">
      <c r="A671" s="19"/>
      <c r="B671" s="19"/>
      <c r="C671" s="19"/>
      <c r="D671" s="31"/>
      <c r="E671" s="31"/>
      <c r="F671" s="31"/>
      <c r="G671" s="31"/>
      <c r="H671" s="31"/>
      <c r="I671" s="31"/>
      <c r="J671" s="31"/>
      <c r="K671" s="19"/>
      <c r="L671" s="19"/>
      <c r="M671" s="19"/>
      <c r="N671" s="31"/>
      <c r="O671" s="31"/>
      <c r="P671" s="19"/>
      <c r="Q671" s="19"/>
    </row>
    <row r="672" spans="1:17" ht="46.5" customHeight="1" x14ac:dyDescent="0.7">
      <c r="A672" s="19"/>
      <c r="B672" s="19"/>
      <c r="C672" s="19"/>
      <c r="D672" s="31"/>
      <c r="E672" s="31"/>
      <c r="F672" s="31"/>
      <c r="G672" s="31"/>
      <c r="H672" s="31"/>
      <c r="I672" s="31"/>
      <c r="J672" s="31"/>
      <c r="K672" s="19"/>
      <c r="L672" s="19"/>
      <c r="M672" s="19"/>
      <c r="N672" s="31"/>
      <c r="O672" s="31"/>
      <c r="P672" s="19"/>
      <c r="Q672" s="19"/>
    </row>
    <row r="673" spans="1:17" ht="46.5" customHeight="1" x14ac:dyDescent="0.7">
      <c r="A673" s="19"/>
      <c r="B673" s="19"/>
      <c r="C673" s="19"/>
      <c r="D673" s="31"/>
      <c r="E673" s="31"/>
      <c r="F673" s="31"/>
      <c r="G673" s="31"/>
      <c r="H673" s="31"/>
      <c r="I673" s="31"/>
      <c r="J673" s="31"/>
      <c r="K673" s="19"/>
      <c r="L673" s="19"/>
      <c r="M673" s="19"/>
      <c r="N673" s="31"/>
      <c r="O673" s="31"/>
      <c r="P673" s="19"/>
      <c r="Q673" s="19"/>
    </row>
    <row r="674" spans="1:17" ht="46.5" customHeight="1" x14ac:dyDescent="0.7">
      <c r="A674" s="19"/>
      <c r="B674" s="19"/>
      <c r="C674" s="19"/>
      <c r="D674" s="31"/>
      <c r="E674" s="31"/>
      <c r="F674" s="31"/>
      <c r="G674" s="31"/>
      <c r="H674" s="31"/>
      <c r="I674" s="31"/>
      <c r="J674" s="31"/>
      <c r="K674" s="19"/>
      <c r="L674" s="19"/>
      <c r="M674" s="19"/>
      <c r="N674" s="31"/>
      <c r="O674" s="31"/>
      <c r="P674" s="19"/>
      <c r="Q674" s="19"/>
    </row>
    <row r="675" spans="1:17" ht="46.5" customHeight="1" x14ac:dyDescent="0.7">
      <c r="A675" s="19"/>
      <c r="B675" s="19"/>
      <c r="C675" s="19"/>
      <c r="D675" s="31"/>
      <c r="E675" s="31"/>
      <c r="F675" s="31"/>
      <c r="G675" s="31"/>
      <c r="H675" s="31"/>
      <c r="I675" s="31"/>
      <c r="J675" s="31"/>
      <c r="K675" s="19"/>
      <c r="L675" s="19"/>
      <c r="M675" s="19"/>
      <c r="N675" s="31"/>
      <c r="O675" s="31"/>
      <c r="P675" s="19"/>
      <c r="Q675" s="19"/>
    </row>
    <row r="676" spans="1:17" ht="46.5" customHeight="1" x14ac:dyDescent="0.7">
      <c r="A676" s="19"/>
      <c r="B676" s="19"/>
      <c r="C676" s="19"/>
      <c r="D676" s="31"/>
      <c r="E676" s="31"/>
      <c r="F676" s="31"/>
      <c r="G676" s="31"/>
      <c r="H676" s="31"/>
      <c r="I676" s="31"/>
      <c r="J676" s="31"/>
      <c r="K676" s="19"/>
      <c r="L676" s="19"/>
      <c r="M676" s="19"/>
      <c r="N676" s="31"/>
      <c r="O676" s="31"/>
      <c r="P676" s="19"/>
      <c r="Q676" s="19"/>
    </row>
    <row r="677" spans="1:17" ht="46.5" customHeight="1" x14ac:dyDescent="0.7">
      <c r="A677" s="19"/>
      <c r="B677" s="19"/>
      <c r="C677" s="19"/>
      <c r="D677" s="31"/>
      <c r="E677" s="31"/>
      <c r="F677" s="31"/>
      <c r="G677" s="31"/>
      <c r="H677" s="31"/>
      <c r="I677" s="31"/>
      <c r="J677" s="31"/>
      <c r="K677" s="19"/>
      <c r="L677" s="19"/>
      <c r="M677" s="19"/>
      <c r="N677" s="31"/>
      <c r="O677" s="31"/>
      <c r="P677" s="19"/>
      <c r="Q677" s="19"/>
    </row>
    <row r="678" spans="1:17" ht="46.5" customHeight="1" x14ac:dyDescent="0.7">
      <c r="A678" s="19"/>
      <c r="B678" s="19"/>
      <c r="C678" s="19"/>
      <c r="D678" s="31"/>
      <c r="E678" s="31"/>
      <c r="F678" s="31"/>
      <c r="G678" s="31"/>
      <c r="H678" s="31"/>
      <c r="I678" s="31"/>
      <c r="J678" s="31"/>
      <c r="K678" s="19"/>
      <c r="L678" s="19"/>
      <c r="M678" s="19"/>
      <c r="N678" s="31"/>
      <c r="O678" s="31"/>
      <c r="P678" s="19"/>
      <c r="Q678" s="19"/>
    </row>
    <row r="679" spans="1:17" ht="46.5" customHeight="1" x14ac:dyDescent="0.7">
      <c r="A679" s="19"/>
      <c r="B679" s="19"/>
      <c r="C679" s="19"/>
      <c r="D679" s="31"/>
      <c r="E679" s="31"/>
      <c r="F679" s="31"/>
      <c r="G679" s="31"/>
      <c r="H679" s="31"/>
      <c r="I679" s="31"/>
      <c r="J679" s="31"/>
      <c r="K679" s="19"/>
      <c r="L679" s="19"/>
      <c r="M679" s="19"/>
      <c r="N679" s="31"/>
      <c r="O679" s="31"/>
      <c r="P679" s="19"/>
      <c r="Q679" s="19"/>
    </row>
    <row r="680" spans="1:17" ht="46.5" customHeight="1" x14ac:dyDescent="0.7">
      <c r="A680" s="19"/>
      <c r="B680" s="19"/>
      <c r="C680" s="19"/>
      <c r="D680" s="31"/>
      <c r="E680" s="31"/>
      <c r="F680" s="31"/>
      <c r="G680" s="31"/>
      <c r="H680" s="31"/>
      <c r="I680" s="31"/>
      <c r="J680" s="31"/>
      <c r="K680" s="19"/>
      <c r="L680" s="19"/>
      <c r="M680" s="19"/>
      <c r="N680" s="31"/>
      <c r="O680" s="31"/>
      <c r="P680" s="19"/>
      <c r="Q680" s="19"/>
    </row>
    <row r="681" spans="1:17" ht="46.5" customHeight="1" x14ac:dyDescent="0.7">
      <c r="A681" s="19"/>
      <c r="B681" s="19"/>
      <c r="C681" s="19"/>
      <c r="D681" s="31"/>
      <c r="E681" s="31"/>
      <c r="F681" s="31"/>
      <c r="G681" s="31"/>
      <c r="H681" s="31"/>
      <c r="I681" s="31"/>
      <c r="J681" s="31"/>
      <c r="K681" s="19"/>
      <c r="L681" s="19"/>
      <c r="M681" s="19"/>
      <c r="N681" s="31"/>
      <c r="O681" s="31"/>
      <c r="P681" s="19"/>
      <c r="Q681" s="19"/>
    </row>
    <row r="682" spans="1:17" ht="46.5" customHeight="1" x14ac:dyDescent="0.7">
      <c r="A682" s="19"/>
      <c r="B682" s="19"/>
      <c r="C682" s="19"/>
      <c r="D682" s="31"/>
      <c r="E682" s="31"/>
      <c r="F682" s="31"/>
      <c r="G682" s="31"/>
      <c r="H682" s="31"/>
      <c r="I682" s="31"/>
      <c r="J682" s="31"/>
      <c r="K682" s="19"/>
      <c r="L682" s="19"/>
      <c r="M682" s="19"/>
      <c r="N682" s="31"/>
      <c r="O682" s="31"/>
      <c r="P682" s="19"/>
      <c r="Q682" s="19"/>
    </row>
    <row r="683" spans="1:17" ht="46.5" customHeight="1" x14ac:dyDescent="0.7">
      <c r="A683" s="19"/>
      <c r="B683" s="19"/>
      <c r="C683" s="19"/>
      <c r="D683" s="31"/>
      <c r="E683" s="31"/>
      <c r="F683" s="31"/>
      <c r="G683" s="31"/>
      <c r="H683" s="31"/>
      <c r="I683" s="31"/>
      <c r="J683" s="31"/>
      <c r="K683" s="19"/>
      <c r="L683" s="19"/>
      <c r="M683" s="19"/>
      <c r="N683" s="31"/>
      <c r="O683" s="31"/>
      <c r="P683" s="19"/>
      <c r="Q683" s="19"/>
    </row>
    <row r="684" spans="1:17" ht="46.5" customHeight="1" x14ac:dyDescent="0.7">
      <c r="A684" s="19"/>
      <c r="B684" s="19"/>
      <c r="C684" s="19"/>
      <c r="D684" s="31"/>
      <c r="E684" s="31"/>
      <c r="F684" s="31"/>
      <c r="G684" s="31"/>
      <c r="H684" s="31"/>
      <c r="I684" s="31"/>
      <c r="J684" s="31"/>
      <c r="K684" s="19"/>
      <c r="L684" s="19"/>
      <c r="M684" s="19"/>
      <c r="N684" s="31"/>
      <c r="O684" s="31"/>
      <c r="P684" s="19"/>
      <c r="Q684" s="19"/>
    </row>
    <row r="685" spans="1:17" ht="46.5" customHeight="1" x14ac:dyDescent="0.7">
      <c r="A685" s="19"/>
      <c r="B685" s="19"/>
      <c r="C685" s="19"/>
      <c r="D685" s="31"/>
      <c r="E685" s="31"/>
      <c r="F685" s="31"/>
      <c r="G685" s="31"/>
      <c r="H685" s="31"/>
      <c r="I685" s="31"/>
      <c r="J685" s="31"/>
      <c r="K685" s="19"/>
      <c r="L685" s="19"/>
      <c r="M685" s="19"/>
      <c r="N685" s="31"/>
      <c r="O685" s="31"/>
      <c r="P685" s="19"/>
      <c r="Q685" s="19"/>
    </row>
    <row r="686" spans="1:17" ht="46.5" customHeight="1" x14ac:dyDescent="0.7">
      <c r="A686" s="19"/>
      <c r="B686" s="19"/>
      <c r="C686" s="19"/>
      <c r="D686" s="31"/>
      <c r="E686" s="31"/>
      <c r="F686" s="31"/>
      <c r="G686" s="31"/>
      <c r="H686" s="31"/>
      <c r="I686" s="31"/>
      <c r="J686" s="31"/>
      <c r="K686" s="19"/>
      <c r="L686" s="19"/>
      <c r="M686" s="19"/>
      <c r="N686" s="31"/>
      <c r="O686" s="31"/>
      <c r="P686" s="19"/>
      <c r="Q686" s="19"/>
    </row>
    <row r="687" spans="1:17" ht="46.5" customHeight="1" x14ac:dyDescent="0.7">
      <c r="A687" s="19"/>
      <c r="B687" s="19"/>
      <c r="C687" s="19"/>
      <c r="D687" s="31"/>
      <c r="E687" s="31"/>
      <c r="F687" s="31"/>
      <c r="G687" s="31"/>
      <c r="H687" s="31"/>
      <c r="I687" s="31"/>
      <c r="J687" s="31"/>
      <c r="K687" s="19"/>
      <c r="L687" s="19"/>
      <c r="M687" s="19"/>
      <c r="N687" s="31"/>
      <c r="O687" s="31"/>
      <c r="P687" s="19"/>
      <c r="Q687" s="19"/>
    </row>
    <row r="688" spans="1:17" ht="46.5" customHeight="1" x14ac:dyDescent="0.7">
      <c r="A688" s="19"/>
      <c r="B688" s="19"/>
      <c r="C688" s="19"/>
      <c r="D688" s="31"/>
      <c r="E688" s="31"/>
      <c r="F688" s="31"/>
      <c r="G688" s="31"/>
      <c r="H688" s="31"/>
      <c r="I688" s="31"/>
      <c r="J688" s="31"/>
      <c r="K688" s="19"/>
      <c r="L688" s="19"/>
      <c r="M688" s="19"/>
      <c r="N688" s="31"/>
      <c r="O688" s="31"/>
      <c r="P688" s="19"/>
      <c r="Q688" s="19"/>
    </row>
    <row r="689" spans="1:17" ht="46.5" customHeight="1" x14ac:dyDescent="0.7">
      <c r="A689" s="19"/>
      <c r="B689" s="19"/>
      <c r="C689" s="19"/>
      <c r="D689" s="31"/>
      <c r="E689" s="31"/>
      <c r="F689" s="31"/>
      <c r="G689" s="31"/>
      <c r="H689" s="31"/>
      <c r="I689" s="31"/>
      <c r="J689" s="31"/>
      <c r="K689" s="19"/>
      <c r="L689" s="19"/>
      <c r="M689" s="19"/>
      <c r="N689" s="31"/>
      <c r="O689" s="31"/>
      <c r="P689" s="19"/>
      <c r="Q689" s="19"/>
    </row>
    <row r="690" spans="1:17" ht="46.5" customHeight="1" x14ac:dyDescent="0.7">
      <c r="A690" s="19"/>
      <c r="B690" s="19"/>
      <c r="C690" s="19"/>
      <c r="D690" s="31"/>
      <c r="E690" s="31"/>
      <c r="F690" s="31"/>
      <c r="G690" s="31"/>
      <c r="H690" s="31"/>
      <c r="I690" s="31"/>
      <c r="J690" s="31"/>
      <c r="K690" s="19"/>
      <c r="L690" s="19"/>
      <c r="M690" s="19"/>
      <c r="N690" s="31"/>
      <c r="O690" s="31"/>
      <c r="P690" s="19"/>
      <c r="Q690" s="19"/>
    </row>
    <row r="691" spans="1:17" ht="46.5" customHeight="1" x14ac:dyDescent="0.7">
      <c r="A691" s="19"/>
      <c r="B691" s="19"/>
      <c r="C691" s="19"/>
      <c r="D691" s="31"/>
      <c r="E691" s="31"/>
      <c r="F691" s="31"/>
      <c r="G691" s="31"/>
      <c r="H691" s="31"/>
      <c r="I691" s="31"/>
      <c r="J691" s="31"/>
      <c r="K691" s="19"/>
      <c r="L691" s="19"/>
      <c r="M691" s="19"/>
      <c r="N691" s="31"/>
      <c r="O691" s="31"/>
      <c r="P691" s="19"/>
      <c r="Q691" s="19"/>
    </row>
    <row r="692" spans="1:17" ht="46.5" customHeight="1" x14ac:dyDescent="0.7">
      <c r="A692" s="19"/>
      <c r="B692" s="19"/>
      <c r="C692" s="19"/>
      <c r="D692" s="31"/>
      <c r="E692" s="31"/>
      <c r="F692" s="31"/>
      <c r="G692" s="31"/>
      <c r="H692" s="31"/>
      <c r="I692" s="31"/>
      <c r="J692" s="31"/>
      <c r="K692" s="19"/>
      <c r="L692" s="19"/>
      <c r="M692" s="19"/>
      <c r="N692" s="31"/>
      <c r="O692" s="31"/>
      <c r="P692" s="19"/>
      <c r="Q692" s="19"/>
    </row>
    <row r="693" spans="1:17" ht="46.5" customHeight="1" x14ac:dyDescent="0.7">
      <c r="A693" s="19"/>
      <c r="B693" s="19"/>
      <c r="C693" s="19"/>
      <c r="D693" s="31"/>
      <c r="E693" s="31"/>
      <c r="F693" s="31"/>
      <c r="G693" s="31"/>
      <c r="H693" s="31"/>
      <c r="I693" s="31"/>
      <c r="J693" s="31"/>
      <c r="K693" s="19"/>
      <c r="L693" s="19"/>
      <c r="M693" s="19"/>
      <c r="N693" s="31"/>
      <c r="O693" s="31"/>
      <c r="P693" s="19"/>
      <c r="Q693" s="19"/>
    </row>
    <row r="694" spans="1:17" ht="46.5" customHeight="1" x14ac:dyDescent="0.7">
      <c r="A694" s="19"/>
      <c r="B694" s="19"/>
      <c r="C694" s="19"/>
      <c r="D694" s="31"/>
      <c r="E694" s="31"/>
      <c r="F694" s="31"/>
      <c r="G694" s="31"/>
      <c r="H694" s="31"/>
      <c r="I694" s="31"/>
      <c r="J694" s="31"/>
      <c r="K694" s="19"/>
      <c r="L694" s="19"/>
      <c r="M694" s="19"/>
      <c r="N694" s="31"/>
      <c r="O694" s="31"/>
      <c r="P694" s="19"/>
      <c r="Q694" s="19"/>
    </row>
    <row r="695" spans="1:17" ht="46.5" customHeight="1" x14ac:dyDescent="0.7">
      <c r="A695" s="19"/>
      <c r="B695" s="19"/>
      <c r="C695" s="19"/>
      <c r="D695" s="31"/>
      <c r="E695" s="31"/>
      <c r="F695" s="31"/>
      <c r="G695" s="31"/>
      <c r="H695" s="31"/>
      <c r="I695" s="31"/>
      <c r="J695" s="31"/>
      <c r="K695" s="19"/>
      <c r="L695" s="19"/>
      <c r="M695" s="19"/>
      <c r="N695" s="31"/>
      <c r="O695" s="31"/>
      <c r="P695" s="19"/>
      <c r="Q695" s="19"/>
    </row>
    <row r="696" spans="1:17" ht="46.5" customHeight="1" x14ac:dyDescent="0.7">
      <c r="A696" s="19"/>
      <c r="B696" s="19"/>
      <c r="C696" s="19"/>
      <c r="D696" s="31"/>
      <c r="E696" s="31"/>
      <c r="F696" s="31"/>
      <c r="G696" s="31"/>
      <c r="H696" s="31"/>
      <c r="I696" s="31"/>
      <c r="J696" s="31"/>
      <c r="K696" s="19"/>
      <c r="L696" s="19"/>
      <c r="M696" s="19"/>
      <c r="N696" s="31"/>
      <c r="O696" s="31"/>
      <c r="P696" s="19"/>
      <c r="Q696" s="19"/>
    </row>
    <row r="697" spans="1:17" ht="46.5" customHeight="1" x14ac:dyDescent="0.7">
      <c r="A697" s="19"/>
      <c r="B697" s="19"/>
      <c r="C697" s="19"/>
      <c r="D697" s="31"/>
      <c r="E697" s="31"/>
      <c r="F697" s="31"/>
      <c r="G697" s="31"/>
      <c r="H697" s="31"/>
      <c r="I697" s="31"/>
      <c r="J697" s="31"/>
      <c r="K697" s="19"/>
      <c r="L697" s="19"/>
      <c r="M697" s="19"/>
      <c r="N697" s="31"/>
      <c r="O697" s="31"/>
      <c r="P697" s="19"/>
      <c r="Q697" s="19"/>
    </row>
    <row r="698" spans="1:17" ht="46.5" customHeight="1" x14ac:dyDescent="0.7">
      <c r="A698" s="19"/>
      <c r="B698" s="19"/>
      <c r="C698" s="19"/>
      <c r="D698" s="31"/>
      <c r="E698" s="31"/>
      <c r="F698" s="31"/>
      <c r="G698" s="31"/>
      <c r="H698" s="31"/>
      <c r="I698" s="31"/>
      <c r="J698" s="31"/>
      <c r="K698" s="19"/>
      <c r="L698" s="19"/>
      <c r="M698" s="19"/>
      <c r="N698" s="31"/>
      <c r="O698" s="31"/>
      <c r="P698" s="19"/>
      <c r="Q698" s="19"/>
    </row>
    <row r="699" spans="1:17" ht="46.5" customHeight="1" x14ac:dyDescent="0.7">
      <c r="A699" s="19"/>
      <c r="B699" s="19"/>
      <c r="C699" s="19"/>
      <c r="D699" s="31"/>
      <c r="E699" s="31"/>
      <c r="F699" s="31"/>
      <c r="G699" s="31"/>
      <c r="H699" s="31"/>
      <c r="I699" s="31"/>
      <c r="J699" s="31"/>
      <c r="K699" s="19"/>
      <c r="L699" s="19"/>
      <c r="M699" s="19"/>
      <c r="N699" s="31"/>
      <c r="O699" s="31"/>
      <c r="P699" s="19"/>
      <c r="Q699" s="19"/>
    </row>
    <row r="700" spans="1:17" ht="46.5" customHeight="1" x14ac:dyDescent="0.7">
      <c r="A700" s="19"/>
      <c r="B700" s="19"/>
      <c r="C700" s="19"/>
      <c r="D700" s="31"/>
      <c r="E700" s="31"/>
      <c r="F700" s="31"/>
      <c r="G700" s="31"/>
      <c r="H700" s="31"/>
      <c r="I700" s="31"/>
      <c r="J700" s="31"/>
      <c r="K700" s="19"/>
      <c r="L700" s="19"/>
      <c r="M700" s="19"/>
      <c r="N700" s="31"/>
      <c r="O700" s="31"/>
      <c r="P700" s="19"/>
      <c r="Q700" s="19"/>
    </row>
    <row r="701" spans="1:17" ht="46.5" customHeight="1" x14ac:dyDescent="0.7">
      <c r="A701" s="19"/>
      <c r="B701" s="19"/>
      <c r="C701" s="19"/>
      <c r="D701" s="31"/>
      <c r="E701" s="31"/>
      <c r="F701" s="31"/>
      <c r="G701" s="31"/>
      <c r="H701" s="31"/>
      <c r="I701" s="31"/>
      <c r="J701" s="31"/>
      <c r="K701" s="19"/>
      <c r="L701" s="19"/>
      <c r="M701" s="19"/>
      <c r="N701" s="31"/>
      <c r="O701" s="31"/>
      <c r="P701" s="19"/>
      <c r="Q701" s="19"/>
    </row>
    <row r="702" spans="1:17" ht="46.5" customHeight="1" x14ac:dyDescent="0.7">
      <c r="A702" s="19"/>
      <c r="B702" s="19"/>
      <c r="C702" s="19"/>
      <c r="D702" s="31"/>
      <c r="E702" s="31"/>
      <c r="F702" s="31"/>
      <c r="G702" s="31"/>
      <c r="H702" s="31"/>
      <c r="I702" s="31"/>
      <c r="J702" s="31"/>
      <c r="K702" s="19"/>
      <c r="L702" s="19"/>
      <c r="M702" s="19"/>
      <c r="N702" s="31"/>
      <c r="O702" s="31"/>
      <c r="P702" s="19"/>
      <c r="Q702" s="19"/>
    </row>
    <row r="703" spans="1:17" ht="46.5" customHeight="1" x14ac:dyDescent="0.7">
      <c r="A703" s="19"/>
      <c r="B703" s="19"/>
      <c r="C703" s="19"/>
      <c r="D703" s="31"/>
      <c r="E703" s="31"/>
      <c r="F703" s="31"/>
      <c r="G703" s="31"/>
      <c r="H703" s="31"/>
      <c r="I703" s="31"/>
      <c r="J703" s="31"/>
      <c r="K703" s="19"/>
      <c r="L703" s="19"/>
      <c r="M703" s="19"/>
      <c r="N703" s="31"/>
      <c r="O703" s="31"/>
      <c r="P703" s="19"/>
      <c r="Q703" s="19"/>
    </row>
    <row r="704" spans="1:17" ht="46.5" customHeight="1" x14ac:dyDescent="0.7">
      <c r="A704" s="19"/>
      <c r="B704" s="19"/>
      <c r="C704" s="19"/>
      <c r="D704" s="31"/>
      <c r="E704" s="31"/>
      <c r="F704" s="31"/>
      <c r="G704" s="31"/>
      <c r="H704" s="31"/>
      <c r="I704" s="31"/>
      <c r="J704" s="31"/>
      <c r="K704" s="19"/>
      <c r="L704" s="19"/>
      <c r="M704" s="19"/>
      <c r="N704" s="31"/>
      <c r="O704" s="31"/>
      <c r="P704" s="19"/>
      <c r="Q704" s="19"/>
    </row>
    <row r="705" spans="1:17" ht="46.5" customHeight="1" x14ac:dyDescent="0.7">
      <c r="A705" s="19"/>
      <c r="B705" s="19"/>
      <c r="C705" s="19"/>
      <c r="D705" s="31"/>
      <c r="E705" s="31"/>
      <c r="F705" s="31"/>
      <c r="G705" s="31"/>
      <c r="H705" s="31"/>
      <c r="I705" s="31"/>
      <c r="J705" s="31"/>
      <c r="K705" s="19"/>
      <c r="L705" s="19"/>
      <c r="M705" s="19"/>
      <c r="N705" s="31"/>
      <c r="O705" s="31"/>
      <c r="P705" s="19"/>
      <c r="Q705" s="19"/>
    </row>
    <row r="706" spans="1:17" ht="46.5" customHeight="1" x14ac:dyDescent="0.7">
      <c r="A706" s="19"/>
      <c r="B706" s="19"/>
      <c r="C706" s="19"/>
      <c r="D706" s="31"/>
      <c r="E706" s="31"/>
      <c r="F706" s="31"/>
      <c r="G706" s="31"/>
      <c r="H706" s="31"/>
      <c r="I706" s="31"/>
      <c r="J706" s="31"/>
      <c r="K706" s="19"/>
      <c r="L706" s="19"/>
      <c r="M706" s="19"/>
      <c r="N706" s="31"/>
      <c r="O706" s="31"/>
      <c r="P706" s="19"/>
      <c r="Q706" s="19"/>
    </row>
    <row r="707" spans="1:17" ht="46.5" customHeight="1" x14ac:dyDescent="0.7">
      <c r="A707" s="19"/>
      <c r="B707" s="19"/>
      <c r="C707" s="19"/>
      <c r="D707" s="31"/>
      <c r="E707" s="31"/>
      <c r="F707" s="31"/>
      <c r="G707" s="31"/>
      <c r="H707" s="31"/>
      <c r="I707" s="31"/>
      <c r="J707" s="31"/>
      <c r="K707" s="19"/>
      <c r="L707" s="19"/>
      <c r="M707" s="19"/>
      <c r="N707" s="31"/>
      <c r="O707" s="31"/>
      <c r="P707" s="19"/>
      <c r="Q707" s="19"/>
    </row>
    <row r="708" spans="1:17" ht="46.5" customHeight="1" x14ac:dyDescent="0.7">
      <c r="A708" s="19"/>
      <c r="B708" s="19"/>
      <c r="C708" s="19"/>
      <c r="D708" s="31"/>
      <c r="E708" s="31"/>
      <c r="F708" s="31"/>
      <c r="G708" s="31"/>
      <c r="H708" s="31"/>
      <c r="I708" s="31"/>
      <c r="J708" s="31"/>
      <c r="K708" s="19"/>
      <c r="L708" s="19"/>
      <c r="M708" s="19"/>
      <c r="N708" s="31"/>
      <c r="O708" s="31"/>
      <c r="P708" s="19"/>
      <c r="Q708" s="19"/>
    </row>
    <row r="709" spans="1:17" ht="46.5" customHeight="1" x14ac:dyDescent="0.7">
      <c r="A709" s="19"/>
      <c r="B709" s="19"/>
      <c r="C709" s="19"/>
      <c r="D709" s="31"/>
      <c r="E709" s="31"/>
      <c r="F709" s="31"/>
      <c r="G709" s="31"/>
      <c r="H709" s="31"/>
      <c r="I709" s="31"/>
      <c r="J709" s="31"/>
      <c r="K709" s="19"/>
      <c r="L709" s="19"/>
      <c r="M709" s="19"/>
      <c r="N709" s="31"/>
      <c r="O709" s="31"/>
      <c r="P709" s="19"/>
      <c r="Q709" s="19"/>
    </row>
    <row r="710" spans="1:17" ht="46.5" customHeight="1" x14ac:dyDescent="0.7">
      <c r="A710" s="19"/>
      <c r="B710" s="19"/>
      <c r="C710" s="19"/>
      <c r="D710" s="31"/>
      <c r="E710" s="31"/>
      <c r="F710" s="31"/>
      <c r="G710" s="31"/>
      <c r="H710" s="31"/>
      <c r="I710" s="31"/>
      <c r="J710" s="31"/>
      <c r="K710" s="19"/>
      <c r="L710" s="19"/>
      <c r="M710" s="19"/>
      <c r="N710" s="31"/>
      <c r="O710" s="31"/>
      <c r="P710" s="19"/>
      <c r="Q710" s="19"/>
    </row>
    <row r="711" spans="1:17" ht="46.5" customHeight="1" x14ac:dyDescent="0.7">
      <c r="A711" s="19"/>
      <c r="B711" s="19"/>
      <c r="C711" s="19"/>
      <c r="D711" s="31"/>
      <c r="E711" s="31"/>
      <c r="F711" s="31"/>
      <c r="G711" s="31"/>
      <c r="H711" s="31"/>
      <c r="I711" s="31"/>
      <c r="J711" s="31"/>
      <c r="K711" s="19"/>
      <c r="L711" s="19"/>
      <c r="M711" s="19"/>
      <c r="N711" s="31"/>
      <c r="O711" s="31"/>
      <c r="P711" s="19"/>
      <c r="Q711" s="19"/>
    </row>
    <row r="712" spans="1:17" ht="46.5" customHeight="1" x14ac:dyDescent="0.7">
      <c r="A712" s="19"/>
      <c r="B712" s="19"/>
      <c r="C712" s="19"/>
      <c r="D712" s="31"/>
      <c r="E712" s="31"/>
      <c r="F712" s="31"/>
      <c r="G712" s="31"/>
      <c r="H712" s="31"/>
      <c r="I712" s="31"/>
      <c r="J712" s="31"/>
      <c r="K712" s="19"/>
      <c r="L712" s="19"/>
      <c r="M712" s="19"/>
      <c r="N712" s="31"/>
      <c r="O712" s="31"/>
      <c r="P712" s="19"/>
      <c r="Q712" s="19"/>
    </row>
    <row r="713" spans="1:17" ht="46.5" customHeight="1" x14ac:dyDescent="0.7">
      <c r="A713" s="19"/>
      <c r="B713" s="19"/>
      <c r="C713" s="19"/>
      <c r="D713" s="31"/>
      <c r="E713" s="31"/>
      <c r="F713" s="31"/>
      <c r="G713" s="31"/>
      <c r="H713" s="31"/>
      <c r="I713" s="31"/>
      <c r="J713" s="31"/>
      <c r="K713" s="19"/>
      <c r="L713" s="19"/>
      <c r="M713" s="19"/>
      <c r="N713" s="31"/>
      <c r="O713" s="31"/>
      <c r="P713" s="19"/>
      <c r="Q713" s="19"/>
    </row>
    <row r="714" spans="1:17" ht="46.5" customHeight="1" x14ac:dyDescent="0.7">
      <c r="A714" s="19"/>
      <c r="B714" s="19"/>
      <c r="C714" s="19"/>
      <c r="D714" s="31"/>
      <c r="E714" s="31"/>
      <c r="F714" s="31"/>
      <c r="G714" s="31"/>
      <c r="H714" s="31"/>
      <c r="I714" s="31"/>
      <c r="J714" s="31"/>
      <c r="K714" s="19"/>
      <c r="L714" s="19"/>
      <c r="M714" s="19"/>
      <c r="N714" s="31"/>
      <c r="O714" s="31"/>
      <c r="P714" s="19"/>
      <c r="Q714" s="19"/>
    </row>
    <row r="715" spans="1:17" ht="46.5" customHeight="1" x14ac:dyDescent="0.7">
      <c r="A715" s="19"/>
      <c r="B715" s="19"/>
      <c r="C715" s="19"/>
      <c r="D715" s="31"/>
      <c r="E715" s="31"/>
      <c r="F715" s="31"/>
      <c r="G715" s="31"/>
      <c r="H715" s="31"/>
      <c r="I715" s="31"/>
      <c r="J715" s="31"/>
      <c r="K715" s="19"/>
      <c r="L715" s="19"/>
      <c r="M715" s="19"/>
      <c r="N715" s="31"/>
      <c r="O715" s="31"/>
      <c r="P715" s="19"/>
      <c r="Q715" s="19"/>
    </row>
    <row r="716" spans="1:17" ht="46.5" customHeight="1" x14ac:dyDescent="0.7">
      <c r="A716" s="19"/>
      <c r="B716" s="19"/>
      <c r="C716" s="19"/>
      <c r="D716" s="31"/>
      <c r="E716" s="31"/>
      <c r="F716" s="31"/>
      <c r="G716" s="31"/>
      <c r="H716" s="31"/>
      <c r="I716" s="31"/>
      <c r="J716" s="31"/>
      <c r="K716" s="19"/>
      <c r="L716" s="19"/>
      <c r="M716" s="19"/>
      <c r="N716" s="31"/>
      <c r="O716" s="31"/>
      <c r="P716" s="19"/>
      <c r="Q716" s="19"/>
    </row>
    <row r="717" spans="1:17" ht="46.5" customHeight="1" x14ac:dyDescent="0.7">
      <c r="A717" s="19"/>
      <c r="B717" s="19"/>
      <c r="C717" s="19"/>
      <c r="D717" s="31"/>
      <c r="E717" s="31"/>
      <c r="F717" s="31"/>
      <c r="G717" s="31"/>
      <c r="H717" s="31"/>
      <c r="I717" s="31"/>
      <c r="J717" s="31"/>
      <c r="K717" s="19"/>
      <c r="L717" s="19"/>
      <c r="M717" s="19"/>
      <c r="N717" s="31"/>
      <c r="O717" s="31"/>
      <c r="P717" s="19"/>
      <c r="Q717" s="19"/>
    </row>
    <row r="718" spans="1:17" ht="46.5" customHeight="1" x14ac:dyDescent="0.7">
      <c r="A718" s="19"/>
      <c r="B718" s="19"/>
      <c r="C718" s="19"/>
      <c r="D718" s="31"/>
      <c r="E718" s="31"/>
      <c r="F718" s="31"/>
      <c r="G718" s="31"/>
      <c r="H718" s="31"/>
      <c r="I718" s="31"/>
      <c r="J718" s="31"/>
      <c r="K718" s="19"/>
      <c r="L718" s="19"/>
      <c r="M718" s="19"/>
      <c r="N718" s="31"/>
      <c r="O718" s="31"/>
      <c r="P718" s="19"/>
      <c r="Q718" s="19"/>
    </row>
    <row r="719" spans="1:17" ht="46.5" customHeight="1" x14ac:dyDescent="0.7">
      <c r="A719" s="19"/>
      <c r="B719" s="19"/>
      <c r="C719" s="19"/>
      <c r="D719" s="31"/>
      <c r="E719" s="31"/>
      <c r="F719" s="31"/>
      <c r="G719" s="31"/>
      <c r="H719" s="31"/>
      <c r="I719" s="31"/>
      <c r="J719" s="31"/>
      <c r="K719" s="19"/>
      <c r="L719" s="19"/>
      <c r="M719" s="19"/>
      <c r="N719" s="31"/>
      <c r="O719" s="31"/>
      <c r="P719" s="19"/>
      <c r="Q719" s="19"/>
    </row>
    <row r="720" spans="1:17" ht="46.5" customHeight="1" x14ac:dyDescent="0.7">
      <c r="A720" s="19"/>
      <c r="B720" s="19"/>
      <c r="C720" s="19"/>
      <c r="D720" s="31"/>
      <c r="E720" s="31"/>
      <c r="F720" s="31"/>
      <c r="G720" s="31"/>
      <c r="H720" s="31"/>
      <c r="I720" s="31"/>
      <c r="J720" s="31"/>
      <c r="K720" s="19"/>
      <c r="L720" s="19"/>
      <c r="M720" s="19"/>
      <c r="N720" s="31"/>
      <c r="O720" s="31"/>
      <c r="P720" s="19"/>
      <c r="Q720" s="19"/>
    </row>
    <row r="721" spans="1:17" ht="46.5" customHeight="1" x14ac:dyDescent="0.7">
      <c r="A721" s="19"/>
      <c r="B721" s="19"/>
      <c r="C721" s="19"/>
      <c r="D721" s="31"/>
      <c r="E721" s="31"/>
      <c r="F721" s="31"/>
      <c r="G721" s="31"/>
      <c r="H721" s="31"/>
      <c r="I721" s="31"/>
      <c r="J721" s="31"/>
      <c r="K721" s="19"/>
      <c r="L721" s="19"/>
      <c r="M721" s="19"/>
      <c r="N721" s="31"/>
      <c r="O721" s="31"/>
      <c r="P721" s="19"/>
      <c r="Q721" s="19"/>
    </row>
    <row r="722" spans="1:17" ht="46.5" customHeight="1" x14ac:dyDescent="0.7">
      <c r="A722" s="19"/>
      <c r="B722" s="19"/>
      <c r="C722" s="19"/>
      <c r="D722" s="31"/>
      <c r="E722" s="31"/>
      <c r="F722" s="31"/>
      <c r="G722" s="31"/>
      <c r="H722" s="31"/>
      <c r="I722" s="31"/>
      <c r="J722" s="31"/>
      <c r="K722" s="19"/>
      <c r="L722" s="19"/>
      <c r="M722" s="19"/>
      <c r="N722" s="31"/>
      <c r="O722" s="31"/>
      <c r="P722" s="19"/>
      <c r="Q722" s="19"/>
    </row>
    <row r="723" spans="1:17" ht="46.5" customHeight="1" x14ac:dyDescent="0.7">
      <c r="A723" s="19"/>
      <c r="B723" s="19"/>
      <c r="C723" s="19"/>
      <c r="D723" s="31"/>
      <c r="E723" s="31"/>
      <c r="F723" s="31"/>
      <c r="G723" s="31"/>
      <c r="H723" s="31"/>
      <c r="I723" s="31"/>
      <c r="J723" s="31"/>
      <c r="K723" s="19"/>
      <c r="L723" s="19"/>
      <c r="M723" s="19"/>
      <c r="N723" s="31"/>
      <c r="O723" s="31"/>
      <c r="P723" s="19"/>
      <c r="Q723" s="19"/>
    </row>
    <row r="724" spans="1:17" ht="46.5" customHeight="1" x14ac:dyDescent="0.7">
      <c r="A724" s="19"/>
      <c r="B724" s="19"/>
      <c r="C724" s="19"/>
      <c r="D724" s="31"/>
      <c r="E724" s="31"/>
      <c r="F724" s="31"/>
      <c r="G724" s="31"/>
      <c r="H724" s="31"/>
      <c r="I724" s="31"/>
      <c r="J724" s="31"/>
      <c r="K724" s="19"/>
      <c r="L724" s="19"/>
      <c r="M724" s="19"/>
      <c r="N724" s="31"/>
      <c r="O724" s="31"/>
      <c r="P724" s="19"/>
      <c r="Q724" s="19"/>
    </row>
    <row r="725" spans="1:17" ht="46.5" customHeight="1" x14ac:dyDescent="0.7">
      <c r="A725" s="19"/>
      <c r="B725" s="19"/>
      <c r="C725" s="19"/>
      <c r="D725" s="31"/>
      <c r="E725" s="31"/>
      <c r="F725" s="31"/>
      <c r="G725" s="31"/>
      <c r="H725" s="31"/>
      <c r="I725" s="31"/>
      <c r="J725" s="31"/>
      <c r="K725" s="19"/>
      <c r="L725" s="19"/>
      <c r="M725" s="19"/>
      <c r="N725" s="31"/>
      <c r="O725" s="31"/>
      <c r="P725" s="19"/>
      <c r="Q725" s="19"/>
    </row>
    <row r="726" spans="1:17" ht="46.5" customHeight="1" x14ac:dyDescent="0.7">
      <c r="A726" s="19"/>
      <c r="B726" s="19"/>
      <c r="C726" s="19"/>
      <c r="D726" s="31"/>
      <c r="E726" s="31"/>
      <c r="F726" s="31"/>
      <c r="G726" s="31"/>
      <c r="H726" s="31"/>
      <c r="I726" s="31"/>
      <c r="J726" s="31"/>
      <c r="K726" s="19"/>
      <c r="L726" s="19"/>
      <c r="M726" s="19"/>
      <c r="N726" s="31"/>
      <c r="O726" s="31"/>
      <c r="P726" s="19"/>
      <c r="Q726" s="19"/>
    </row>
    <row r="727" spans="1:17" ht="46.5" customHeight="1" x14ac:dyDescent="0.7">
      <c r="A727" s="19"/>
      <c r="B727" s="19"/>
      <c r="C727" s="19"/>
      <c r="D727" s="31"/>
      <c r="E727" s="31"/>
      <c r="F727" s="31"/>
      <c r="G727" s="31"/>
      <c r="H727" s="31"/>
      <c r="I727" s="31"/>
      <c r="J727" s="31"/>
      <c r="K727" s="19"/>
      <c r="L727" s="19"/>
      <c r="M727" s="19"/>
      <c r="N727" s="31"/>
      <c r="O727" s="31"/>
      <c r="P727" s="19"/>
      <c r="Q727" s="19"/>
    </row>
    <row r="728" spans="1:17" ht="46.5" customHeight="1" x14ac:dyDescent="0.7">
      <c r="A728" s="19"/>
      <c r="B728" s="19"/>
      <c r="C728" s="19"/>
      <c r="D728" s="31"/>
      <c r="E728" s="31"/>
      <c r="F728" s="31"/>
      <c r="G728" s="31"/>
      <c r="H728" s="31"/>
      <c r="I728" s="31"/>
      <c r="J728" s="31"/>
      <c r="K728" s="19"/>
      <c r="L728" s="19"/>
      <c r="M728" s="19"/>
      <c r="N728" s="31"/>
      <c r="O728" s="31"/>
      <c r="P728" s="19"/>
      <c r="Q728" s="19"/>
    </row>
    <row r="729" spans="1:17" ht="46.5" customHeight="1" x14ac:dyDescent="0.7">
      <c r="A729" s="19"/>
      <c r="B729" s="19"/>
      <c r="C729" s="19"/>
      <c r="D729" s="31"/>
      <c r="E729" s="31"/>
      <c r="F729" s="31"/>
      <c r="G729" s="31"/>
      <c r="H729" s="31"/>
      <c r="I729" s="31"/>
      <c r="J729" s="31"/>
      <c r="K729" s="19"/>
      <c r="L729" s="19"/>
      <c r="M729" s="19"/>
      <c r="N729" s="31"/>
      <c r="O729" s="31"/>
      <c r="P729" s="19"/>
      <c r="Q729" s="19"/>
    </row>
    <row r="730" spans="1:17" ht="46.5" customHeight="1" x14ac:dyDescent="0.7">
      <c r="A730" s="19"/>
      <c r="B730" s="19"/>
      <c r="C730" s="19"/>
      <c r="D730" s="31"/>
      <c r="E730" s="31"/>
      <c r="F730" s="31"/>
      <c r="G730" s="31"/>
      <c r="H730" s="31"/>
      <c r="I730" s="31"/>
      <c r="J730" s="31"/>
      <c r="K730" s="19"/>
      <c r="L730" s="19"/>
      <c r="M730" s="19"/>
      <c r="N730" s="31"/>
      <c r="O730" s="31"/>
      <c r="P730" s="19"/>
      <c r="Q730" s="19"/>
    </row>
    <row r="731" spans="1:17" ht="46.5" customHeight="1" x14ac:dyDescent="0.7">
      <c r="A731" s="19"/>
      <c r="B731" s="19"/>
      <c r="C731" s="19"/>
      <c r="D731" s="31"/>
      <c r="E731" s="31"/>
      <c r="F731" s="31"/>
      <c r="G731" s="31"/>
      <c r="H731" s="31"/>
      <c r="I731" s="31"/>
      <c r="J731" s="31"/>
      <c r="K731" s="19"/>
      <c r="L731" s="19"/>
      <c r="M731" s="19"/>
      <c r="N731" s="31"/>
      <c r="O731" s="31"/>
      <c r="P731" s="19"/>
      <c r="Q731" s="19"/>
    </row>
    <row r="732" spans="1:17" ht="46.5" customHeight="1" x14ac:dyDescent="0.7">
      <c r="A732" s="19"/>
      <c r="B732" s="19"/>
      <c r="C732" s="19"/>
      <c r="D732" s="31"/>
      <c r="E732" s="31"/>
      <c r="F732" s="31"/>
      <c r="G732" s="31"/>
      <c r="H732" s="31"/>
      <c r="I732" s="31"/>
      <c r="J732" s="31"/>
      <c r="K732" s="19"/>
      <c r="L732" s="19"/>
      <c r="M732" s="19"/>
      <c r="N732" s="31"/>
      <c r="O732" s="31"/>
      <c r="P732" s="19"/>
      <c r="Q732" s="19"/>
    </row>
    <row r="733" spans="1:17" ht="46.5" customHeight="1" x14ac:dyDescent="0.7">
      <c r="A733" s="19"/>
      <c r="B733" s="19"/>
      <c r="C733" s="19"/>
      <c r="D733" s="31"/>
      <c r="E733" s="31"/>
      <c r="F733" s="31"/>
      <c r="G733" s="31"/>
      <c r="H733" s="31"/>
      <c r="I733" s="31"/>
      <c r="J733" s="31"/>
      <c r="K733" s="19"/>
      <c r="L733" s="19"/>
      <c r="M733" s="19"/>
      <c r="N733" s="31"/>
      <c r="O733" s="31"/>
      <c r="P733" s="19"/>
      <c r="Q733" s="19"/>
    </row>
    <row r="734" spans="1:17" ht="46.5" customHeight="1" x14ac:dyDescent="0.7">
      <c r="A734" s="19"/>
      <c r="B734" s="19"/>
      <c r="C734" s="19"/>
      <c r="D734" s="31"/>
      <c r="E734" s="31"/>
      <c r="F734" s="31"/>
      <c r="G734" s="31"/>
      <c r="H734" s="31"/>
      <c r="I734" s="31"/>
      <c r="J734" s="31"/>
      <c r="K734" s="19"/>
      <c r="L734" s="19"/>
      <c r="M734" s="19"/>
      <c r="N734" s="31"/>
      <c r="O734" s="31"/>
      <c r="P734" s="19"/>
      <c r="Q734" s="19"/>
    </row>
    <row r="735" spans="1:17" ht="46.5" customHeight="1" x14ac:dyDescent="0.7">
      <c r="A735" s="19"/>
      <c r="B735" s="19"/>
      <c r="C735" s="19"/>
      <c r="D735" s="31"/>
      <c r="E735" s="31"/>
      <c r="F735" s="31"/>
      <c r="G735" s="31"/>
      <c r="H735" s="31"/>
      <c r="I735" s="31"/>
      <c r="J735" s="31"/>
      <c r="K735" s="19"/>
      <c r="L735" s="19"/>
      <c r="M735" s="19"/>
      <c r="N735" s="31"/>
      <c r="O735" s="31"/>
      <c r="P735" s="19"/>
      <c r="Q735" s="19"/>
    </row>
    <row r="736" spans="1:17" ht="46.5" customHeight="1" x14ac:dyDescent="0.7">
      <c r="A736" s="19"/>
      <c r="B736" s="19"/>
      <c r="C736" s="19"/>
      <c r="D736" s="31"/>
      <c r="E736" s="31"/>
      <c r="F736" s="31"/>
      <c r="G736" s="31"/>
      <c r="H736" s="31"/>
      <c r="I736" s="31"/>
      <c r="J736" s="31"/>
      <c r="K736" s="19"/>
      <c r="L736" s="19"/>
      <c r="M736" s="19"/>
      <c r="N736" s="31"/>
      <c r="O736" s="31"/>
      <c r="P736" s="19"/>
      <c r="Q736" s="19"/>
    </row>
    <row r="737" spans="1:17" ht="46.5" customHeight="1" x14ac:dyDescent="0.7">
      <c r="A737" s="19"/>
      <c r="B737" s="19"/>
      <c r="C737" s="19"/>
      <c r="D737" s="31"/>
      <c r="E737" s="31"/>
      <c r="F737" s="31"/>
      <c r="G737" s="31"/>
      <c r="H737" s="31"/>
      <c r="I737" s="31"/>
      <c r="J737" s="31"/>
      <c r="K737" s="19"/>
      <c r="L737" s="19"/>
      <c r="M737" s="19"/>
      <c r="N737" s="31"/>
      <c r="O737" s="31"/>
      <c r="P737" s="19"/>
      <c r="Q737" s="19"/>
    </row>
    <row r="738" spans="1:17" ht="46.5" customHeight="1" x14ac:dyDescent="0.7">
      <c r="A738" s="19"/>
      <c r="B738" s="19"/>
      <c r="C738" s="19"/>
      <c r="D738" s="31"/>
      <c r="E738" s="31"/>
      <c r="F738" s="31"/>
      <c r="G738" s="31"/>
      <c r="H738" s="31"/>
      <c r="I738" s="31"/>
      <c r="J738" s="31"/>
      <c r="K738" s="19"/>
      <c r="L738" s="19"/>
      <c r="M738" s="19"/>
      <c r="N738" s="31"/>
      <c r="O738" s="31"/>
      <c r="P738" s="19"/>
      <c r="Q738" s="19"/>
    </row>
    <row r="739" spans="1:17" ht="46.5" customHeight="1" x14ac:dyDescent="0.7">
      <c r="A739" s="19"/>
      <c r="B739" s="19"/>
      <c r="C739" s="19"/>
      <c r="D739" s="31"/>
      <c r="E739" s="31"/>
      <c r="F739" s="31"/>
      <c r="G739" s="31"/>
      <c r="H739" s="31"/>
      <c r="I739" s="31"/>
      <c r="J739" s="31"/>
      <c r="K739" s="19"/>
      <c r="L739" s="19"/>
      <c r="M739" s="19"/>
      <c r="N739" s="31"/>
      <c r="O739" s="31"/>
      <c r="P739" s="19"/>
      <c r="Q739" s="19"/>
    </row>
    <row r="740" spans="1:17" ht="46.5" customHeight="1" x14ac:dyDescent="0.7">
      <c r="A740" s="19"/>
      <c r="B740" s="19"/>
      <c r="C740" s="19"/>
      <c r="D740" s="31"/>
      <c r="E740" s="31"/>
      <c r="F740" s="31"/>
      <c r="G740" s="31"/>
      <c r="H740" s="31"/>
      <c r="I740" s="31"/>
      <c r="J740" s="31"/>
      <c r="K740" s="19"/>
      <c r="L740" s="19"/>
      <c r="M740" s="19"/>
      <c r="N740" s="31"/>
      <c r="O740" s="31"/>
      <c r="P740" s="19"/>
      <c r="Q740" s="19"/>
    </row>
    <row r="741" spans="1:17" ht="46.5" customHeight="1" x14ac:dyDescent="0.7">
      <c r="A741" s="19"/>
      <c r="B741" s="19"/>
      <c r="C741" s="19"/>
      <c r="D741" s="31"/>
      <c r="E741" s="31"/>
      <c r="F741" s="31"/>
      <c r="G741" s="31"/>
      <c r="H741" s="31"/>
      <c r="I741" s="31"/>
      <c r="J741" s="31"/>
      <c r="K741" s="19"/>
      <c r="L741" s="19"/>
      <c r="M741" s="19"/>
      <c r="N741" s="31"/>
      <c r="O741" s="31"/>
      <c r="P741" s="19"/>
      <c r="Q741" s="19"/>
    </row>
    <row r="742" spans="1:17" ht="46.5" customHeight="1" x14ac:dyDescent="0.7">
      <c r="A742" s="19"/>
      <c r="B742" s="19"/>
      <c r="C742" s="19"/>
      <c r="D742" s="31"/>
      <c r="E742" s="31"/>
      <c r="F742" s="31"/>
      <c r="G742" s="31"/>
      <c r="H742" s="31"/>
      <c r="I742" s="31"/>
      <c r="J742" s="31"/>
      <c r="K742" s="19"/>
      <c r="L742" s="19"/>
      <c r="M742" s="19"/>
      <c r="N742" s="31"/>
      <c r="O742" s="31"/>
      <c r="P742" s="19"/>
      <c r="Q742" s="19"/>
    </row>
    <row r="743" spans="1:17" ht="46.5" customHeight="1" x14ac:dyDescent="0.7">
      <c r="A743" s="19"/>
      <c r="B743" s="19"/>
      <c r="C743" s="19"/>
      <c r="D743" s="31"/>
      <c r="E743" s="31"/>
      <c r="F743" s="31"/>
      <c r="G743" s="31"/>
      <c r="H743" s="31"/>
      <c r="I743" s="31"/>
      <c r="J743" s="31"/>
      <c r="K743" s="19"/>
      <c r="L743" s="19"/>
      <c r="M743" s="19"/>
      <c r="N743" s="31"/>
      <c r="O743" s="31"/>
      <c r="P743" s="19"/>
      <c r="Q743" s="19"/>
    </row>
    <row r="744" spans="1:17" ht="46.5" customHeight="1" x14ac:dyDescent="0.7">
      <c r="A744" s="19"/>
      <c r="B744" s="19"/>
      <c r="C744" s="19"/>
      <c r="D744" s="31"/>
      <c r="E744" s="31"/>
      <c r="F744" s="31"/>
      <c r="G744" s="31"/>
      <c r="H744" s="31"/>
      <c r="I744" s="31"/>
      <c r="J744" s="31"/>
      <c r="K744" s="19"/>
      <c r="L744" s="19"/>
      <c r="M744" s="19"/>
      <c r="N744" s="31"/>
      <c r="O744" s="31"/>
      <c r="P744" s="19"/>
      <c r="Q744" s="19"/>
    </row>
    <row r="745" spans="1:17" ht="46.5" customHeight="1" x14ac:dyDescent="0.7">
      <c r="A745" s="19"/>
      <c r="B745" s="19"/>
      <c r="C745" s="19"/>
      <c r="D745" s="31"/>
      <c r="E745" s="31"/>
      <c r="F745" s="31"/>
      <c r="G745" s="31"/>
      <c r="H745" s="31"/>
      <c r="I745" s="31"/>
      <c r="J745" s="31"/>
      <c r="K745" s="19"/>
      <c r="L745" s="19"/>
      <c r="M745" s="19"/>
      <c r="N745" s="31"/>
      <c r="O745" s="31"/>
      <c r="P745" s="19"/>
      <c r="Q745" s="19"/>
    </row>
    <row r="746" spans="1:17" ht="46.5" customHeight="1" x14ac:dyDescent="0.7">
      <c r="A746" s="19"/>
      <c r="B746" s="19"/>
      <c r="C746" s="19"/>
      <c r="D746" s="31"/>
      <c r="E746" s="31"/>
      <c r="F746" s="31"/>
      <c r="G746" s="31"/>
      <c r="H746" s="31"/>
      <c r="I746" s="31"/>
      <c r="J746" s="31"/>
      <c r="K746" s="19"/>
      <c r="L746" s="19"/>
      <c r="M746" s="19"/>
      <c r="N746" s="31"/>
      <c r="O746" s="31"/>
      <c r="P746" s="19"/>
      <c r="Q746" s="19"/>
    </row>
    <row r="747" spans="1:17" ht="46.5" customHeight="1" x14ac:dyDescent="0.7">
      <c r="A747" s="19"/>
      <c r="B747" s="19"/>
      <c r="C747" s="19"/>
      <c r="D747" s="31"/>
      <c r="E747" s="31"/>
      <c r="F747" s="31"/>
      <c r="G747" s="31"/>
      <c r="H747" s="31"/>
      <c r="I747" s="31"/>
      <c r="J747" s="31"/>
      <c r="K747" s="19"/>
      <c r="L747" s="19"/>
      <c r="M747" s="19"/>
      <c r="N747" s="31"/>
      <c r="O747" s="31"/>
      <c r="P747" s="19"/>
      <c r="Q747" s="19"/>
    </row>
    <row r="748" spans="1:17" ht="46.5" customHeight="1" x14ac:dyDescent="0.7">
      <c r="A748" s="19"/>
      <c r="B748" s="19"/>
      <c r="C748" s="19"/>
      <c r="D748" s="31"/>
      <c r="E748" s="31"/>
      <c r="F748" s="31"/>
      <c r="G748" s="31"/>
      <c r="H748" s="31"/>
      <c r="I748" s="31"/>
      <c r="J748" s="31"/>
      <c r="K748" s="19"/>
      <c r="L748" s="19"/>
      <c r="M748" s="19"/>
      <c r="N748" s="31"/>
      <c r="O748" s="31"/>
      <c r="P748" s="19"/>
      <c r="Q748" s="19"/>
    </row>
    <row r="749" spans="1:17" ht="46.5" customHeight="1" x14ac:dyDescent="0.7">
      <c r="A749" s="19"/>
      <c r="B749" s="19"/>
      <c r="C749" s="19"/>
      <c r="D749" s="31"/>
      <c r="E749" s="31"/>
      <c r="F749" s="31"/>
      <c r="G749" s="31"/>
      <c r="H749" s="31"/>
      <c r="I749" s="31"/>
      <c r="J749" s="31"/>
      <c r="K749" s="19"/>
      <c r="L749" s="19"/>
      <c r="M749" s="19"/>
      <c r="N749" s="31"/>
      <c r="O749" s="31"/>
      <c r="P749" s="19"/>
      <c r="Q749" s="19"/>
    </row>
    <row r="750" spans="1:17" ht="46.5" customHeight="1" x14ac:dyDescent="0.7">
      <c r="A750" s="19"/>
      <c r="B750" s="19"/>
      <c r="C750" s="19"/>
      <c r="D750" s="31"/>
      <c r="E750" s="31"/>
      <c r="F750" s="31"/>
      <c r="G750" s="31"/>
      <c r="H750" s="31"/>
      <c r="I750" s="31"/>
      <c r="J750" s="31"/>
      <c r="K750" s="19"/>
      <c r="L750" s="19"/>
      <c r="M750" s="19"/>
      <c r="N750" s="31"/>
      <c r="O750" s="31"/>
      <c r="P750" s="19"/>
      <c r="Q750" s="19"/>
    </row>
    <row r="751" spans="1:17" ht="46.5" customHeight="1" x14ac:dyDescent="0.7">
      <c r="A751" s="19"/>
      <c r="B751" s="19"/>
      <c r="C751" s="19"/>
      <c r="D751" s="31"/>
      <c r="E751" s="31"/>
      <c r="F751" s="31"/>
      <c r="G751" s="31"/>
      <c r="H751" s="31"/>
      <c r="I751" s="31"/>
      <c r="J751" s="31"/>
      <c r="K751" s="19"/>
      <c r="L751" s="19"/>
      <c r="M751" s="19"/>
      <c r="N751" s="31"/>
      <c r="O751" s="31"/>
      <c r="P751" s="19"/>
      <c r="Q751" s="19"/>
    </row>
    <row r="752" spans="1:17" ht="46.5" customHeight="1" x14ac:dyDescent="0.7">
      <c r="A752" s="19"/>
      <c r="B752" s="19"/>
      <c r="C752" s="19"/>
      <c r="D752" s="31"/>
      <c r="E752" s="31"/>
      <c r="F752" s="31"/>
      <c r="G752" s="31"/>
      <c r="H752" s="31"/>
      <c r="I752" s="31"/>
      <c r="J752" s="31"/>
      <c r="K752" s="19"/>
      <c r="L752" s="19"/>
      <c r="M752" s="19"/>
      <c r="N752" s="31"/>
      <c r="O752" s="31"/>
      <c r="P752" s="19"/>
      <c r="Q752" s="19"/>
    </row>
    <row r="753" spans="1:17" ht="46.5" customHeight="1" x14ac:dyDescent="0.7">
      <c r="A753" s="19"/>
      <c r="B753" s="19"/>
      <c r="C753" s="19"/>
      <c r="D753" s="31"/>
      <c r="E753" s="31"/>
      <c r="F753" s="31"/>
      <c r="G753" s="31"/>
      <c r="H753" s="31"/>
      <c r="I753" s="31"/>
      <c r="J753" s="31"/>
      <c r="K753" s="19"/>
      <c r="L753" s="19"/>
      <c r="M753" s="19"/>
      <c r="N753" s="31"/>
      <c r="O753" s="31"/>
      <c r="P753" s="19"/>
      <c r="Q753" s="19"/>
    </row>
    <row r="754" spans="1:17" ht="46.5" customHeight="1" x14ac:dyDescent="0.7">
      <c r="A754" s="19"/>
      <c r="B754" s="19"/>
      <c r="C754" s="19"/>
      <c r="D754" s="31"/>
      <c r="E754" s="31"/>
      <c r="F754" s="31"/>
      <c r="G754" s="31"/>
      <c r="H754" s="31"/>
      <c r="I754" s="31"/>
      <c r="J754" s="31"/>
      <c r="K754" s="19"/>
      <c r="L754" s="19"/>
      <c r="M754" s="19"/>
      <c r="N754" s="31"/>
      <c r="O754" s="31"/>
      <c r="P754" s="19"/>
      <c r="Q754" s="19"/>
    </row>
    <row r="755" spans="1:17" ht="46.5" customHeight="1" x14ac:dyDescent="0.7">
      <c r="A755" s="19"/>
      <c r="B755" s="19"/>
      <c r="C755" s="19"/>
      <c r="D755" s="31"/>
      <c r="E755" s="31"/>
      <c r="F755" s="31"/>
      <c r="G755" s="31"/>
      <c r="H755" s="31"/>
      <c r="I755" s="31"/>
      <c r="J755" s="31"/>
      <c r="K755" s="19"/>
      <c r="L755" s="19"/>
      <c r="M755" s="19"/>
      <c r="N755" s="31"/>
      <c r="O755" s="31"/>
      <c r="P755" s="19"/>
      <c r="Q755" s="19"/>
    </row>
    <row r="756" spans="1:17" ht="46.5" customHeight="1" x14ac:dyDescent="0.7">
      <c r="A756" s="19"/>
      <c r="B756" s="19"/>
      <c r="C756" s="19"/>
      <c r="D756" s="31"/>
      <c r="E756" s="31"/>
      <c r="F756" s="31"/>
      <c r="G756" s="31"/>
      <c r="H756" s="31"/>
      <c r="I756" s="31"/>
      <c r="J756" s="31"/>
      <c r="K756" s="19"/>
      <c r="L756" s="19"/>
      <c r="M756" s="19"/>
      <c r="N756" s="31"/>
      <c r="O756" s="31"/>
      <c r="P756" s="19"/>
      <c r="Q756" s="19"/>
    </row>
    <row r="757" spans="1:17" ht="46.5" customHeight="1" x14ac:dyDescent="0.7">
      <c r="A757" s="19"/>
      <c r="B757" s="19"/>
      <c r="C757" s="19"/>
      <c r="D757" s="31"/>
      <c r="E757" s="31"/>
      <c r="F757" s="31"/>
      <c r="G757" s="31"/>
      <c r="H757" s="31"/>
      <c r="I757" s="31"/>
      <c r="J757" s="31"/>
      <c r="K757" s="19"/>
      <c r="L757" s="19"/>
      <c r="M757" s="19"/>
      <c r="N757" s="31"/>
      <c r="O757" s="31"/>
      <c r="P757" s="19"/>
      <c r="Q757" s="19"/>
    </row>
    <row r="758" spans="1:17" ht="46.5" customHeight="1" x14ac:dyDescent="0.7">
      <c r="A758" s="19"/>
      <c r="B758" s="19"/>
      <c r="C758" s="19"/>
      <c r="D758" s="31"/>
      <c r="E758" s="31"/>
      <c r="F758" s="31"/>
      <c r="G758" s="31"/>
      <c r="H758" s="31"/>
      <c r="I758" s="31"/>
      <c r="J758" s="31"/>
      <c r="K758" s="19"/>
      <c r="L758" s="19"/>
      <c r="M758" s="19"/>
      <c r="N758" s="31"/>
      <c r="O758" s="31"/>
      <c r="P758" s="19"/>
      <c r="Q758" s="19"/>
    </row>
    <row r="759" spans="1:17" ht="46.5" customHeight="1" x14ac:dyDescent="0.7">
      <c r="A759" s="19"/>
      <c r="B759" s="19"/>
      <c r="C759" s="19"/>
      <c r="D759" s="31"/>
      <c r="E759" s="31"/>
      <c r="F759" s="31"/>
      <c r="G759" s="31"/>
      <c r="H759" s="31"/>
      <c r="I759" s="31"/>
      <c r="J759" s="31"/>
      <c r="K759" s="19"/>
      <c r="L759" s="19"/>
      <c r="M759" s="19"/>
      <c r="N759" s="31"/>
      <c r="O759" s="31"/>
      <c r="P759" s="19"/>
      <c r="Q759" s="19"/>
    </row>
    <row r="760" spans="1:17" ht="46.5" customHeight="1" x14ac:dyDescent="0.7">
      <c r="A760" s="19"/>
      <c r="B760" s="19"/>
      <c r="C760" s="19"/>
      <c r="D760" s="31"/>
      <c r="E760" s="31"/>
      <c r="F760" s="31"/>
      <c r="G760" s="31"/>
      <c r="H760" s="31"/>
      <c r="I760" s="31"/>
      <c r="J760" s="31"/>
      <c r="K760" s="19"/>
      <c r="L760" s="19"/>
      <c r="M760" s="19"/>
      <c r="N760" s="31"/>
      <c r="O760" s="31"/>
      <c r="P760" s="19"/>
      <c r="Q760" s="19"/>
    </row>
    <row r="761" spans="1:17" ht="46.5" customHeight="1" x14ac:dyDescent="0.7">
      <c r="A761" s="19"/>
      <c r="B761" s="19"/>
      <c r="C761" s="19"/>
      <c r="D761" s="31"/>
      <c r="E761" s="31"/>
      <c r="F761" s="31"/>
      <c r="G761" s="31"/>
      <c r="H761" s="31"/>
      <c r="I761" s="31"/>
      <c r="J761" s="31"/>
      <c r="K761" s="19"/>
      <c r="L761" s="19"/>
      <c r="M761" s="19"/>
      <c r="N761" s="31"/>
      <c r="O761" s="31"/>
      <c r="P761" s="19"/>
      <c r="Q761" s="19"/>
    </row>
    <row r="762" spans="1:17" ht="46.5" customHeight="1" x14ac:dyDescent="0.7">
      <c r="A762" s="19"/>
      <c r="B762" s="19"/>
      <c r="C762" s="19"/>
      <c r="D762" s="31"/>
      <c r="E762" s="31"/>
      <c r="F762" s="31"/>
      <c r="G762" s="31"/>
      <c r="H762" s="31"/>
      <c r="I762" s="31"/>
      <c r="J762" s="31"/>
      <c r="K762" s="19"/>
      <c r="L762" s="19"/>
      <c r="M762" s="19"/>
      <c r="N762" s="31"/>
      <c r="O762" s="31"/>
      <c r="P762" s="19"/>
      <c r="Q762" s="19"/>
    </row>
    <row r="763" spans="1:17" ht="46.5" customHeight="1" x14ac:dyDescent="0.7">
      <c r="A763" s="19"/>
      <c r="B763" s="19"/>
      <c r="C763" s="19"/>
      <c r="D763" s="31"/>
      <c r="E763" s="31"/>
      <c r="F763" s="31"/>
      <c r="G763" s="31"/>
      <c r="H763" s="31"/>
      <c r="I763" s="31"/>
      <c r="J763" s="31"/>
      <c r="K763" s="19"/>
      <c r="L763" s="19"/>
      <c r="M763" s="19"/>
      <c r="N763" s="31"/>
      <c r="O763" s="31"/>
      <c r="P763" s="19"/>
      <c r="Q763" s="19"/>
    </row>
    <row r="764" spans="1:17" ht="46.5" customHeight="1" x14ac:dyDescent="0.7">
      <c r="A764" s="19"/>
      <c r="B764" s="19"/>
      <c r="C764" s="19"/>
      <c r="D764" s="31"/>
      <c r="E764" s="31"/>
      <c r="F764" s="31"/>
      <c r="G764" s="31"/>
      <c r="H764" s="31"/>
      <c r="I764" s="31"/>
      <c r="J764" s="31"/>
      <c r="K764" s="19"/>
      <c r="L764" s="19"/>
      <c r="M764" s="19"/>
      <c r="N764" s="31"/>
      <c r="O764" s="31"/>
      <c r="P764" s="19"/>
      <c r="Q764" s="19"/>
    </row>
    <row r="765" spans="1:17" ht="46.5" customHeight="1" x14ac:dyDescent="0.7">
      <c r="A765" s="19"/>
      <c r="B765" s="19"/>
      <c r="C765" s="19"/>
      <c r="D765" s="31"/>
      <c r="E765" s="31"/>
      <c r="F765" s="31"/>
      <c r="G765" s="31"/>
      <c r="H765" s="31"/>
      <c r="I765" s="31"/>
      <c r="J765" s="31"/>
      <c r="K765" s="19"/>
      <c r="L765" s="19"/>
      <c r="M765" s="19"/>
      <c r="N765" s="31"/>
      <c r="O765" s="31"/>
      <c r="P765" s="19"/>
      <c r="Q765" s="19"/>
    </row>
    <row r="766" spans="1:17" ht="46.5" customHeight="1" x14ac:dyDescent="0.7">
      <c r="A766" s="19"/>
      <c r="B766" s="19"/>
      <c r="C766" s="19"/>
      <c r="D766" s="31"/>
      <c r="E766" s="31"/>
      <c r="F766" s="31"/>
      <c r="G766" s="31"/>
      <c r="H766" s="31"/>
      <c r="I766" s="31"/>
      <c r="J766" s="31"/>
      <c r="K766" s="19"/>
      <c r="L766" s="19"/>
      <c r="M766" s="19"/>
      <c r="N766" s="31"/>
      <c r="O766" s="31"/>
      <c r="P766" s="19"/>
      <c r="Q766" s="19"/>
    </row>
    <row r="767" spans="1:17" ht="46.5" customHeight="1" x14ac:dyDescent="0.7">
      <c r="A767" s="19"/>
      <c r="B767" s="19"/>
      <c r="C767" s="19"/>
      <c r="D767" s="31"/>
      <c r="E767" s="31"/>
      <c r="F767" s="31"/>
      <c r="G767" s="31"/>
      <c r="H767" s="31"/>
      <c r="I767" s="31"/>
      <c r="J767" s="31"/>
      <c r="K767" s="19"/>
      <c r="L767" s="19"/>
      <c r="M767" s="19"/>
      <c r="N767" s="31"/>
      <c r="O767" s="31"/>
      <c r="P767" s="19"/>
      <c r="Q767" s="19"/>
    </row>
    <row r="768" spans="1:17" ht="46.5" customHeight="1" x14ac:dyDescent="0.7">
      <c r="A768" s="19"/>
      <c r="B768" s="19"/>
      <c r="C768" s="19"/>
      <c r="D768" s="31"/>
      <c r="E768" s="31"/>
      <c r="F768" s="31"/>
      <c r="G768" s="31"/>
      <c r="H768" s="31"/>
      <c r="I768" s="31"/>
      <c r="J768" s="31"/>
      <c r="K768" s="19"/>
      <c r="L768" s="19"/>
      <c r="M768" s="19"/>
      <c r="N768" s="31"/>
      <c r="O768" s="31"/>
      <c r="P768" s="19"/>
      <c r="Q768" s="19"/>
    </row>
    <row r="769" spans="1:17" ht="46.5" customHeight="1" x14ac:dyDescent="0.7">
      <c r="A769" s="19"/>
      <c r="B769" s="19"/>
      <c r="C769" s="19"/>
      <c r="D769" s="31"/>
      <c r="E769" s="31"/>
      <c r="F769" s="31"/>
      <c r="G769" s="31"/>
      <c r="H769" s="31"/>
      <c r="I769" s="31"/>
      <c r="J769" s="31"/>
      <c r="K769" s="19"/>
      <c r="L769" s="19"/>
      <c r="M769" s="19"/>
      <c r="N769" s="31"/>
      <c r="O769" s="31"/>
      <c r="P769" s="19"/>
      <c r="Q769" s="19"/>
    </row>
    <row r="770" spans="1:17" ht="46.5" customHeight="1" x14ac:dyDescent="0.7">
      <c r="A770" s="19"/>
      <c r="B770" s="19"/>
      <c r="C770" s="19"/>
      <c r="D770" s="31"/>
      <c r="E770" s="31"/>
      <c r="F770" s="31"/>
      <c r="G770" s="31"/>
      <c r="H770" s="31"/>
      <c r="I770" s="31"/>
      <c r="J770" s="31"/>
      <c r="K770" s="19"/>
      <c r="L770" s="19"/>
      <c r="M770" s="19"/>
      <c r="N770" s="31"/>
      <c r="O770" s="31"/>
      <c r="P770" s="19"/>
      <c r="Q770" s="19"/>
    </row>
    <row r="771" spans="1:17" ht="46.5" customHeight="1" x14ac:dyDescent="0.7">
      <c r="A771" s="19"/>
      <c r="B771" s="19"/>
      <c r="C771" s="19"/>
      <c r="D771" s="31"/>
      <c r="E771" s="31"/>
      <c r="F771" s="31"/>
      <c r="G771" s="31"/>
      <c r="H771" s="31"/>
      <c r="I771" s="31"/>
      <c r="J771" s="31"/>
      <c r="K771" s="19"/>
      <c r="L771" s="19"/>
      <c r="M771" s="19"/>
      <c r="N771" s="31"/>
      <c r="O771" s="31"/>
      <c r="P771" s="19"/>
      <c r="Q771" s="19"/>
    </row>
    <row r="772" spans="1:17" ht="46.5" customHeight="1" x14ac:dyDescent="0.7">
      <c r="A772" s="19"/>
      <c r="B772" s="19"/>
      <c r="C772" s="19"/>
      <c r="D772" s="31"/>
      <c r="E772" s="31"/>
      <c r="F772" s="31"/>
      <c r="G772" s="31"/>
      <c r="H772" s="31"/>
      <c r="I772" s="31"/>
      <c r="J772" s="31"/>
      <c r="K772" s="19"/>
      <c r="L772" s="19"/>
      <c r="M772" s="19"/>
      <c r="N772" s="31"/>
      <c r="O772" s="31"/>
      <c r="P772" s="19"/>
      <c r="Q772" s="19"/>
    </row>
    <row r="773" spans="1:17" ht="46.5" customHeight="1" x14ac:dyDescent="0.7">
      <c r="A773" s="19"/>
      <c r="B773" s="19"/>
      <c r="C773" s="19"/>
      <c r="D773" s="31"/>
      <c r="E773" s="31"/>
      <c r="F773" s="31"/>
      <c r="G773" s="31"/>
      <c r="H773" s="31"/>
      <c r="I773" s="31"/>
      <c r="J773" s="31"/>
      <c r="K773" s="19"/>
      <c r="L773" s="19"/>
      <c r="M773" s="19"/>
      <c r="N773" s="31"/>
      <c r="O773" s="31"/>
      <c r="P773" s="19"/>
      <c r="Q773" s="19"/>
    </row>
    <row r="774" spans="1:17" ht="46.5" customHeight="1" x14ac:dyDescent="0.7">
      <c r="A774" s="19"/>
      <c r="B774" s="19"/>
      <c r="C774" s="19"/>
      <c r="D774" s="31"/>
      <c r="E774" s="31"/>
      <c r="F774" s="31"/>
      <c r="G774" s="31"/>
      <c r="H774" s="31"/>
      <c r="I774" s="31"/>
      <c r="J774" s="31"/>
      <c r="K774" s="19"/>
      <c r="L774" s="19"/>
      <c r="M774" s="19"/>
      <c r="N774" s="31"/>
      <c r="O774" s="31"/>
      <c r="P774" s="19"/>
      <c r="Q774" s="19"/>
    </row>
    <row r="775" spans="1:17" ht="46.5" customHeight="1" x14ac:dyDescent="0.7">
      <c r="A775" s="19"/>
      <c r="B775" s="19"/>
      <c r="C775" s="19"/>
      <c r="D775" s="31"/>
      <c r="E775" s="31"/>
      <c r="F775" s="31"/>
      <c r="G775" s="31"/>
      <c r="H775" s="31"/>
      <c r="I775" s="31"/>
      <c r="J775" s="31"/>
      <c r="K775" s="19"/>
      <c r="L775" s="19"/>
      <c r="M775" s="19"/>
      <c r="N775" s="31"/>
      <c r="O775" s="31"/>
      <c r="P775" s="19"/>
      <c r="Q775" s="19"/>
    </row>
    <row r="776" spans="1:17" ht="46.5" customHeight="1" x14ac:dyDescent="0.7">
      <c r="A776" s="19"/>
      <c r="B776" s="19"/>
      <c r="C776" s="19"/>
      <c r="D776" s="31"/>
      <c r="E776" s="31"/>
      <c r="F776" s="31"/>
      <c r="G776" s="31"/>
      <c r="H776" s="31"/>
      <c r="I776" s="31"/>
      <c r="J776" s="31"/>
      <c r="K776" s="19"/>
      <c r="L776" s="19"/>
      <c r="M776" s="19"/>
      <c r="N776" s="31"/>
      <c r="O776" s="31"/>
      <c r="P776" s="19"/>
      <c r="Q776" s="19"/>
    </row>
    <row r="777" spans="1:17" ht="46.5" customHeight="1" x14ac:dyDescent="0.7">
      <c r="A777" s="19"/>
      <c r="B777" s="19"/>
      <c r="C777" s="19"/>
      <c r="D777" s="31"/>
      <c r="E777" s="31"/>
      <c r="F777" s="31"/>
      <c r="G777" s="31"/>
      <c r="H777" s="31"/>
      <c r="I777" s="31"/>
      <c r="J777" s="31"/>
      <c r="K777" s="19"/>
      <c r="L777" s="19"/>
      <c r="M777" s="19"/>
      <c r="N777" s="31"/>
      <c r="O777" s="31"/>
      <c r="P777" s="19"/>
      <c r="Q777" s="19"/>
    </row>
    <row r="778" spans="1:17" ht="46.5" customHeight="1" x14ac:dyDescent="0.7">
      <c r="A778" s="19"/>
      <c r="B778" s="19"/>
      <c r="C778" s="19"/>
      <c r="D778" s="31"/>
      <c r="E778" s="31"/>
      <c r="F778" s="31"/>
      <c r="G778" s="31"/>
      <c r="H778" s="31"/>
      <c r="I778" s="31"/>
      <c r="J778" s="31"/>
      <c r="K778" s="19"/>
      <c r="L778" s="19"/>
      <c r="M778" s="19"/>
      <c r="N778" s="31"/>
      <c r="O778" s="31"/>
      <c r="P778" s="19"/>
      <c r="Q778" s="19"/>
    </row>
    <row r="779" spans="1:17" ht="46.5" customHeight="1" x14ac:dyDescent="0.7">
      <c r="A779" s="19"/>
      <c r="B779" s="19"/>
      <c r="C779" s="19"/>
      <c r="D779" s="31"/>
      <c r="E779" s="31"/>
      <c r="F779" s="31"/>
      <c r="G779" s="31"/>
      <c r="H779" s="31"/>
      <c r="I779" s="31"/>
      <c r="J779" s="31"/>
      <c r="K779" s="19"/>
      <c r="L779" s="19"/>
      <c r="M779" s="19"/>
      <c r="N779" s="31"/>
      <c r="O779" s="31"/>
      <c r="P779" s="19"/>
      <c r="Q779" s="19"/>
    </row>
    <row r="780" spans="1:17" ht="46.5" customHeight="1" x14ac:dyDescent="0.7">
      <c r="A780" s="19"/>
      <c r="B780" s="19"/>
      <c r="C780" s="19"/>
      <c r="D780" s="31"/>
      <c r="E780" s="31"/>
      <c r="F780" s="31"/>
      <c r="G780" s="31"/>
      <c r="H780" s="31"/>
      <c r="I780" s="31"/>
      <c r="J780" s="31"/>
      <c r="K780" s="19"/>
      <c r="L780" s="19"/>
      <c r="M780" s="19"/>
      <c r="N780" s="31"/>
      <c r="O780" s="31"/>
      <c r="P780" s="19"/>
      <c r="Q780" s="19"/>
    </row>
    <row r="781" spans="1:17" ht="46.5" customHeight="1" x14ac:dyDescent="0.7">
      <c r="A781" s="19"/>
      <c r="B781" s="19"/>
      <c r="C781" s="19"/>
      <c r="D781" s="31"/>
      <c r="E781" s="31"/>
      <c r="F781" s="31"/>
      <c r="G781" s="31"/>
      <c r="H781" s="31"/>
      <c r="I781" s="31"/>
      <c r="J781" s="31"/>
      <c r="K781" s="19"/>
      <c r="L781" s="19"/>
      <c r="M781" s="19"/>
      <c r="N781" s="31"/>
      <c r="O781" s="31"/>
      <c r="P781" s="19"/>
      <c r="Q781" s="19"/>
    </row>
    <row r="782" spans="1:17" ht="46.5" customHeight="1" x14ac:dyDescent="0.7">
      <c r="A782" s="19"/>
      <c r="B782" s="19"/>
      <c r="C782" s="19"/>
      <c r="D782" s="31"/>
      <c r="E782" s="31"/>
      <c r="F782" s="31"/>
      <c r="G782" s="31"/>
      <c r="H782" s="31"/>
      <c r="I782" s="31"/>
      <c r="J782" s="31"/>
      <c r="K782" s="19"/>
      <c r="L782" s="19"/>
      <c r="M782" s="19"/>
      <c r="N782" s="31"/>
      <c r="O782" s="31"/>
      <c r="P782" s="19"/>
      <c r="Q782" s="19"/>
    </row>
    <row r="783" spans="1:17" ht="46.5" customHeight="1" x14ac:dyDescent="0.7">
      <c r="A783" s="19"/>
      <c r="B783" s="19"/>
      <c r="C783" s="19"/>
      <c r="D783" s="31"/>
      <c r="E783" s="31"/>
      <c r="F783" s="31"/>
      <c r="G783" s="31"/>
      <c r="H783" s="31"/>
      <c r="I783" s="31"/>
      <c r="J783" s="31"/>
      <c r="K783" s="19"/>
      <c r="L783" s="19"/>
      <c r="M783" s="19"/>
      <c r="N783" s="31"/>
      <c r="O783" s="31"/>
      <c r="P783" s="19"/>
      <c r="Q783" s="19"/>
    </row>
    <row r="784" spans="1:17" ht="46.5" customHeight="1" x14ac:dyDescent="0.7">
      <c r="A784" s="19"/>
      <c r="B784" s="19"/>
      <c r="C784" s="19"/>
      <c r="D784" s="31"/>
      <c r="E784" s="31"/>
      <c r="F784" s="31"/>
      <c r="G784" s="31"/>
      <c r="H784" s="31"/>
      <c r="I784" s="31"/>
      <c r="J784" s="31"/>
      <c r="K784" s="19"/>
      <c r="L784" s="19"/>
      <c r="M784" s="19"/>
      <c r="N784" s="31"/>
      <c r="O784" s="31"/>
      <c r="P784" s="19"/>
      <c r="Q784" s="19"/>
    </row>
    <row r="785" spans="1:17" ht="46.5" customHeight="1" x14ac:dyDescent="0.7">
      <c r="A785" s="19"/>
      <c r="B785" s="19"/>
      <c r="C785" s="19"/>
      <c r="D785" s="31"/>
      <c r="E785" s="31"/>
      <c r="F785" s="31"/>
      <c r="G785" s="31"/>
      <c r="H785" s="31"/>
      <c r="I785" s="31"/>
      <c r="J785" s="31"/>
      <c r="K785" s="19"/>
      <c r="L785" s="19"/>
      <c r="M785" s="19"/>
      <c r="N785" s="31"/>
      <c r="O785" s="31"/>
      <c r="P785" s="19"/>
      <c r="Q785" s="19"/>
    </row>
    <row r="786" spans="1:17" ht="46.5" customHeight="1" x14ac:dyDescent="0.7">
      <c r="A786" s="19"/>
      <c r="B786" s="19"/>
      <c r="C786" s="19"/>
      <c r="D786" s="31"/>
      <c r="E786" s="31"/>
      <c r="F786" s="31"/>
      <c r="G786" s="31"/>
      <c r="H786" s="31"/>
      <c r="I786" s="31"/>
      <c r="J786" s="31"/>
      <c r="K786" s="19"/>
      <c r="L786" s="19"/>
      <c r="M786" s="19"/>
      <c r="N786" s="31"/>
      <c r="O786" s="31"/>
      <c r="P786" s="19"/>
      <c r="Q786" s="19"/>
    </row>
    <row r="787" spans="1:17" ht="46.5" customHeight="1" x14ac:dyDescent="0.7">
      <c r="A787" s="19"/>
      <c r="B787" s="19"/>
      <c r="C787" s="19"/>
      <c r="D787" s="31"/>
      <c r="E787" s="31"/>
      <c r="F787" s="31"/>
      <c r="G787" s="31"/>
      <c r="H787" s="31"/>
      <c r="I787" s="31"/>
      <c r="J787" s="31"/>
      <c r="K787" s="19"/>
      <c r="L787" s="19"/>
      <c r="M787" s="19"/>
      <c r="N787" s="31"/>
      <c r="O787" s="31"/>
      <c r="P787" s="19"/>
      <c r="Q787" s="19"/>
    </row>
    <row r="788" spans="1:17" ht="46.5" customHeight="1" x14ac:dyDescent="0.7">
      <c r="A788" s="19"/>
      <c r="B788" s="19"/>
      <c r="C788" s="19"/>
      <c r="D788" s="31"/>
      <c r="E788" s="31"/>
      <c r="F788" s="31"/>
      <c r="G788" s="31"/>
      <c r="H788" s="31"/>
      <c r="I788" s="31"/>
      <c r="J788" s="31"/>
      <c r="K788" s="19"/>
      <c r="L788" s="19"/>
      <c r="M788" s="19"/>
      <c r="N788" s="31"/>
      <c r="O788" s="31"/>
      <c r="P788" s="19"/>
      <c r="Q788" s="19"/>
    </row>
    <row r="789" spans="1:17" ht="46.5" customHeight="1" x14ac:dyDescent="0.7">
      <c r="A789" s="19"/>
      <c r="B789" s="19"/>
      <c r="C789" s="19"/>
      <c r="D789" s="31"/>
      <c r="E789" s="31"/>
      <c r="F789" s="31"/>
      <c r="G789" s="31"/>
      <c r="H789" s="31"/>
      <c r="I789" s="31"/>
      <c r="J789" s="31"/>
      <c r="K789" s="19"/>
      <c r="L789" s="19"/>
      <c r="M789" s="19"/>
      <c r="N789" s="31"/>
      <c r="O789" s="31"/>
      <c r="P789" s="19"/>
      <c r="Q789" s="19"/>
    </row>
    <row r="790" spans="1:17" ht="46.5" customHeight="1" x14ac:dyDescent="0.7">
      <c r="A790" s="19"/>
      <c r="B790" s="19"/>
      <c r="C790" s="19"/>
      <c r="D790" s="31"/>
      <c r="E790" s="31"/>
      <c r="F790" s="31"/>
      <c r="G790" s="31"/>
      <c r="H790" s="31"/>
      <c r="I790" s="31"/>
      <c r="J790" s="31"/>
      <c r="K790" s="19"/>
      <c r="L790" s="19"/>
      <c r="M790" s="19"/>
      <c r="N790" s="31"/>
      <c r="O790" s="31"/>
      <c r="P790" s="19"/>
      <c r="Q790" s="19"/>
    </row>
    <row r="791" spans="1:17" ht="46.5" customHeight="1" x14ac:dyDescent="0.7">
      <c r="A791" s="19"/>
      <c r="B791" s="19"/>
      <c r="C791" s="19"/>
      <c r="D791" s="31"/>
      <c r="E791" s="31"/>
      <c r="F791" s="31"/>
      <c r="G791" s="31"/>
      <c r="H791" s="31"/>
      <c r="I791" s="31"/>
      <c r="J791" s="31"/>
      <c r="K791" s="19"/>
      <c r="L791" s="19"/>
      <c r="M791" s="19"/>
      <c r="N791" s="31"/>
      <c r="O791" s="31"/>
      <c r="P791" s="19"/>
      <c r="Q791" s="19"/>
    </row>
    <row r="792" spans="1:17" ht="46.5" customHeight="1" x14ac:dyDescent="0.7">
      <c r="A792" s="19"/>
      <c r="B792" s="19"/>
      <c r="C792" s="19"/>
      <c r="D792" s="31"/>
      <c r="E792" s="31"/>
      <c r="F792" s="31"/>
      <c r="G792" s="31"/>
      <c r="H792" s="31"/>
      <c r="I792" s="31"/>
      <c r="J792" s="31"/>
      <c r="K792" s="19"/>
      <c r="L792" s="19"/>
      <c r="M792" s="19"/>
      <c r="N792" s="31"/>
      <c r="O792" s="31"/>
      <c r="P792" s="19"/>
      <c r="Q792" s="19"/>
    </row>
    <row r="793" spans="1:17" ht="46.5" customHeight="1" x14ac:dyDescent="0.7">
      <c r="A793" s="19"/>
      <c r="B793" s="19"/>
      <c r="C793" s="19"/>
      <c r="D793" s="31"/>
      <c r="E793" s="31"/>
      <c r="F793" s="31"/>
      <c r="G793" s="31"/>
      <c r="H793" s="31"/>
      <c r="I793" s="31"/>
      <c r="J793" s="31"/>
      <c r="K793" s="19"/>
      <c r="L793" s="19"/>
      <c r="M793" s="19"/>
      <c r="N793" s="31"/>
      <c r="O793" s="31"/>
      <c r="P793" s="19"/>
      <c r="Q793" s="19"/>
    </row>
    <row r="794" spans="1:17" ht="46.5" customHeight="1" x14ac:dyDescent="0.7">
      <c r="A794" s="19"/>
      <c r="B794" s="19"/>
      <c r="C794" s="19"/>
      <c r="D794" s="31"/>
      <c r="E794" s="31"/>
      <c r="F794" s="31"/>
      <c r="G794" s="31"/>
      <c r="H794" s="31"/>
      <c r="I794" s="31"/>
      <c r="J794" s="31"/>
      <c r="K794" s="19"/>
      <c r="L794" s="19"/>
      <c r="M794" s="19"/>
      <c r="N794" s="31"/>
      <c r="O794" s="31"/>
      <c r="P794" s="19"/>
      <c r="Q794" s="19"/>
    </row>
    <row r="795" spans="1:17" ht="46.5" customHeight="1" x14ac:dyDescent="0.7">
      <c r="A795" s="19"/>
      <c r="B795" s="19"/>
      <c r="C795" s="19"/>
      <c r="D795" s="31"/>
      <c r="E795" s="31"/>
      <c r="F795" s="31"/>
      <c r="G795" s="31"/>
      <c r="H795" s="31"/>
      <c r="I795" s="31"/>
      <c r="J795" s="31"/>
      <c r="K795" s="19"/>
      <c r="L795" s="19"/>
      <c r="M795" s="19"/>
      <c r="N795" s="31"/>
      <c r="O795" s="31"/>
      <c r="P795" s="19"/>
      <c r="Q795" s="19"/>
    </row>
    <row r="796" spans="1:17" ht="46.5" customHeight="1" x14ac:dyDescent="0.7">
      <c r="A796" s="19"/>
      <c r="B796" s="19"/>
      <c r="C796" s="19"/>
      <c r="D796" s="31"/>
      <c r="E796" s="31"/>
      <c r="F796" s="31"/>
      <c r="G796" s="31"/>
      <c r="H796" s="31"/>
      <c r="I796" s="31"/>
      <c r="J796" s="31"/>
      <c r="K796" s="19"/>
      <c r="L796" s="19"/>
      <c r="M796" s="19"/>
      <c r="N796" s="31"/>
      <c r="O796" s="31"/>
      <c r="P796" s="19"/>
      <c r="Q796" s="19"/>
    </row>
    <row r="797" spans="1:17" ht="46.5" customHeight="1" x14ac:dyDescent="0.7">
      <c r="A797" s="19"/>
      <c r="B797" s="19"/>
      <c r="C797" s="19"/>
      <c r="D797" s="31"/>
      <c r="E797" s="31"/>
      <c r="F797" s="31"/>
      <c r="G797" s="31"/>
      <c r="H797" s="31"/>
      <c r="I797" s="31"/>
      <c r="J797" s="31"/>
      <c r="K797" s="19"/>
      <c r="L797" s="19"/>
      <c r="M797" s="19"/>
      <c r="N797" s="31"/>
      <c r="O797" s="31"/>
      <c r="P797" s="19"/>
      <c r="Q797" s="19"/>
    </row>
    <row r="798" spans="1:17" ht="46.5" customHeight="1" x14ac:dyDescent="0.7">
      <c r="A798" s="19"/>
      <c r="B798" s="19"/>
      <c r="C798" s="19"/>
      <c r="D798" s="31"/>
      <c r="E798" s="31"/>
      <c r="F798" s="31"/>
      <c r="G798" s="31"/>
      <c r="H798" s="31"/>
      <c r="I798" s="31"/>
      <c r="J798" s="31"/>
      <c r="K798" s="19"/>
      <c r="L798" s="19"/>
      <c r="M798" s="19"/>
      <c r="N798" s="31"/>
      <c r="O798" s="31"/>
      <c r="P798" s="19"/>
      <c r="Q798" s="19"/>
    </row>
    <row r="799" spans="1:17" ht="46.5" customHeight="1" x14ac:dyDescent="0.7">
      <c r="A799" s="19"/>
      <c r="B799" s="19"/>
      <c r="C799" s="19"/>
      <c r="D799" s="31"/>
      <c r="E799" s="31"/>
      <c r="F799" s="31"/>
      <c r="G799" s="31"/>
      <c r="H799" s="31"/>
      <c r="I799" s="31"/>
      <c r="J799" s="31"/>
      <c r="K799" s="19"/>
      <c r="L799" s="19"/>
      <c r="M799" s="19"/>
      <c r="N799" s="31"/>
      <c r="O799" s="31"/>
      <c r="P799" s="19"/>
      <c r="Q799" s="19"/>
    </row>
    <row r="800" spans="1:17" ht="46.5" customHeight="1" x14ac:dyDescent="0.7">
      <c r="A800" s="19"/>
      <c r="B800" s="19"/>
      <c r="C800" s="19"/>
      <c r="D800" s="31"/>
      <c r="E800" s="31"/>
      <c r="F800" s="31"/>
      <c r="G800" s="31"/>
      <c r="H800" s="31"/>
      <c r="I800" s="31"/>
      <c r="J800" s="31"/>
      <c r="K800" s="19"/>
      <c r="L800" s="19"/>
      <c r="M800" s="19"/>
      <c r="N800" s="31"/>
      <c r="O800" s="31"/>
      <c r="P800" s="19"/>
      <c r="Q800" s="19"/>
    </row>
    <row r="801" spans="1:17" ht="46.5" customHeight="1" x14ac:dyDescent="0.7">
      <c r="A801" s="19"/>
      <c r="B801" s="19"/>
      <c r="C801" s="19"/>
      <c r="D801" s="31"/>
      <c r="E801" s="31"/>
      <c r="F801" s="31"/>
      <c r="G801" s="31"/>
      <c r="H801" s="31"/>
      <c r="I801" s="31"/>
      <c r="J801" s="31"/>
      <c r="K801" s="19"/>
      <c r="L801" s="19"/>
      <c r="M801" s="19"/>
      <c r="N801" s="31"/>
      <c r="O801" s="31"/>
      <c r="P801" s="19"/>
      <c r="Q801" s="19"/>
    </row>
    <row r="802" spans="1:17" ht="46.5" customHeight="1" x14ac:dyDescent="0.7">
      <c r="A802" s="19"/>
      <c r="B802" s="19"/>
      <c r="C802" s="19"/>
      <c r="D802" s="31"/>
      <c r="E802" s="31"/>
      <c r="F802" s="31"/>
      <c r="G802" s="31"/>
      <c r="H802" s="31"/>
      <c r="I802" s="31"/>
      <c r="J802" s="31"/>
      <c r="K802" s="19"/>
      <c r="L802" s="19"/>
      <c r="M802" s="19"/>
      <c r="N802" s="31"/>
      <c r="O802" s="31"/>
      <c r="P802" s="19"/>
      <c r="Q802" s="19"/>
    </row>
    <row r="803" spans="1:17" ht="46.5" customHeight="1" x14ac:dyDescent="0.7">
      <c r="A803" s="19"/>
      <c r="B803" s="19"/>
      <c r="C803" s="19"/>
      <c r="D803" s="31"/>
      <c r="E803" s="31"/>
      <c r="F803" s="31"/>
      <c r="G803" s="31"/>
      <c r="H803" s="31"/>
      <c r="I803" s="31"/>
      <c r="J803" s="31"/>
      <c r="K803" s="19"/>
      <c r="L803" s="19"/>
      <c r="M803" s="19"/>
      <c r="N803" s="31"/>
      <c r="O803" s="31"/>
      <c r="P803" s="19"/>
      <c r="Q803" s="19"/>
    </row>
    <row r="804" spans="1:17" ht="46.5" customHeight="1" x14ac:dyDescent="0.7">
      <c r="A804" s="19"/>
      <c r="B804" s="19"/>
      <c r="C804" s="19"/>
      <c r="D804" s="31"/>
      <c r="E804" s="31"/>
      <c r="F804" s="31"/>
      <c r="G804" s="31"/>
      <c r="H804" s="31"/>
      <c r="I804" s="31"/>
      <c r="J804" s="31"/>
      <c r="K804" s="19"/>
      <c r="L804" s="19"/>
      <c r="M804" s="19"/>
      <c r="N804" s="31"/>
      <c r="O804" s="31"/>
      <c r="P804" s="19"/>
      <c r="Q804" s="19"/>
    </row>
    <row r="805" spans="1:17" ht="46.5" customHeight="1" x14ac:dyDescent="0.7">
      <c r="A805" s="19"/>
      <c r="B805" s="19"/>
      <c r="C805" s="19"/>
      <c r="D805" s="31"/>
      <c r="E805" s="31"/>
      <c r="F805" s="31"/>
      <c r="G805" s="31"/>
      <c r="H805" s="31"/>
      <c r="I805" s="31"/>
      <c r="J805" s="31"/>
      <c r="K805" s="19"/>
      <c r="L805" s="19"/>
      <c r="M805" s="19"/>
      <c r="N805" s="31"/>
      <c r="O805" s="31"/>
      <c r="P805" s="19"/>
      <c r="Q805" s="19"/>
    </row>
    <row r="806" spans="1:17" ht="46.5" customHeight="1" x14ac:dyDescent="0.7">
      <c r="A806" s="19"/>
      <c r="B806" s="19"/>
      <c r="C806" s="19"/>
      <c r="D806" s="31"/>
      <c r="E806" s="31"/>
      <c r="F806" s="31"/>
      <c r="G806" s="31"/>
      <c r="H806" s="31"/>
      <c r="I806" s="31"/>
      <c r="J806" s="31"/>
      <c r="K806" s="19"/>
      <c r="L806" s="19"/>
      <c r="M806" s="19"/>
      <c r="N806" s="31"/>
      <c r="O806" s="31"/>
      <c r="P806" s="19"/>
      <c r="Q806" s="19"/>
    </row>
    <row r="807" spans="1:17" ht="46.5" customHeight="1" x14ac:dyDescent="0.7">
      <c r="A807" s="19"/>
      <c r="B807" s="19"/>
      <c r="C807" s="19"/>
      <c r="D807" s="31"/>
      <c r="E807" s="31"/>
      <c r="F807" s="31"/>
      <c r="G807" s="31"/>
      <c r="H807" s="31"/>
      <c r="I807" s="31"/>
      <c r="J807" s="31"/>
      <c r="K807" s="19"/>
      <c r="L807" s="19"/>
      <c r="M807" s="19"/>
      <c r="N807" s="31"/>
      <c r="O807" s="31"/>
      <c r="P807" s="19"/>
      <c r="Q807" s="19"/>
    </row>
    <row r="808" spans="1:17" ht="46.5" customHeight="1" x14ac:dyDescent="0.7">
      <c r="A808" s="19"/>
      <c r="B808" s="19"/>
      <c r="C808" s="19"/>
      <c r="D808" s="31"/>
      <c r="E808" s="31"/>
      <c r="F808" s="31"/>
      <c r="G808" s="31"/>
      <c r="H808" s="31"/>
      <c r="I808" s="31"/>
      <c r="J808" s="31"/>
      <c r="K808" s="19"/>
      <c r="L808" s="19"/>
      <c r="M808" s="19"/>
      <c r="N808" s="31"/>
      <c r="O808" s="31"/>
      <c r="P808" s="19"/>
      <c r="Q808" s="19"/>
    </row>
    <row r="809" spans="1:17" ht="46.5" customHeight="1" x14ac:dyDescent="0.7">
      <c r="A809" s="19"/>
      <c r="B809" s="19"/>
      <c r="C809" s="19"/>
      <c r="D809" s="31"/>
      <c r="E809" s="31"/>
      <c r="F809" s="31"/>
      <c r="G809" s="31"/>
      <c r="H809" s="31"/>
      <c r="I809" s="31"/>
      <c r="J809" s="31"/>
      <c r="K809" s="19"/>
      <c r="L809" s="19"/>
      <c r="M809" s="19"/>
      <c r="N809" s="31"/>
      <c r="O809" s="31"/>
      <c r="P809" s="19"/>
      <c r="Q809" s="19"/>
    </row>
    <row r="810" spans="1:17" ht="46.5" customHeight="1" x14ac:dyDescent="0.7">
      <c r="A810" s="19"/>
      <c r="B810" s="19"/>
      <c r="C810" s="19"/>
      <c r="D810" s="31"/>
      <c r="E810" s="31"/>
      <c r="F810" s="31"/>
      <c r="G810" s="31"/>
      <c r="H810" s="31"/>
      <c r="I810" s="31"/>
      <c r="J810" s="31"/>
      <c r="K810" s="19"/>
      <c r="L810" s="19"/>
      <c r="M810" s="19"/>
      <c r="N810" s="31"/>
      <c r="O810" s="31"/>
      <c r="P810" s="19"/>
      <c r="Q810" s="19"/>
    </row>
    <row r="811" spans="1:17" ht="46.5" customHeight="1" x14ac:dyDescent="0.7">
      <c r="A811" s="19"/>
      <c r="B811" s="19"/>
      <c r="C811" s="19"/>
      <c r="D811" s="31"/>
      <c r="E811" s="31"/>
      <c r="F811" s="31"/>
      <c r="G811" s="31"/>
      <c r="H811" s="31"/>
      <c r="I811" s="31"/>
      <c r="J811" s="31"/>
      <c r="K811" s="19"/>
      <c r="L811" s="19"/>
      <c r="M811" s="19"/>
      <c r="N811" s="31"/>
      <c r="O811" s="31"/>
      <c r="P811" s="19"/>
      <c r="Q811" s="19"/>
    </row>
    <row r="812" spans="1:17" ht="46.5" customHeight="1" x14ac:dyDescent="0.7">
      <c r="A812" s="19"/>
      <c r="B812" s="19"/>
      <c r="C812" s="19"/>
      <c r="D812" s="31"/>
      <c r="E812" s="31"/>
      <c r="F812" s="31"/>
      <c r="G812" s="31"/>
      <c r="H812" s="31"/>
      <c r="I812" s="31"/>
      <c r="J812" s="31"/>
      <c r="K812" s="19"/>
      <c r="L812" s="19"/>
      <c r="M812" s="19"/>
      <c r="N812" s="31"/>
      <c r="O812" s="31"/>
      <c r="P812" s="19"/>
      <c r="Q812" s="19"/>
    </row>
    <row r="813" spans="1:17" ht="46.5" customHeight="1" x14ac:dyDescent="0.7">
      <c r="A813" s="19"/>
      <c r="B813" s="19"/>
      <c r="C813" s="19"/>
      <c r="D813" s="31"/>
      <c r="E813" s="31"/>
      <c r="F813" s="31"/>
      <c r="G813" s="31"/>
      <c r="H813" s="31"/>
      <c r="I813" s="31"/>
      <c r="J813" s="31"/>
      <c r="K813" s="19"/>
      <c r="L813" s="19"/>
      <c r="M813" s="19"/>
      <c r="N813" s="31"/>
      <c r="O813" s="31"/>
      <c r="P813" s="19"/>
      <c r="Q813" s="19"/>
    </row>
    <row r="814" spans="1:17" ht="46.5" customHeight="1" x14ac:dyDescent="0.7">
      <c r="A814" s="19"/>
      <c r="B814" s="19"/>
      <c r="C814" s="19"/>
      <c r="D814" s="31"/>
      <c r="E814" s="31"/>
      <c r="F814" s="31"/>
      <c r="G814" s="31"/>
      <c r="H814" s="31"/>
      <c r="I814" s="31"/>
      <c r="J814" s="31"/>
      <c r="K814" s="19"/>
      <c r="L814" s="19"/>
      <c r="M814" s="19"/>
      <c r="N814" s="31"/>
      <c r="O814" s="31"/>
      <c r="P814" s="19"/>
      <c r="Q814" s="19"/>
    </row>
    <row r="815" spans="1:17" ht="46.5" customHeight="1" x14ac:dyDescent="0.7">
      <c r="A815" s="19"/>
      <c r="B815" s="19"/>
      <c r="C815" s="19"/>
      <c r="D815" s="31"/>
      <c r="E815" s="31"/>
      <c r="F815" s="31"/>
      <c r="G815" s="31"/>
      <c r="H815" s="31"/>
      <c r="I815" s="31"/>
      <c r="J815" s="31"/>
      <c r="K815" s="19"/>
      <c r="L815" s="19"/>
      <c r="M815" s="19"/>
      <c r="N815" s="31"/>
      <c r="O815" s="31"/>
      <c r="P815" s="19"/>
      <c r="Q815" s="19"/>
    </row>
    <row r="816" spans="1:17" ht="46.5" customHeight="1" x14ac:dyDescent="0.7">
      <c r="A816" s="19"/>
      <c r="B816" s="19"/>
      <c r="C816" s="19"/>
      <c r="D816" s="31"/>
      <c r="E816" s="31"/>
      <c r="F816" s="31"/>
      <c r="G816" s="31"/>
      <c r="H816" s="31"/>
      <c r="I816" s="31"/>
      <c r="J816" s="31"/>
      <c r="K816" s="19"/>
      <c r="L816" s="19"/>
      <c r="M816" s="19"/>
      <c r="N816" s="31"/>
      <c r="O816" s="31"/>
      <c r="P816" s="19"/>
      <c r="Q816" s="19"/>
    </row>
    <row r="817" spans="1:17" ht="46.5" customHeight="1" x14ac:dyDescent="0.7">
      <c r="A817" s="19"/>
      <c r="B817" s="19"/>
      <c r="C817" s="19"/>
      <c r="D817" s="31"/>
      <c r="E817" s="31"/>
      <c r="F817" s="31"/>
      <c r="G817" s="31"/>
      <c r="H817" s="31"/>
      <c r="I817" s="31"/>
      <c r="J817" s="31"/>
      <c r="K817" s="19"/>
      <c r="L817" s="19"/>
      <c r="M817" s="19"/>
      <c r="N817" s="31"/>
      <c r="O817" s="31"/>
      <c r="P817" s="19"/>
      <c r="Q817" s="19"/>
    </row>
    <row r="818" spans="1:17" ht="46.5" customHeight="1" x14ac:dyDescent="0.7">
      <c r="A818" s="19"/>
      <c r="B818" s="19"/>
      <c r="C818" s="19"/>
      <c r="D818" s="31"/>
      <c r="E818" s="31"/>
      <c r="F818" s="31"/>
      <c r="G818" s="31"/>
      <c r="H818" s="31"/>
      <c r="I818" s="31"/>
      <c r="J818" s="31"/>
      <c r="K818" s="19"/>
      <c r="L818" s="19"/>
      <c r="M818" s="19"/>
      <c r="N818" s="31"/>
      <c r="O818" s="31"/>
      <c r="P818" s="19"/>
      <c r="Q818" s="19"/>
    </row>
    <row r="819" spans="1:17" ht="46.5" customHeight="1" x14ac:dyDescent="0.7">
      <c r="A819" s="19"/>
      <c r="B819" s="19"/>
      <c r="C819" s="19"/>
      <c r="D819" s="31"/>
      <c r="E819" s="31"/>
      <c r="F819" s="31"/>
      <c r="G819" s="31"/>
      <c r="H819" s="31"/>
      <c r="I819" s="31"/>
      <c r="J819" s="31"/>
      <c r="K819" s="19"/>
      <c r="L819" s="19"/>
      <c r="M819" s="19"/>
      <c r="N819" s="31"/>
      <c r="O819" s="31"/>
      <c r="P819" s="19"/>
      <c r="Q819" s="19"/>
    </row>
    <row r="820" spans="1:17" ht="46.5" customHeight="1" x14ac:dyDescent="0.7">
      <c r="A820" s="19"/>
      <c r="B820" s="19"/>
      <c r="C820" s="19"/>
      <c r="D820" s="31"/>
      <c r="E820" s="31"/>
      <c r="F820" s="31"/>
      <c r="G820" s="31"/>
      <c r="H820" s="31"/>
      <c r="I820" s="31"/>
      <c r="J820" s="31"/>
      <c r="K820" s="19"/>
      <c r="L820" s="19"/>
      <c r="M820" s="19"/>
      <c r="N820" s="31"/>
      <c r="O820" s="31"/>
      <c r="P820" s="19"/>
      <c r="Q820" s="19"/>
    </row>
    <row r="821" spans="1:17" ht="46.5" customHeight="1" x14ac:dyDescent="0.7">
      <c r="A821" s="19"/>
      <c r="B821" s="19"/>
      <c r="C821" s="19"/>
      <c r="D821" s="31"/>
      <c r="E821" s="31"/>
      <c r="F821" s="31"/>
      <c r="G821" s="31"/>
      <c r="H821" s="31"/>
      <c r="I821" s="31"/>
      <c r="J821" s="31"/>
      <c r="K821" s="19"/>
      <c r="L821" s="19"/>
      <c r="M821" s="19"/>
      <c r="N821" s="31"/>
      <c r="O821" s="31"/>
      <c r="P821" s="19"/>
      <c r="Q821" s="19"/>
    </row>
    <row r="822" spans="1:17" ht="46.5" customHeight="1" x14ac:dyDescent="0.7">
      <c r="A822" s="19"/>
      <c r="B822" s="19"/>
      <c r="C822" s="19"/>
      <c r="D822" s="31"/>
      <c r="E822" s="31"/>
      <c r="F822" s="31"/>
      <c r="G822" s="31"/>
      <c r="H822" s="31"/>
      <c r="I822" s="31"/>
      <c r="J822" s="31"/>
      <c r="K822" s="19"/>
      <c r="L822" s="19"/>
      <c r="M822" s="19"/>
      <c r="N822" s="31"/>
      <c r="O822" s="31"/>
      <c r="P822" s="19"/>
      <c r="Q822" s="19"/>
    </row>
    <row r="823" spans="1:17" ht="46.5" customHeight="1" x14ac:dyDescent="0.7">
      <c r="A823" s="19"/>
      <c r="B823" s="19"/>
      <c r="C823" s="19"/>
      <c r="D823" s="31"/>
      <c r="E823" s="31"/>
      <c r="F823" s="31"/>
      <c r="G823" s="31"/>
      <c r="H823" s="31"/>
      <c r="I823" s="31"/>
      <c r="J823" s="31"/>
      <c r="K823" s="19"/>
      <c r="L823" s="19"/>
      <c r="M823" s="19"/>
      <c r="N823" s="31"/>
      <c r="O823" s="31"/>
      <c r="P823" s="19"/>
      <c r="Q823" s="19"/>
    </row>
    <row r="824" spans="1:17" ht="46.5" customHeight="1" x14ac:dyDescent="0.7">
      <c r="A824" s="19"/>
      <c r="B824" s="19"/>
      <c r="C824" s="19"/>
      <c r="D824" s="31"/>
      <c r="E824" s="31"/>
      <c r="F824" s="31"/>
      <c r="G824" s="31"/>
      <c r="H824" s="31"/>
      <c r="I824" s="31"/>
      <c r="J824" s="31"/>
      <c r="K824" s="19"/>
      <c r="L824" s="19"/>
      <c r="M824" s="19"/>
      <c r="N824" s="31"/>
      <c r="O824" s="31"/>
      <c r="P824" s="19"/>
      <c r="Q824" s="19"/>
    </row>
    <row r="825" spans="1:17" ht="46.5" customHeight="1" x14ac:dyDescent="0.7">
      <c r="A825" s="19"/>
      <c r="B825" s="19"/>
      <c r="C825" s="19"/>
      <c r="D825" s="31"/>
      <c r="E825" s="31"/>
      <c r="F825" s="31"/>
      <c r="G825" s="31"/>
      <c r="H825" s="31"/>
      <c r="I825" s="31"/>
      <c r="J825" s="31"/>
      <c r="K825" s="19"/>
      <c r="L825" s="19"/>
      <c r="M825" s="19"/>
      <c r="N825" s="31"/>
      <c r="O825" s="31"/>
      <c r="P825" s="19"/>
      <c r="Q825" s="19"/>
    </row>
    <row r="826" spans="1:17" ht="46.5" customHeight="1" x14ac:dyDescent="0.7">
      <c r="A826" s="19"/>
      <c r="B826" s="19"/>
      <c r="C826" s="19"/>
      <c r="D826" s="31"/>
      <c r="E826" s="31"/>
      <c r="F826" s="31"/>
      <c r="G826" s="31"/>
      <c r="H826" s="31"/>
      <c r="I826" s="31"/>
      <c r="J826" s="31"/>
      <c r="K826" s="19"/>
      <c r="L826" s="19"/>
      <c r="M826" s="19"/>
      <c r="N826" s="31"/>
      <c r="O826" s="31"/>
      <c r="P826" s="19"/>
      <c r="Q826" s="19"/>
    </row>
    <row r="827" spans="1:17" ht="46.5" customHeight="1" x14ac:dyDescent="0.7">
      <c r="A827" s="19"/>
      <c r="B827" s="19"/>
      <c r="C827" s="19"/>
      <c r="D827" s="31"/>
      <c r="E827" s="31"/>
      <c r="F827" s="31"/>
      <c r="G827" s="31"/>
      <c r="H827" s="31"/>
      <c r="I827" s="31"/>
      <c r="J827" s="31"/>
      <c r="K827" s="19"/>
      <c r="L827" s="19"/>
      <c r="M827" s="19"/>
      <c r="N827" s="31"/>
      <c r="O827" s="31"/>
      <c r="P827" s="19"/>
      <c r="Q827" s="19"/>
    </row>
    <row r="828" spans="1:17" ht="46.5" customHeight="1" x14ac:dyDescent="0.7">
      <c r="A828" s="19"/>
      <c r="B828" s="19"/>
      <c r="C828" s="19"/>
      <c r="D828" s="31"/>
      <c r="E828" s="31"/>
      <c r="F828" s="31"/>
      <c r="G828" s="31"/>
      <c r="H828" s="31"/>
      <c r="I828" s="31"/>
      <c r="J828" s="31"/>
      <c r="K828" s="19"/>
      <c r="L828" s="19"/>
      <c r="M828" s="19"/>
      <c r="N828" s="31"/>
      <c r="O828" s="31"/>
      <c r="P828" s="19"/>
      <c r="Q828" s="19"/>
    </row>
    <row r="829" spans="1:17" ht="46.5" customHeight="1" x14ac:dyDescent="0.7">
      <c r="A829" s="19"/>
      <c r="B829" s="19"/>
      <c r="C829" s="19"/>
      <c r="D829" s="31"/>
      <c r="E829" s="31"/>
      <c r="F829" s="31"/>
      <c r="G829" s="31"/>
      <c r="H829" s="31"/>
      <c r="I829" s="31"/>
      <c r="J829" s="31"/>
      <c r="K829" s="19"/>
      <c r="L829" s="19"/>
      <c r="M829" s="19"/>
      <c r="N829" s="31"/>
      <c r="O829" s="31"/>
      <c r="P829" s="19"/>
      <c r="Q829" s="19"/>
    </row>
    <row r="830" spans="1:17" ht="46.5" customHeight="1" x14ac:dyDescent="0.7">
      <c r="A830" s="19"/>
      <c r="B830" s="19"/>
      <c r="C830" s="19"/>
      <c r="D830" s="31"/>
      <c r="E830" s="31"/>
      <c r="F830" s="31"/>
      <c r="G830" s="31"/>
      <c r="H830" s="31"/>
      <c r="I830" s="31"/>
      <c r="J830" s="31"/>
      <c r="K830" s="19"/>
      <c r="L830" s="19"/>
      <c r="M830" s="19"/>
      <c r="N830" s="31"/>
      <c r="O830" s="31"/>
      <c r="P830" s="19"/>
      <c r="Q830" s="19"/>
    </row>
    <row r="831" spans="1:17" ht="46.5" customHeight="1" x14ac:dyDescent="0.7">
      <c r="A831" s="19"/>
      <c r="B831" s="19"/>
      <c r="C831" s="19"/>
      <c r="D831" s="31"/>
      <c r="E831" s="31"/>
      <c r="F831" s="31"/>
      <c r="G831" s="31"/>
      <c r="H831" s="31"/>
      <c r="I831" s="31"/>
      <c r="J831" s="31"/>
      <c r="K831" s="19"/>
      <c r="L831" s="19"/>
      <c r="M831" s="19"/>
      <c r="N831" s="31"/>
      <c r="O831" s="31"/>
      <c r="P831" s="19"/>
      <c r="Q831" s="19"/>
    </row>
    <row r="832" spans="1:17" ht="46.5" customHeight="1" x14ac:dyDescent="0.7">
      <c r="A832" s="19"/>
      <c r="B832" s="19"/>
      <c r="C832" s="19"/>
      <c r="D832" s="31"/>
      <c r="E832" s="31"/>
      <c r="F832" s="31"/>
      <c r="G832" s="31"/>
      <c r="H832" s="31"/>
      <c r="I832" s="31"/>
      <c r="J832" s="31"/>
      <c r="K832" s="19"/>
      <c r="L832" s="19"/>
      <c r="M832" s="19"/>
      <c r="N832" s="31"/>
      <c r="O832" s="31"/>
      <c r="P832" s="19"/>
      <c r="Q832" s="19"/>
    </row>
    <row r="833" spans="1:17" ht="46.5" customHeight="1" x14ac:dyDescent="0.7">
      <c r="A833" s="19"/>
      <c r="B833" s="19"/>
      <c r="C833" s="19"/>
      <c r="D833" s="31"/>
      <c r="E833" s="31"/>
      <c r="F833" s="31"/>
      <c r="G833" s="31"/>
      <c r="H833" s="31"/>
      <c r="I833" s="31"/>
      <c r="J833" s="31"/>
      <c r="K833" s="19"/>
      <c r="L833" s="19"/>
      <c r="M833" s="19"/>
      <c r="N833" s="31"/>
      <c r="O833" s="31"/>
      <c r="P833" s="19"/>
      <c r="Q833" s="19"/>
    </row>
    <row r="834" spans="1:17" ht="46.5" customHeight="1" x14ac:dyDescent="0.7">
      <c r="A834" s="19"/>
      <c r="B834" s="19"/>
      <c r="C834" s="19"/>
      <c r="D834" s="31"/>
      <c r="E834" s="31"/>
      <c r="F834" s="31"/>
      <c r="G834" s="31"/>
      <c r="H834" s="31"/>
      <c r="I834" s="31"/>
      <c r="J834" s="31"/>
      <c r="K834" s="19"/>
      <c r="L834" s="19"/>
      <c r="M834" s="19"/>
      <c r="N834" s="31"/>
      <c r="O834" s="31"/>
      <c r="P834" s="19"/>
      <c r="Q834" s="19"/>
    </row>
    <row r="835" spans="1:17" ht="46.5" customHeight="1" x14ac:dyDescent="0.7">
      <c r="A835" s="19"/>
      <c r="B835" s="19"/>
      <c r="C835" s="19"/>
      <c r="D835" s="31"/>
      <c r="E835" s="31"/>
      <c r="F835" s="31"/>
      <c r="G835" s="31"/>
      <c r="H835" s="31"/>
      <c r="I835" s="31"/>
      <c r="J835" s="31"/>
      <c r="K835" s="19"/>
      <c r="L835" s="19"/>
      <c r="M835" s="19"/>
      <c r="N835" s="31"/>
      <c r="O835" s="31"/>
      <c r="P835" s="19"/>
      <c r="Q835" s="19"/>
    </row>
    <row r="836" spans="1:17" ht="46.5" customHeight="1" x14ac:dyDescent="0.7">
      <c r="A836" s="19"/>
      <c r="B836" s="19"/>
      <c r="C836" s="19"/>
      <c r="D836" s="31"/>
      <c r="E836" s="31"/>
      <c r="F836" s="31"/>
      <c r="G836" s="31"/>
      <c r="H836" s="31"/>
      <c r="I836" s="31"/>
      <c r="J836" s="31"/>
      <c r="K836" s="19"/>
      <c r="L836" s="19"/>
      <c r="M836" s="19"/>
      <c r="N836" s="31"/>
      <c r="O836" s="31"/>
      <c r="P836" s="19"/>
      <c r="Q836" s="19"/>
    </row>
    <row r="837" spans="1:17" ht="46.5" customHeight="1" x14ac:dyDescent="0.7">
      <c r="A837" s="19"/>
      <c r="B837" s="19"/>
      <c r="C837" s="19"/>
      <c r="D837" s="31"/>
      <c r="E837" s="31"/>
      <c r="F837" s="31"/>
      <c r="G837" s="31"/>
      <c r="H837" s="31"/>
      <c r="I837" s="31"/>
      <c r="J837" s="31"/>
      <c r="K837" s="19"/>
      <c r="L837" s="19"/>
      <c r="M837" s="19"/>
      <c r="N837" s="31"/>
      <c r="O837" s="31"/>
      <c r="P837" s="19"/>
      <c r="Q837" s="19"/>
    </row>
    <row r="838" spans="1:17" ht="46.5" customHeight="1" x14ac:dyDescent="0.7">
      <c r="A838" s="19"/>
      <c r="B838" s="19"/>
      <c r="C838" s="19"/>
      <c r="D838" s="31"/>
      <c r="E838" s="31"/>
      <c r="F838" s="31"/>
      <c r="G838" s="31"/>
      <c r="H838" s="31"/>
      <c r="I838" s="31"/>
      <c r="J838" s="31"/>
      <c r="K838" s="19"/>
      <c r="L838" s="19"/>
      <c r="M838" s="19"/>
      <c r="N838" s="31"/>
      <c r="O838" s="31"/>
      <c r="P838" s="19"/>
      <c r="Q838" s="19"/>
    </row>
    <row r="839" spans="1:17" ht="46.5" customHeight="1" x14ac:dyDescent="0.7">
      <c r="A839" s="19"/>
      <c r="B839" s="19"/>
      <c r="C839" s="19"/>
      <c r="D839" s="31"/>
      <c r="E839" s="31"/>
      <c r="F839" s="31"/>
      <c r="G839" s="31"/>
      <c r="H839" s="31"/>
      <c r="I839" s="31"/>
      <c r="J839" s="31"/>
      <c r="K839" s="19"/>
      <c r="L839" s="19"/>
      <c r="M839" s="19"/>
      <c r="N839" s="31"/>
      <c r="O839" s="31"/>
      <c r="P839" s="19"/>
      <c r="Q839" s="19"/>
    </row>
    <row r="840" spans="1:17" ht="46.5" customHeight="1" x14ac:dyDescent="0.7">
      <c r="A840" s="19"/>
      <c r="B840" s="19"/>
      <c r="C840" s="19"/>
      <c r="D840" s="31"/>
      <c r="E840" s="31"/>
      <c r="F840" s="31"/>
      <c r="G840" s="31"/>
      <c r="H840" s="31"/>
      <c r="I840" s="31"/>
      <c r="J840" s="31"/>
      <c r="K840" s="19"/>
      <c r="L840" s="19"/>
      <c r="M840" s="19"/>
      <c r="N840" s="31"/>
      <c r="O840" s="31"/>
      <c r="P840" s="19"/>
      <c r="Q840" s="19"/>
    </row>
    <row r="841" spans="1:17" ht="46.5" customHeight="1" x14ac:dyDescent="0.7">
      <c r="A841" s="19"/>
      <c r="B841" s="19"/>
      <c r="C841" s="19"/>
      <c r="D841" s="31"/>
      <c r="E841" s="31"/>
      <c r="F841" s="31"/>
      <c r="G841" s="31"/>
      <c r="H841" s="31"/>
      <c r="I841" s="31"/>
      <c r="J841" s="31"/>
      <c r="K841" s="19"/>
      <c r="L841" s="19"/>
      <c r="M841" s="19"/>
      <c r="N841" s="31"/>
      <c r="O841" s="31"/>
      <c r="P841" s="19"/>
      <c r="Q841" s="19"/>
    </row>
    <row r="842" spans="1:17" ht="46.5" customHeight="1" x14ac:dyDescent="0.7">
      <c r="A842" s="19"/>
      <c r="B842" s="19"/>
      <c r="C842" s="19"/>
      <c r="D842" s="31"/>
      <c r="E842" s="31"/>
      <c r="F842" s="31"/>
      <c r="G842" s="31"/>
      <c r="H842" s="31"/>
      <c r="I842" s="31"/>
      <c r="J842" s="31"/>
      <c r="K842" s="19"/>
      <c r="L842" s="19"/>
      <c r="M842" s="19"/>
      <c r="N842" s="31"/>
      <c r="O842" s="31"/>
      <c r="P842" s="19"/>
      <c r="Q842" s="19"/>
    </row>
    <row r="843" spans="1:17" ht="46.5" customHeight="1" x14ac:dyDescent="0.7">
      <c r="A843" s="19"/>
      <c r="B843" s="19"/>
      <c r="C843" s="19"/>
      <c r="D843" s="31"/>
      <c r="E843" s="31"/>
      <c r="F843" s="31"/>
      <c r="G843" s="31"/>
      <c r="H843" s="31"/>
      <c r="I843" s="31"/>
      <c r="J843" s="31"/>
      <c r="K843" s="19"/>
      <c r="L843" s="19"/>
      <c r="M843" s="19"/>
      <c r="N843" s="31"/>
      <c r="O843" s="31"/>
      <c r="P843" s="19"/>
      <c r="Q843" s="19"/>
    </row>
    <row r="844" spans="1:17" ht="46.5" customHeight="1" x14ac:dyDescent="0.7">
      <c r="A844" s="19"/>
      <c r="B844" s="19"/>
      <c r="C844" s="19"/>
      <c r="D844" s="31"/>
      <c r="E844" s="31"/>
      <c r="F844" s="31"/>
      <c r="G844" s="31"/>
      <c r="H844" s="31"/>
      <c r="I844" s="31"/>
      <c r="J844" s="31"/>
      <c r="K844" s="19"/>
      <c r="L844" s="19"/>
      <c r="M844" s="19"/>
      <c r="N844" s="31"/>
      <c r="O844" s="31"/>
      <c r="P844" s="19"/>
      <c r="Q844" s="19"/>
    </row>
    <row r="845" spans="1:17" ht="46.5" customHeight="1" x14ac:dyDescent="0.7">
      <c r="A845" s="19"/>
      <c r="B845" s="19"/>
      <c r="C845" s="19"/>
      <c r="D845" s="31"/>
      <c r="E845" s="31"/>
      <c r="F845" s="31"/>
      <c r="G845" s="31"/>
      <c r="H845" s="31"/>
      <c r="I845" s="31"/>
      <c r="J845" s="31"/>
      <c r="K845" s="19"/>
      <c r="L845" s="19"/>
      <c r="M845" s="19"/>
      <c r="N845" s="31"/>
      <c r="O845" s="31"/>
      <c r="P845" s="19"/>
      <c r="Q845" s="19"/>
    </row>
    <row r="846" spans="1:17" ht="46.5" customHeight="1" x14ac:dyDescent="0.7">
      <c r="A846" s="19"/>
      <c r="B846" s="19"/>
      <c r="C846" s="19"/>
      <c r="D846" s="31"/>
      <c r="E846" s="31"/>
      <c r="F846" s="31"/>
      <c r="G846" s="31"/>
      <c r="H846" s="31"/>
      <c r="I846" s="31"/>
      <c r="J846" s="31"/>
      <c r="K846" s="19"/>
      <c r="L846" s="19"/>
      <c r="M846" s="19"/>
      <c r="N846" s="31"/>
      <c r="O846" s="31"/>
      <c r="P846" s="19"/>
      <c r="Q846" s="19"/>
    </row>
    <row r="847" spans="1:17" ht="46.5" customHeight="1" x14ac:dyDescent="0.7">
      <c r="A847" s="19"/>
      <c r="B847" s="19"/>
      <c r="C847" s="19"/>
      <c r="D847" s="31"/>
      <c r="E847" s="31"/>
      <c r="F847" s="31"/>
      <c r="G847" s="31"/>
      <c r="H847" s="31"/>
      <c r="I847" s="31"/>
      <c r="J847" s="31"/>
      <c r="K847" s="19"/>
      <c r="L847" s="19"/>
      <c r="M847" s="19"/>
      <c r="N847" s="31"/>
      <c r="O847" s="31"/>
      <c r="P847" s="19"/>
      <c r="Q847" s="19"/>
    </row>
    <row r="848" spans="1:17" ht="46.5" customHeight="1" x14ac:dyDescent="0.7">
      <c r="A848" s="19"/>
      <c r="B848" s="19"/>
      <c r="C848" s="19"/>
      <c r="D848" s="31"/>
      <c r="E848" s="31"/>
      <c r="F848" s="31"/>
      <c r="G848" s="31"/>
      <c r="H848" s="31"/>
      <c r="I848" s="31"/>
      <c r="J848" s="31"/>
      <c r="K848" s="19"/>
      <c r="L848" s="19"/>
      <c r="M848" s="19"/>
      <c r="N848" s="31"/>
      <c r="O848" s="31"/>
      <c r="P848" s="19"/>
      <c r="Q848" s="19"/>
    </row>
    <row r="849" spans="1:17" ht="46.5" customHeight="1" x14ac:dyDescent="0.7">
      <c r="A849" s="19"/>
      <c r="B849" s="19"/>
      <c r="C849" s="19"/>
      <c r="D849" s="31"/>
      <c r="E849" s="31"/>
      <c r="F849" s="31"/>
      <c r="G849" s="31"/>
      <c r="H849" s="31"/>
      <c r="I849" s="31"/>
      <c r="J849" s="31"/>
      <c r="K849" s="19"/>
      <c r="L849" s="19"/>
      <c r="M849" s="19"/>
      <c r="N849" s="31"/>
      <c r="O849" s="31"/>
      <c r="P849" s="19"/>
      <c r="Q849" s="19"/>
    </row>
    <row r="850" spans="1:17" ht="46.5" customHeight="1" x14ac:dyDescent="0.7">
      <c r="A850" s="19"/>
      <c r="B850" s="19"/>
      <c r="C850" s="19"/>
      <c r="D850" s="31"/>
      <c r="E850" s="31"/>
      <c r="F850" s="31"/>
      <c r="G850" s="31"/>
      <c r="H850" s="31"/>
      <c r="I850" s="31"/>
      <c r="J850" s="31"/>
      <c r="K850" s="19"/>
      <c r="L850" s="19"/>
      <c r="M850" s="19"/>
      <c r="N850" s="31"/>
      <c r="O850" s="31"/>
      <c r="P850" s="19"/>
      <c r="Q850" s="19"/>
    </row>
    <row r="851" spans="1:17" ht="46.5" customHeight="1" x14ac:dyDescent="0.7">
      <c r="A851" s="19"/>
      <c r="B851" s="19"/>
      <c r="C851" s="19"/>
      <c r="D851" s="31"/>
      <c r="E851" s="31"/>
      <c r="F851" s="31"/>
      <c r="G851" s="31"/>
      <c r="H851" s="31"/>
      <c r="I851" s="31"/>
      <c r="J851" s="31"/>
      <c r="K851" s="19"/>
      <c r="L851" s="19"/>
      <c r="M851" s="19"/>
      <c r="N851" s="31"/>
      <c r="O851" s="31"/>
      <c r="P851" s="19"/>
      <c r="Q851" s="19"/>
    </row>
    <row r="852" spans="1:17" ht="46.5" customHeight="1" x14ac:dyDescent="0.7">
      <c r="A852" s="19"/>
      <c r="B852" s="19"/>
      <c r="C852" s="19"/>
      <c r="D852" s="31"/>
      <c r="E852" s="31"/>
      <c r="F852" s="31"/>
      <c r="G852" s="31"/>
      <c r="H852" s="31"/>
      <c r="I852" s="31"/>
      <c r="J852" s="31"/>
      <c r="K852" s="19"/>
      <c r="L852" s="19"/>
      <c r="M852" s="19"/>
      <c r="N852" s="31"/>
      <c r="O852" s="31"/>
      <c r="P852" s="19"/>
      <c r="Q852" s="19"/>
    </row>
    <row r="853" spans="1:17" ht="46.5" customHeight="1" x14ac:dyDescent="0.7">
      <c r="A853" s="19"/>
      <c r="B853" s="19"/>
      <c r="C853" s="19"/>
      <c r="D853" s="31"/>
      <c r="E853" s="31"/>
      <c r="F853" s="31"/>
      <c r="G853" s="31"/>
      <c r="H853" s="31"/>
      <c r="I853" s="31"/>
      <c r="J853" s="31"/>
      <c r="K853" s="19"/>
      <c r="L853" s="19"/>
      <c r="M853" s="19"/>
      <c r="N853" s="31"/>
      <c r="O853" s="31"/>
      <c r="P853" s="19"/>
      <c r="Q853" s="19"/>
    </row>
    <row r="854" spans="1:17" ht="46.5" customHeight="1" x14ac:dyDescent="0.7">
      <c r="A854" s="19"/>
      <c r="B854" s="19"/>
      <c r="C854" s="19"/>
      <c r="D854" s="31"/>
      <c r="E854" s="31"/>
      <c r="F854" s="31"/>
      <c r="G854" s="31"/>
      <c r="H854" s="31"/>
      <c r="I854" s="31"/>
      <c r="J854" s="31"/>
      <c r="K854" s="19"/>
      <c r="L854" s="19"/>
      <c r="M854" s="19"/>
      <c r="N854" s="31"/>
      <c r="O854" s="31"/>
      <c r="P854" s="19"/>
      <c r="Q854" s="19"/>
    </row>
    <row r="855" spans="1:17" ht="46.5" customHeight="1" x14ac:dyDescent="0.7">
      <c r="A855" s="19"/>
      <c r="B855" s="19"/>
      <c r="C855" s="19"/>
      <c r="D855" s="31"/>
      <c r="E855" s="31"/>
      <c r="F855" s="31"/>
      <c r="G855" s="31"/>
      <c r="H855" s="31"/>
      <c r="I855" s="31"/>
      <c r="J855" s="31"/>
      <c r="K855" s="19"/>
      <c r="L855" s="19"/>
      <c r="M855" s="19"/>
      <c r="N855" s="31"/>
      <c r="O855" s="31"/>
      <c r="P855" s="19"/>
      <c r="Q855" s="19"/>
    </row>
    <row r="856" spans="1:17" ht="46.5" customHeight="1" x14ac:dyDescent="0.7">
      <c r="A856" s="19"/>
      <c r="B856" s="19"/>
      <c r="C856" s="19"/>
      <c r="D856" s="31"/>
      <c r="E856" s="31"/>
      <c r="F856" s="31"/>
      <c r="G856" s="31"/>
      <c r="H856" s="31"/>
      <c r="I856" s="31"/>
      <c r="J856" s="31"/>
      <c r="K856" s="19"/>
      <c r="L856" s="19"/>
      <c r="M856" s="19"/>
      <c r="N856" s="31"/>
      <c r="O856" s="31"/>
      <c r="P856" s="19"/>
      <c r="Q856" s="19"/>
    </row>
    <row r="857" spans="1:17" ht="46.5" customHeight="1" x14ac:dyDescent="0.7">
      <c r="A857" s="19"/>
      <c r="B857" s="19"/>
      <c r="C857" s="19"/>
      <c r="D857" s="31"/>
      <c r="E857" s="31"/>
      <c r="F857" s="31"/>
      <c r="G857" s="31"/>
      <c r="H857" s="31"/>
      <c r="I857" s="31"/>
      <c r="J857" s="31"/>
      <c r="K857" s="19"/>
      <c r="L857" s="19"/>
      <c r="M857" s="19"/>
      <c r="N857" s="31"/>
      <c r="O857" s="31"/>
      <c r="P857" s="19"/>
      <c r="Q857" s="19"/>
    </row>
    <row r="858" spans="1:17" ht="46.5" customHeight="1" x14ac:dyDescent="0.7">
      <c r="A858" s="19"/>
      <c r="B858" s="19"/>
      <c r="C858" s="19"/>
      <c r="D858" s="31"/>
      <c r="E858" s="31"/>
      <c r="F858" s="31"/>
      <c r="G858" s="31"/>
      <c r="H858" s="31"/>
      <c r="I858" s="31"/>
      <c r="J858" s="31"/>
      <c r="K858" s="19"/>
      <c r="L858" s="19"/>
      <c r="M858" s="19"/>
      <c r="N858" s="31"/>
      <c r="O858" s="31"/>
      <c r="P858" s="19"/>
      <c r="Q858" s="19"/>
    </row>
    <row r="859" spans="1:17" ht="46.5" customHeight="1" x14ac:dyDescent="0.7">
      <c r="A859" s="19"/>
      <c r="B859" s="19"/>
      <c r="C859" s="19"/>
      <c r="D859" s="31"/>
      <c r="E859" s="31"/>
      <c r="F859" s="31"/>
      <c r="G859" s="31"/>
      <c r="H859" s="31"/>
      <c r="I859" s="31"/>
      <c r="J859" s="31"/>
      <c r="K859" s="19"/>
      <c r="L859" s="19"/>
      <c r="M859" s="19"/>
      <c r="N859" s="31"/>
      <c r="O859" s="31"/>
      <c r="P859" s="19"/>
      <c r="Q859" s="19"/>
    </row>
    <row r="860" spans="1:17" ht="46.5" customHeight="1" x14ac:dyDescent="0.7">
      <c r="A860" s="19"/>
      <c r="B860" s="19"/>
      <c r="C860" s="19"/>
      <c r="D860" s="31"/>
      <c r="E860" s="31"/>
      <c r="F860" s="31"/>
      <c r="G860" s="31"/>
      <c r="H860" s="31"/>
      <c r="I860" s="31"/>
      <c r="J860" s="31"/>
      <c r="K860" s="19"/>
      <c r="L860" s="19"/>
      <c r="M860" s="19"/>
      <c r="N860" s="31"/>
      <c r="O860" s="31"/>
      <c r="P860" s="19"/>
      <c r="Q860" s="19"/>
    </row>
    <row r="861" spans="1:17" ht="46.5" customHeight="1" x14ac:dyDescent="0.7">
      <c r="A861" s="19"/>
      <c r="B861" s="19"/>
      <c r="C861" s="19"/>
      <c r="D861" s="31"/>
      <c r="E861" s="31"/>
      <c r="F861" s="31"/>
      <c r="G861" s="31"/>
      <c r="H861" s="31"/>
      <c r="I861" s="31"/>
      <c r="J861" s="31"/>
      <c r="K861" s="19"/>
      <c r="L861" s="19"/>
      <c r="M861" s="19"/>
      <c r="N861" s="31"/>
      <c r="O861" s="31"/>
      <c r="P861" s="19"/>
      <c r="Q861" s="19"/>
    </row>
    <row r="862" spans="1:17" ht="46.5" customHeight="1" x14ac:dyDescent="0.7">
      <c r="A862" s="19"/>
      <c r="B862" s="19"/>
      <c r="C862" s="19"/>
      <c r="D862" s="31"/>
      <c r="E862" s="31"/>
      <c r="F862" s="31"/>
      <c r="G862" s="31"/>
      <c r="H862" s="31"/>
      <c r="I862" s="31"/>
      <c r="J862" s="31"/>
      <c r="K862" s="19"/>
      <c r="L862" s="19"/>
      <c r="M862" s="19"/>
      <c r="N862" s="31"/>
      <c r="O862" s="31"/>
      <c r="P862" s="19"/>
      <c r="Q862" s="19"/>
    </row>
    <row r="863" spans="1:17" ht="46.5" customHeight="1" x14ac:dyDescent="0.7">
      <c r="A863" s="19"/>
      <c r="B863" s="19"/>
      <c r="C863" s="19"/>
      <c r="D863" s="31"/>
      <c r="E863" s="31"/>
      <c r="F863" s="31"/>
      <c r="G863" s="31"/>
      <c r="H863" s="31"/>
      <c r="I863" s="31"/>
      <c r="J863" s="31"/>
      <c r="K863" s="19"/>
      <c r="L863" s="19"/>
      <c r="M863" s="19"/>
      <c r="N863" s="31"/>
      <c r="O863" s="31"/>
      <c r="P863" s="19"/>
      <c r="Q863" s="19"/>
    </row>
    <row r="864" spans="1:17" ht="46.5" customHeight="1" x14ac:dyDescent="0.7">
      <c r="A864" s="19"/>
      <c r="B864" s="19"/>
      <c r="C864" s="19"/>
      <c r="D864" s="31"/>
      <c r="E864" s="31"/>
      <c r="F864" s="31"/>
      <c r="G864" s="31"/>
      <c r="H864" s="31"/>
      <c r="I864" s="31"/>
      <c r="J864" s="31"/>
      <c r="K864" s="19"/>
      <c r="L864" s="19"/>
      <c r="M864" s="19"/>
      <c r="N864" s="31"/>
      <c r="O864" s="31"/>
      <c r="P864" s="19"/>
      <c r="Q864" s="19"/>
    </row>
    <row r="865" spans="1:17" ht="46.5" customHeight="1" x14ac:dyDescent="0.7">
      <c r="A865" s="19"/>
      <c r="B865" s="19"/>
      <c r="C865" s="19"/>
      <c r="D865" s="31"/>
      <c r="E865" s="31"/>
      <c r="F865" s="31"/>
      <c r="G865" s="31"/>
      <c r="H865" s="31"/>
      <c r="I865" s="31"/>
      <c r="J865" s="31"/>
      <c r="K865" s="19"/>
      <c r="L865" s="19"/>
      <c r="M865" s="19"/>
      <c r="N865" s="31"/>
      <c r="O865" s="31"/>
      <c r="P865" s="19"/>
      <c r="Q865" s="19"/>
    </row>
    <row r="866" spans="1:17" ht="46.5" customHeight="1" x14ac:dyDescent="0.7">
      <c r="A866" s="19"/>
      <c r="B866" s="19"/>
      <c r="C866" s="19"/>
      <c r="D866" s="31"/>
      <c r="E866" s="31"/>
      <c r="F866" s="31"/>
      <c r="G866" s="31"/>
      <c r="H866" s="31"/>
      <c r="I866" s="31"/>
      <c r="J866" s="31"/>
      <c r="K866" s="19"/>
      <c r="L866" s="19"/>
      <c r="M866" s="19"/>
      <c r="N866" s="31"/>
      <c r="O866" s="31"/>
      <c r="P866" s="19"/>
      <c r="Q866" s="19"/>
    </row>
    <row r="867" spans="1:17" ht="46.5" customHeight="1" x14ac:dyDescent="0.7">
      <c r="A867" s="19"/>
      <c r="B867" s="19"/>
      <c r="C867" s="19"/>
      <c r="D867" s="31"/>
      <c r="E867" s="31"/>
      <c r="F867" s="31"/>
      <c r="G867" s="31"/>
      <c r="H867" s="31"/>
      <c r="I867" s="31"/>
      <c r="J867" s="31"/>
      <c r="K867" s="19"/>
      <c r="L867" s="19"/>
      <c r="M867" s="19"/>
      <c r="N867" s="31"/>
      <c r="O867" s="31"/>
      <c r="P867" s="19"/>
      <c r="Q867" s="19"/>
    </row>
    <row r="868" spans="1:17" ht="46.5" customHeight="1" x14ac:dyDescent="0.7">
      <c r="A868" s="19"/>
      <c r="B868" s="19"/>
      <c r="C868" s="19"/>
      <c r="D868" s="31"/>
      <c r="E868" s="31"/>
      <c r="F868" s="31"/>
      <c r="G868" s="31"/>
      <c r="H868" s="31"/>
      <c r="I868" s="31"/>
      <c r="J868" s="31"/>
      <c r="K868" s="19"/>
      <c r="L868" s="19"/>
      <c r="M868" s="19"/>
      <c r="N868" s="31"/>
      <c r="O868" s="31"/>
      <c r="P868" s="19"/>
      <c r="Q868" s="19"/>
    </row>
    <row r="869" spans="1:17" ht="46.5" customHeight="1" x14ac:dyDescent="0.7">
      <c r="A869" s="19"/>
      <c r="B869" s="19"/>
      <c r="C869" s="19"/>
      <c r="D869" s="31"/>
      <c r="E869" s="31"/>
      <c r="F869" s="31"/>
      <c r="G869" s="31"/>
      <c r="H869" s="31"/>
      <c r="I869" s="31"/>
      <c r="J869" s="31"/>
      <c r="K869" s="19"/>
      <c r="L869" s="19"/>
      <c r="M869" s="19"/>
      <c r="N869" s="31"/>
      <c r="O869" s="31"/>
      <c r="P869" s="19"/>
      <c r="Q869" s="19"/>
    </row>
    <row r="870" spans="1:17" ht="46.5" customHeight="1" x14ac:dyDescent="0.7">
      <c r="A870" s="19"/>
      <c r="B870" s="19"/>
      <c r="C870" s="19"/>
      <c r="D870" s="31"/>
      <c r="E870" s="31"/>
      <c r="F870" s="31"/>
      <c r="G870" s="31"/>
      <c r="H870" s="31"/>
      <c r="I870" s="31"/>
      <c r="J870" s="31"/>
      <c r="K870" s="19"/>
      <c r="L870" s="19"/>
      <c r="M870" s="19"/>
      <c r="N870" s="31"/>
      <c r="O870" s="31"/>
      <c r="P870" s="19"/>
      <c r="Q870" s="19"/>
    </row>
    <row r="871" spans="1:17" ht="46.5" customHeight="1" x14ac:dyDescent="0.7">
      <c r="A871" s="19"/>
      <c r="B871" s="19"/>
      <c r="C871" s="19"/>
      <c r="D871" s="31"/>
      <c r="E871" s="31"/>
      <c r="F871" s="31"/>
      <c r="G871" s="31"/>
      <c r="H871" s="31"/>
      <c r="I871" s="31"/>
      <c r="J871" s="31"/>
      <c r="K871" s="19"/>
      <c r="L871" s="19"/>
      <c r="M871" s="19"/>
      <c r="N871" s="31"/>
      <c r="O871" s="31"/>
      <c r="P871" s="19"/>
      <c r="Q871" s="19"/>
    </row>
    <row r="872" spans="1:17" ht="46.5" customHeight="1" x14ac:dyDescent="0.7">
      <c r="A872" s="19"/>
      <c r="B872" s="19"/>
      <c r="C872" s="19"/>
      <c r="D872" s="31"/>
      <c r="E872" s="31"/>
      <c r="F872" s="31"/>
      <c r="G872" s="31"/>
      <c r="H872" s="31"/>
      <c r="I872" s="31"/>
      <c r="J872" s="31"/>
      <c r="K872" s="19"/>
      <c r="L872" s="19"/>
      <c r="M872" s="19"/>
      <c r="N872" s="31"/>
      <c r="O872" s="31"/>
      <c r="P872" s="19"/>
      <c r="Q872" s="19"/>
    </row>
    <row r="873" spans="1:17" ht="46.5" customHeight="1" x14ac:dyDescent="0.7">
      <c r="A873" s="19"/>
      <c r="B873" s="19"/>
      <c r="C873" s="19"/>
      <c r="D873" s="31"/>
      <c r="E873" s="31"/>
      <c r="F873" s="31"/>
      <c r="G873" s="31"/>
      <c r="H873" s="31"/>
      <c r="I873" s="31"/>
      <c r="J873" s="31"/>
      <c r="K873" s="19"/>
      <c r="L873" s="19"/>
      <c r="M873" s="19"/>
      <c r="N873" s="31"/>
      <c r="O873" s="31"/>
      <c r="P873" s="19"/>
      <c r="Q873" s="19"/>
    </row>
    <row r="874" spans="1:17" ht="46.5" customHeight="1" x14ac:dyDescent="0.7">
      <c r="A874" s="19"/>
      <c r="B874" s="19"/>
      <c r="C874" s="19"/>
      <c r="D874" s="31"/>
      <c r="E874" s="31"/>
      <c r="F874" s="31"/>
      <c r="G874" s="31"/>
      <c r="H874" s="31"/>
      <c r="I874" s="31"/>
      <c r="J874" s="31"/>
      <c r="K874" s="19"/>
      <c r="L874" s="19"/>
      <c r="M874" s="19"/>
      <c r="N874" s="31"/>
      <c r="O874" s="31"/>
      <c r="P874" s="19"/>
      <c r="Q874" s="19"/>
    </row>
    <row r="875" spans="1:17" ht="46.5" customHeight="1" x14ac:dyDescent="0.7">
      <c r="A875" s="19"/>
      <c r="B875" s="19"/>
      <c r="C875" s="19"/>
      <c r="D875" s="31"/>
      <c r="E875" s="31"/>
      <c r="F875" s="31"/>
      <c r="G875" s="31"/>
      <c r="H875" s="31"/>
      <c r="I875" s="31"/>
      <c r="J875" s="31"/>
      <c r="K875" s="19"/>
      <c r="L875" s="19"/>
      <c r="M875" s="19"/>
      <c r="N875" s="31"/>
      <c r="O875" s="31"/>
      <c r="P875" s="19"/>
      <c r="Q875" s="19"/>
    </row>
    <row r="876" spans="1:17" ht="46.5" customHeight="1" x14ac:dyDescent="0.7">
      <c r="A876" s="19"/>
      <c r="B876" s="19"/>
      <c r="C876" s="19"/>
      <c r="D876" s="31"/>
      <c r="E876" s="31"/>
      <c r="F876" s="31"/>
      <c r="G876" s="31"/>
      <c r="H876" s="31"/>
      <c r="I876" s="31"/>
      <c r="J876" s="31"/>
      <c r="K876" s="19"/>
      <c r="L876" s="19"/>
      <c r="M876" s="19"/>
      <c r="N876" s="31"/>
      <c r="O876" s="31"/>
      <c r="P876" s="19"/>
      <c r="Q876" s="19"/>
    </row>
    <row r="877" spans="1:17" ht="46.5" customHeight="1" x14ac:dyDescent="0.7">
      <c r="A877" s="19"/>
      <c r="B877" s="19"/>
      <c r="C877" s="19"/>
      <c r="D877" s="31"/>
      <c r="E877" s="31"/>
      <c r="F877" s="31"/>
      <c r="G877" s="31"/>
      <c r="H877" s="31"/>
      <c r="I877" s="31"/>
      <c r="J877" s="31"/>
      <c r="K877" s="19"/>
      <c r="L877" s="19"/>
      <c r="M877" s="19"/>
      <c r="N877" s="31"/>
      <c r="O877" s="31"/>
      <c r="P877" s="19"/>
      <c r="Q877" s="19"/>
    </row>
    <row r="878" spans="1:17" ht="46.5" customHeight="1" x14ac:dyDescent="0.7">
      <c r="A878" s="19"/>
      <c r="B878" s="19"/>
      <c r="C878" s="19"/>
      <c r="D878" s="31"/>
      <c r="E878" s="31"/>
      <c r="F878" s="31"/>
      <c r="G878" s="31"/>
      <c r="H878" s="31"/>
      <c r="I878" s="31"/>
      <c r="J878" s="31"/>
      <c r="K878" s="19"/>
      <c r="L878" s="19"/>
      <c r="M878" s="19"/>
      <c r="N878" s="31"/>
      <c r="O878" s="31"/>
      <c r="P878" s="19"/>
      <c r="Q878" s="19"/>
    </row>
    <row r="879" spans="1:17" ht="46.5" customHeight="1" x14ac:dyDescent="0.7">
      <c r="A879" s="19"/>
      <c r="B879" s="19"/>
      <c r="C879" s="19"/>
      <c r="D879" s="31"/>
      <c r="E879" s="31"/>
      <c r="F879" s="31"/>
      <c r="G879" s="31"/>
      <c r="H879" s="31"/>
      <c r="I879" s="31"/>
      <c r="J879" s="31"/>
      <c r="K879" s="19"/>
      <c r="L879" s="19"/>
      <c r="M879" s="19"/>
      <c r="N879" s="31"/>
      <c r="O879" s="31"/>
      <c r="P879" s="19"/>
      <c r="Q879" s="19"/>
    </row>
    <row r="880" spans="1:17" ht="46.5" customHeight="1" x14ac:dyDescent="0.7">
      <c r="A880" s="19"/>
      <c r="B880" s="19"/>
      <c r="C880" s="19"/>
      <c r="D880" s="31"/>
      <c r="E880" s="31"/>
      <c r="F880" s="31"/>
      <c r="G880" s="31"/>
      <c r="H880" s="31"/>
      <c r="I880" s="31"/>
      <c r="J880" s="31"/>
      <c r="K880" s="19"/>
      <c r="L880" s="19"/>
      <c r="M880" s="19"/>
      <c r="N880" s="31"/>
      <c r="O880" s="31"/>
      <c r="P880" s="19"/>
      <c r="Q880" s="19"/>
    </row>
    <row r="881" spans="1:17" ht="46.5" customHeight="1" x14ac:dyDescent="0.7">
      <c r="A881" s="19"/>
      <c r="B881" s="19"/>
      <c r="C881" s="19"/>
      <c r="D881" s="31"/>
      <c r="E881" s="31"/>
      <c r="F881" s="31"/>
      <c r="G881" s="31"/>
      <c r="H881" s="31"/>
      <c r="I881" s="31"/>
      <c r="J881" s="31"/>
      <c r="K881" s="19"/>
      <c r="L881" s="19"/>
      <c r="M881" s="19"/>
      <c r="N881" s="31"/>
      <c r="O881" s="31"/>
      <c r="P881" s="19"/>
      <c r="Q881" s="19"/>
    </row>
    <row r="882" spans="1:17" ht="46.5" customHeight="1" x14ac:dyDescent="0.7">
      <c r="A882" s="19"/>
      <c r="B882" s="19"/>
      <c r="C882" s="19"/>
      <c r="D882" s="31"/>
      <c r="E882" s="31"/>
      <c r="F882" s="31"/>
      <c r="G882" s="31"/>
      <c r="H882" s="31"/>
      <c r="I882" s="31"/>
      <c r="J882" s="31"/>
      <c r="K882" s="19"/>
      <c r="L882" s="19"/>
      <c r="M882" s="19"/>
      <c r="N882" s="31"/>
      <c r="O882" s="31"/>
      <c r="P882" s="19"/>
      <c r="Q882" s="19"/>
    </row>
    <row r="883" spans="1:17" ht="46.5" customHeight="1" x14ac:dyDescent="0.7">
      <c r="A883" s="19"/>
      <c r="B883" s="19"/>
      <c r="C883" s="19"/>
      <c r="D883" s="31"/>
      <c r="E883" s="31"/>
      <c r="F883" s="31"/>
      <c r="G883" s="31"/>
      <c r="H883" s="31"/>
      <c r="I883" s="31"/>
      <c r="J883" s="31"/>
      <c r="K883" s="19"/>
      <c r="L883" s="19"/>
      <c r="M883" s="19"/>
      <c r="N883" s="31"/>
      <c r="O883" s="31"/>
      <c r="P883" s="19"/>
      <c r="Q883" s="19"/>
    </row>
    <row r="884" spans="1:17" ht="46.5" customHeight="1" x14ac:dyDescent="0.7">
      <c r="A884" s="19"/>
      <c r="B884" s="19"/>
      <c r="C884" s="19"/>
      <c r="D884" s="31"/>
      <c r="E884" s="31"/>
      <c r="F884" s="31"/>
      <c r="G884" s="31"/>
      <c r="H884" s="31"/>
      <c r="I884" s="31"/>
      <c r="J884" s="31"/>
      <c r="K884" s="19"/>
      <c r="L884" s="19"/>
      <c r="M884" s="19"/>
      <c r="N884" s="31"/>
      <c r="O884" s="31"/>
      <c r="P884" s="19"/>
      <c r="Q884" s="19"/>
    </row>
    <row r="885" spans="1:17" ht="46.5" customHeight="1" x14ac:dyDescent="0.7">
      <c r="A885" s="19"/>
      <c r="B885" s="19"/>
      <c r="C885" s="19"/>
      <c r="D885" s="31"/>
      <c r="E885" s="31"/>
      <c r="F885" s="31"/>
      <c r="G885" s="31"/>
      <c r="H885" s="31"/>
      <c r="I885" s="31"/>
      <c r="J885" s="31"/>
      <c r="K885" s="19"/>
      <c r="L885" s="19"/>
      <c r="M885" s="19"/>
      <c r="N885" s="31"/>
      <c r="O885" s="31"/>
      <c r="P885" s="19"/>
      <c r="Q885" s="19"/>
    </row>
    <row r="886" spans="1:17" ht="46.5" customHeight="1" x14ac:dyDescent="0.7">
      <c r="A886" s="19"/>
      <c r="B886" s="19"/>
      <c r="C886" s="19"/>
      <c r="D886" s="31"/>
      <c r="E886" s="31"/>
      <c r="F886" s="31"/>
      <c r="G886" s="31"/>
      <c r="H886" s="31"/>
      <c r="I886" s="31"/>
      <c r="J886" s="31"/>
      <c r="K886" s="19"/>
      <c r="L886" s="19"/>
      <c r="M886" s="19"/>
      <c r="N886" s="31"/>
      <c r="O886" s="31"/>
      <c r="P886" s="19"/>
      <c r="Q886" s="19"/>
    </row>
    <row r="887" spans="1:17" ht="46.5" customHeight="1" x14ac:dyDescent="0.7">
      <c r="A887" s="19"/>
      <c r="B887" s="19"/>
      <c r="C887" s="19"/>
      <c r="D887" s="31"/>
      <c r="E887" s="31"/>
      <c r="F887" s="31"/>
      <c r="G887" s="31"/>
      <c r="H887" s="31"/>
      <c r="I887" s="31"/>
      <c r="J887" s="31"/>
      <c r="K887" s="19"/>
      <c r="L887" s="19"/>
      <c r="M887" s="19"/>
      <c r="N887" s="31"/>
      <c r="O887" s="31"/>
      <c r="P887" s="19"/>
      <c r="Q887" s="19"/>
    </row>
    <row r="888" spans="1:17" ht="46.5" customHeight="1" x14ac:dyDescent="0.7">
      <c r="A888" s="19"/>
      <c r="B888" s="19"/>
      <c r="C888" s="19"/>
      <c r="D888" s="31"/>
      <c r="E888" s="31"/>
      <c r="F888" s="31"/>
      <c r="G888" s="31"/>
      <c r="H888" s="31"/>
      <c r="I888" s="31"/>
      <c r="J888" s="31"/>
      <c r="K888" s="19"/>
      <c r="L888" s="19"/>
      <c r="M888" s="19"/>
      <c r="N888" s="31"/>
      <c r="O888" s="31"/>
      <c r="P888" s="19"/>
      <c r="Q888" s="19"/>
    </row>
    <row r="889" spans="1:17" ht="46.5" customHeight="1" x14ac:dyDescent="0.7">
      <c r="A889" s="19"/>
      <c r="B889" s="19"/>
      <c r="C889" s="19"/>
      <c r="D889" s="31"/>
      <c r="E889" s="31"/>
      <c r="F889" s="31"/>
      <c r="G889" s="31"/>
      <c r="H889" s="31"/>
      <c r="I889" s="31"/>
      <c r="J889" s="31"/>
      <c r="K889" s="19"/>
      <c r="L889" s="19"/>
      <c r="M889" s="19"/>
      <c r="N889" s="31"/>
      <c r="O889" s="31"/>
      <c r="P889" s="19"/>
      <c r="Q889" s="19"/>
    </row>
    <row r="890" spans="1:17" ht="46.5" customHeight="1" x14ac:dyDescent="0.7">
      <c r="A890" s="19"/>
      <c r="B890" s="19"/>
      <c r="C890" s="19"/>
      <c r="D890" s="31"/>
      <c r="E890" s="31"/>
      <c r="F890" s="31"/>
      <c r="G890" s="31"/>
      <c r="H890" s="31"/>
      <c r="I890" s="31"/>
      <c r="J890" s="31"/>
      <c r="K890" s="19"/>
      <c r="L890" s="19"/>
      <c r="M890" s="19"/>
      <c r="N890" s="31"/>
      <c r="O890" s="31"/>
      <c r="P890" s="19"/>
      <c r="Q890" s="19"/>
    </row>
    <row r="891" spans="1:17" ht="46.5" customHeight="1" x14ac:dyDescent="0.7">
      <c r="A891" s="19"/>
      <c r="B891" s="19"/>
      <c r="C891" s="19"/>
      <c r="D891" s="31"/>
      <c r="E891" s="31"/>
      <c r="F891" s="31"/>
      <c r="G891" s="31"/>
      <c r="H891" s="31"/>
      <c r="I891" s="31"/>
      <c r="J891" s="31"/>
      <c r="K891" s="19"/>
      <c r="L891" s="19"/>
      <c r="M891" s="19"/>
      <c r="N891" s="31"/>
      <c r="O891" s="31"/>
      <c r="P891" s="19"/>
      <c r="Q891" s="19"/>
    </row>
    <row r="892" spans="1:17" ht="46.5" customHeight="1" x14ac:dyDescent="0.7">
      <c r="A892" s="19"/>
      <c r="B892" s="19"/>
      <c r="C892" s="19"/>
      <c r="D892" s="31"/>
      <c r="E892" s="31"/>
      <c r="F892" s="31"/>
      <c r="G892" s="31"/>
      <c r="H892" s="31"/>
      <c r="I892" s="31"/>
      <c r="J892" s="31"/>
      <c r="K892" s="19"/>
      <c r="L892" s="19"/>
      <c r="M892" s="19"/>
      <c r="N892" s="31"/>
      <c r="O892" s="31"/>
      <c r="P892" s="19"/>
      <c r="Q892" s="19"/>
    </row>
    <row r="893" spans="1:17" ht="46.5" customHeight="1" x14ac:dyDescent="0.7">
      <c r="A893" s="19"/>
      <c r="B893" s="19"/>
      <c r="C893" s="19"/>
      <c r="D893" s="31"/>
      <c r="E893" s="31"/>
      <c r="F893" s="31"/>
      <c r="G893" s="31"/>
      <c r="H893" s="31"/>
      <c r="I893" s="31"/>
      <c r="J893" s="31"/>
      <c r="K893" s="19"/>
      <c r="L893" s="19"/>
      <c r="M893" s="19"/>
      <c r="N893" s="31"/>
      <c r="O893" s="31"/>
      <c r="P893" s="19"/>
      <c r="Q893" s="19"/>
    </row>
    <row r="894" spans="1:17" ht="46.5" customHeight="1" x14ac:dyDescent="0.7">
      <c r="A894" s="19"/>
      <c r="B894" s="19"/>
      <c r="C894" s="19"/>
      <c r="D894" s="31"/>
      <c r="E894" s="31"/>
      <c r="F894" s="31"/>
      <c r="G894" s="31"/>
      <c r="H894" s="31"/>
      <c r="I894" s="31"/>
      <c r="J894" s="31"/>
      <c r="K894" s="19"/>
      <c r="L894" s="19"/>
      <c r="M894" s="19"/>
      <c r="N894" s="31"/>
      <c r="O894" s="31"/>
      <c r="P894" s="19"/>
      <c r="Q894" s="19"/>
    </row>
    <row r="895" spans="1:17" ht="46.5" customHeight="1" x14ac:dyDescent="0.7">
      <c r="A895" s="19"/>
      <c r="B895" s="19"/>
      <c r="C895" s="19"/>
      <c r="D895" s="31"/>
      <c r="E895" s="31"/>
      <c r="F895" s="31"/>
      <c r="G895" s="31"/>
      <c r="H895" s="31"/>
      <c r="I895" s="31"/>
      <c r="J895" s="31"/>
      <c r="K895" s="19"/>
      <c r="L895" s="19"/>
      <c r="M895" s="19"/>
      <c r="N895" s="31"/>
      <c r="O895" s="31"/>
      <c r="P895" s="19"/>
      <c r="Q895" s="19"/>
    </row>
    <row r="896" spans="1:17" ht="46.5" customHeight="1" x14ac:dyDescent="0.7">
      <c r="A896" s="19"/>
      <c r="B896" s="19"/>
      <c r="C896" s="19"/>
      <c r="D896" s="31"/>
      <c r="E896" s="31"/>
      <c r="F896" s="31"/>
      <c r="G896" s="31"/>
      <c r="H896" s="31"/>
      <c r="I896" s="31"/>
      <c r="J896" s="31"/>
      <c r="K896" s="19"/>
      <c r="L896" s="19"/>
      <c r="M896" s="19"/>
      <c r="N896" s="31"/>
      <c r="O896" s="31"/>
      <c r="P896" s="19"/>
      <c r="Q896" s="19"/>
    </row>
    <row r="897" spans="1:17" ht="46.5" customHeight="1" x14ac:dyDescent="0.7">
      <c r="A897" s="19"/>
      <c r="B897" s="19"/>
      <c r="C897" s="19"/>
      <c r="D897" s="31"/>
      <c r="E897" s="31"/>
      <c r="F897" s="31"/>
      <c r="G897" s="31"/>
      <c r="H897" s="31"/>
      <c r="I897" s="31"/>
      <c r="J897" s="31"/>
      <c r="K897" s="19"/>
      <c r="L897" s="19"/>
      <c r="M897" s="19"/>
      <c r="N897" s="31"/>
      <c r="O897" s="31"/>
      <c r="P897" s="19"/>
      <c r="Q897" s="19"/>
    </row>
    <row r="898" spans="1:17" ht="46.5" customHeight="1" x14ac:dyDescent="0.7">
      <c r="A898" s="19"/>
      <c r="B898" s="19"/>
      <c r="C898" s="19"/>
      <c r="D898" s="31"/>
      <c r="E898" s="31"/>
      <c r="F898" s="31"/>
      <c r="G898" s="31"/>
      <c r="H898" s="31"/>
      <c r="I898" s="31"/>
      <c r="J898" s="31"/>
      <c r="K898" s="19"/>
      <c r="L898" s="19"/>
      <c r="M898" s="19"/>
      <c r="N898" s="31"/>
      <c r="O898" s="31"/>
      <c r="P898" s="19"/>
      <c r="Q898" s="19"/>
    </row>
    <row r="899" spans="1:17" ht="46.5" customHeight="1" x14ac:dyDescent="0.7">
      <c r="A899" s="19"/>
      <c r="B899" s="19"/>
      <c r="C899" s="19"/>
      <c r="D899" s="31"/>
      <c r="E899" s="31"/>
      <c r="F899" s="31"/>
      <c r="G899" s="31"/>
      <c r="H899" s="31"/>
      <c r="I899" s="31"/>
      <c r="J899" s="31"/>
      <c r="K899" s="19"/>
      <c r="L899" s="19"/>
      <c r="M899" s="19"/>
      <c r="N899" s="31"/>
      <c r="O899" s="31"/>
      <c r="P899" s="19"/>
      <c r="Q899" s="19"/>
    </row>
    <row r="900" spans="1:17" ht="46.5" customHeight="1" x14ac:dyDescent="0.7">
      <c r="A900" s="19"/>
      <c r="B900" s="19"/>
      <c r="C900" s="19"/>
      <c r="D900" s="31"/>
      <c r="E900" s="31"/>
      <c r="F900" s="31"/>
      <c r="G900" s="31"/>
      <c r="H900" s="31"/>
      <c r="I900" s="31"/>
      <c r="J900" s="31"/>
      <c r="K900" s="19"/>
      <c r="L900" s="19"/>
      <c r="M900" s="19"/>
      <c r="N900" s="31"/>
      <c r="O900" s="31"/>
      <c r="P900" s="19"/>
      <c r="Q900" s="19"/>
    </row>
    <row r="901" spans="1:17" ht="46.5" customHeight="1" x14ac:dyDescent="0.7">
      <c r="A901" s="19"/>
      <c r="B901" s="19"/>
      <c r="C901" s="19"/>
      <c r="D901" s="31"/>
      <c r="E901" s="31"/>
      <c r="F901" s="31"/>
      <c r="G901" s="31"/>
      <c r="H901" s="31"/>
      <c r="I901" s="31"/>
      <c r="J901" s="31"/>
      <c r="K901" s="19"/>
      <c r="L901" s="19"/>
      <c r="M901" s="19"/>
      <c r="N901" s="31"/>
      <c r="O901" s="31"/>
      <c r="P901" s="19"/>
      <c r="Q901" s="19"/>
    </row>
    <row r="902" spans="1:17" ht="46.5" customHeight="1" x14ac:dyDescent="0.7">
      <c r="A902" s="19"/>
      <c r="B902" s="19"/>
      <c r="C902" s="19"/>
      <c r="D902" s="31"/>
      <c r="E902" s="31"/>
      <c r="F902" s="31"/>
      <c r="G902" s="31"/>
      <c r="H902" s="31"/>
      <c r="I902" s="31"/>
      <c r="J902" s="31"/>
      <c r="K902" s="19"/>
      <c r="L902" s="19"/>
      <c r="M902" s="19"/>
      <c r="N902" s="31"/>
      <c r="O902" s="31"/>
      <c r="P902" s="19"/>
      <c r="Q902" s="19"/>
    </row>
    <row r="903" spans="1:17" ht="46.5" customHeight="1" x14ac:dyDescent="0.7">
      <c r="A903" s="19"/>
      <c r="B903" s="19"/>
      <c r="C903" s="19"/>
      <c r="D903" s="31"/>
      <c r="E903" s="31"/>
      <c r="F903" s="31"/>
      <c r="G903" s="31"/>
      <c r="H903" s="31"/>
      <c r="I903" s="31"/>
      <c r="J903" s="31"/>
      <c r="K903" s="19"/>
      <c r="L903" s="19"/>
      <c r="M903" s="19"/>
      <c r="N903" s="31"/>
      <c r="O903" s="31"/>
      <c r="P903" s="19"/>
      <c r="Q903" s="19"/>
    </row>
    <row r="904" spans="1:17" ht="46.5" customHeight="1" x14ac:dyDescent="0.7">
      <c r="A904" s="19"/>
      <c r="B904" s="19"/>
      <c r="C904" s="19"/>
      <c r="D904" s="31"/>
      <c r="E904" s="31"/>
      <c r="F904" s="31"/>
      <c r="G904" s="31"/>
      <c r="H904" s="31"/>
      <c r="I904" s="31"/>
      <c r="J904" s="31"/>
      <c r="K904" s="19"/>
      <c r="L904" s="19"/>
      <c r="M904" s="19"/>
      <c r="N904" s="31"/>
      <c r="O904" s="31"/>
      <c r="P904" s="19"/>
      <c r="Q904" s="19"/>
    </row>
    <row r="905" spans="1:17" ht="46.5" customHeight="1" x14ac:dyDescent="0.7">
      <c r="A905" s="19"/>
      <c r="B905" s="19"/>
      <c r="C905" s="19"/>
      <c r="D905" s="31"/>
      <c r="E905" s="31"/>
      <c r="F905" s="31"/>
      <c r="G905" s="31"/>
      <c r="H905" s="31"/>
      <c r="I905" s="31"/>
      <c r="J905" s="31"/>
      <c r="K905" s="19"/>
      <c r="L905" s="19"/>
      <c r="M905" s="19"/>
      <c r="N905" s="31"/>
      <c r="O905" s="31"/>
      <c r="P905" s="19"/>
      <c r="Q905" s="19"/>
    </row>
    <row r="906" spans="1:17" ht="46.5" customHeight="1" x14ac:dyDescent="0.7">
      <c r="A906" s="19"/>
      <c r="B906" s="19"/>
      <c r="C906" s="19"/>
      <c r="D906" s="31"/>
      <c r="E906" s="31"/>
      <c r="F906" s="31"/>
      <c r="G906" s="31"/>
      <c r="H906" s="31"/>
      <c r="I906" s="31"/>
      <c r="J906" s="31"/>
      <c r="K906" s="19"/>
      <c r="L906" s="19"/>
      <c r="M906" s="19"/>
      <c r="N906" s="31"/>
      <c r="O906" s="31"/>
      <c r="P906" s="19"/>
      <c r="Q906" s="19"/>
    </row>
    <row r="907" spans="1:17" ht="46.5" customHeight="1" x14ac:dyDescent="0.7">
      <c r="A907" s="19"/>
      <c r="B907" s="19"/>
      <c r="C907" s="19"/>
      <c r="D907" s="31"/>
      <c r="E907" s="31"/>
      <c r="F907" s="31"/>
      <c r="G907" s="31"/>
      <c r="H907" s="31"/>
      <c r="I907" s="31"/>
      <c r="J907" s="31"/>
      <c r="K907" s="19"/>
      <c r="L907" s="19"/>
      <c r="M907" s="19"/>
      <c r="N907" s="31"/>
      <c r="O907" s="31"/>
      <c r="P907" s="19"/>
      <c r="Q907" s="19"/>
    </row>
    <row r="908" spans="1:17" ht="46.5" customHeight="1" x14ac:dyDescent="0.7">
      <c r="A908" s="19"/>
      <c r="B908" s="19"/>
      <c r="C908" s="19"/>
      <c r="D908" s="31"/>
      <c r="E908" s="31"/>
      <c r="F908" s="31"/>
      <c r="G908" s="31"/>
      <c r="H908" s="31"/>
      <c r="I908" s="31"/>
      <c r="J908" s="31"/>
      <c r="K908" s="19"/>
      <c r="L908" s="19"/>
      <c r="M908" s="19"/>
      <c r="N908" s="31"/>
      <c r="O908" s="31"/>
      <c r="P908" s="19"/>
      <c r="Q908" s="19"/>
    </row>
    <row r="909" spans="1:17" ht="46.5" customHeight="1" x14ac:dyDescent="0.7">
      <c r="A909" s="19"/>
      <c r="B909" s="19"/>
      <c r="C909" s="19"/>
      <c r="D909" s="31"/>
      <c r="E909" s="31"/>
      <c r="F909" s="31"/>
      <c r="G909" s="31"/>
      <c r="H909" s="31"/>
      <c r="I909" s="31"/>
      <c r="J909" s="31"/>
      <c r="K909" s="19"/>
      <c r="L909" s="19"/>
      <c r="M909" s="19"/>
      <c r="N909" s="31"/>
      <c r="O909" s="31"/>
      <c r="P909" s="19"/>
      <c r="Q909" s="19"/>
    </row>
    <row r="910" spans="1:17" ht="46.5" customHeight="1" x14ac:dyDescent="0.7">
      <c r="A910" s="19"/>
      <c r="B910" s="19"/>
      <c r="C910" s="19"/>
      <c r="D910" s="31"/>
      <c r="E910" s="31"/>
      <c r="F910" s="31"/>
      <c r="G910" s="31"/>
      <c r="H910" s="31"/>
      <c r="I910" s="31"/>
      <c r="J910" s="31"/>
      <c r="K910" s="19"/>
      <c r="L910" s="19"/>
      <c r="M910" s="19"/>
      <c r="N910" s="31"/>
      <c r="O910" s="31"/>
      <c r="P910" s="19"/>
      <c r="Q910" s="19"/>
    </row>
    <row r="911" spans="1:17" ht="46.5" customHeight="1" x14ac:dyDescent="0.7">
      <c r="A911" s="19"/>
      <c r="B911" s="19"/>
      <c r="C911" s="19"/>
      <c r="D911" s="31"/>
      <c r="E911" s="31"/>
      <c r="F911" s="31"/>
      <c r="G911" s="31"/>
      <c r="H911" s="31"/>
      <c r="I911" s="31"/>
      <c r="J911" s="31"/>
      <c r="K911" s="19"/>
      <c r="L911" s="19"/>
      <c r="M911" s="19"/>
      <c r="N911" s="31"/>
      <c r="O911" s="31"/>
      <c r="P911" s="19"/>
      <c r="Q911" s="19"/>
    </row>
    <row r="912" spans="1:17" ht="46.5" customHeight="1" x14ac:dyDescent="0.7">
      <c r="A912" s="19"/>
      <c r="B912" s="19"/>
      <c r="C912" s="19"/>
      <c r="D912" s="31"/>
      <c r="E912" s="31"/>
      <c r="F912" s="31"/>
      <c r="G912" s="31"/>
      <c r="H912" s="31"/>
      <c r="I912" s="31"/>
      <c r="J912" s="31"/>
      <c r="K912" s="19"/>
      <c r="L912" s="19"/>
      <c r="M912" s="19"/>
      <c r="N912" s="31"/>
      <c r="O912" s="31"/>
      <c r="P912" s="19"/>
      <c r="Q912" s="19"/>
    </row>
    <row r="913" spans="1:17" ht="46.5" customHeight="1" x14ac:dyDescent="0.7">
      <c r="A913" s="19"/>
      <c r="B913" s="19"/>
      <c r="C913" s="19"/>
      <c r="D913" s="31"/>
      <c r="E913" s="31"/>
      <c r="F913" s="31"/>
      <c r="G913" s="31"/>
      <c r="H913" s="31"/>
      <c r="I913" s="31"/>
      <c r="J913" s="31"/>
      <c r="K913" s="19"/>
      <c r="L913" s="19"/>
      <c r="M913" s="19"/>
      <c r="N913" s="31"/>
      <c r="O913" s="31"/>
      <c r="P913" s="19"/>
      <c r="Q913" s="19"/>
    </row>
    <row r="914" spans="1:17" ht="46.5" customHeight="1" x14ac:dyDescent="0.7">
      <c r="A914" s="19"/>
      <c r="B914" s="19"/>
      <c r="C914" s="19"/>
      <c r="D914" s="31"/>
      <c r="E914" s="31"/>
      <c r="F914" s="31"/>
      <c r="G914" s="31"/>
      <c r="H914" s="31"/>
      <c r="I914" s="31"/>
      <c r="J914" s="31"/>
      <c r="K914" s="19"/>
      <c r="L914" s="19"/>
      <c r="M914" s="19"/>
      <c r="N914" s="31"/>
      <c r="O914" s="31"/>
      <c r="P914" s="19"/>
      <c r="Q914" s="19"/>
    </row>
    <row r="915" spans="1:17" ht="46.5" customHeight="1" x14ac:dyDescent="0.7">
      <c r="A915" s="19"/>
      <c r="B915" s="19"/>
      <c r="C915" s="19"/>
      <c r="D915" s="31"/>
      <c r="E915" s="31"/>
      <c r="F915" s="31"/>
      <c r="G915" s="31"/>
      <c r="H915" s="31"/>
      <c r="I915" s="31"/>
      <c r="J915" s="31"/>
      <c r="K915" s="19"/>
      <c r="L915" s="19"/>
      <c r="M915" s="19"/>
      <c r="N915" s="31"/>
      <c r="O915" s="31"/>
      <c r="P915" s="19"/>
      <c r="Q915" s="19"/>
    </row>
    <row r="916" spans="1:17" ht="46.5" customHeight="1" x14ac:dyDescent="0.7">
      <c r="A916" s="19"/>
      <c r="B916" s="19"/>
      <c r="C916" s="19"/>
      <c r="D916" s="31"/>
      <c r="E916" s="31"/>
      <c r="F916" s="31"/>
      <c r="G916" s="31"/>
      <c r="H916" s="31"/>
      <c r="I916" s="31"/>
      <c r="J916" s="31"/>
      <c r="K916" s="19"/>
      <c r="L916" s="19"/>
      <c r="M916" s="19"/>
      <c r="N916" s="31"/>
      <c r="O916" s="31"/>
      <c r="P916" s="19"/>
      <c r="Q916" s="19"/>
    </row>
    <row r="917" spans="1:17" ht="46.5" customHeight="1" x14ac:dyDescent="0.7">
      <c r="A917" s="19"/>
      <c r="B917" s="19"/>
      <c r="C917" s="19"/>
      <c r="D917" s="31"/>
      <c r="E917" s="31"/>
      <c r="F917" s="31"/>
      <c r="G917" s="31"/>
      <c r="H917" s="31"/>
      <c r="I917" s="31"/>
      <c r="J917" s="31"/>
      <c r="K917" s="19"/>
      <c r="L917" s="19"/>
      <c r="M917" s="19"/>
      <c r="N917" s="31"/>
      <c r="O917" s="31"/>
      <c r="P917" s="19"/>
      <c r="Q917" s="19"/>
    </row>
    <row r="918" spans="1:17" ht="46.5" customHeight="1" x14ac:dyDescent="0.7">
      <c r="A918" s="19"/>
      <c r="B918" s="19"/>
      <c r="C918" s="19"/>
      <c r="D918" s="31"/>
      <c r="E918" s="31"/>
      <c r="F918" s="31"/>
      <c r="G918" s="31"/>
      <c r="H918" s="31"/>
      <c r="I918" s="31"/>
      <c r="J918" s="31"/>
      <c r="K918" s="19"/>
      <c r="L918" s="19"/>
      <c r="M918" s="19"/>
      <c r="N918" s="31"/>
      <c r="O918" s="31"/>
      <c r="P918" s="19"/>
      <c r="Q918" s="19"/>
    </row>
    <row r="919" spans="1:17" ht="46.5" customHeight="1" x14ac:dyDescent="0.7">
      <c r="A919" s="19"/>
      <c r="B919" s="19"/>
      <c r="C919" s="19"/>
      <c r="D919" s="31"/>
      <c r="E919" s="31"/>
      <c r="F919" s="31"/>
      <c r="G919" s="31"/>
      <c r="H919" s="31"/>
      <c r="I919" s="31"/>
      <c r="J919" s="31"/>
      <c r="K919" s="19"/>
      <c r="L919" s="19"/>
      <c r="M919" s="19"/>
      <c r="N919" s="31"/>
      <c r="O919" s="31"/>
      <c r="P919" s="19"/>
      <c r="Q919" s="19"/>
    </row>
    <row r="920" spans="1:17" ht="46.5" customHeight="1" x14ac:dyDescent="0.7">
      <c r="A920" s="19"/>
      <c r="B920" s="19"/>
      <c r="C920" s="19"/>
      <c r="D920" s="31"/>
      <c r="E920" s="31"/>
      <c r="F920" s="31"/>
      <c r="G920" s="31"/>
      <c r="H920" s="31"/>
      <c r="I920" s="31"/>
      <c r="J920" s="31"/>
      <c r="K920" s="19"/>
      <c r="L920" s="19"/>
      <c r="M920" s="19"/>
      <c r="N920" s="31"/>
      <c r="O920" s="31"/>
      <c r="P920" s="19"/>
      <c r="Q920" s="19"/>
    </row>
    <row r="921" spans="1:17" ht="46.5" customHeight="1" x14ac:dyDescent="0.7">
      <c r="A921" s="19"/>
      <c r="B921" s="19"/>
      <c r="C921" s="19"/>
      <c r="D921" s="31"/>
      <c r="E921" s="31"/>
      <c r="F921" s="31"/>
      <c r="G921" s="31"/>
      <c r="H921" s="31"/>
      <c r="I921" s="31"/>
      <c r="J921" s="31"/>
      <c r="K921" s="19"/>
      <c r="L921" s="19"/>
      <c r="M921" s="19"/>
      <c r="N921" s="31"/>
      <c r="O921" s="31"/>
      <c r="P921" s="19"/>
      <c r="Q921" s="19"/>
    </row>
    <row r="922" spans="1:17" ht="46.5" customHeight="1" x14ac:dyDescent="0.7">
      <c r="A922" s="19"/>
      <c r="B922" s="19"/>
      <c r="C922" s="19"/>
      <c r="D922" s="31"/>
      <c r="E922" s="31"/>
      <c r="F922" s="31"/>
      <c r="G922" s="31"/>
      <c r="H922" s="31"/>
      <c r="I922" s="31"/>
      <c r="J922" s="31"/>
      <c r="K922" s="19"/>
      <c r="L922" s="19"/>
      <c r="M922" s="19"/>
      <c r="N922" s="31"/>
      <c r="O922" s="31"/>
      <c r="P922" s="19"/>
      <c r="Q922" s="19"/>
    </row>
    <row r="923" spans="1:17" ht="46.5" customHeight="1" x14ac:dyDescent="0.7">
      <c r="A923" s="19"/>
      <c r="B923" s="19"/>
      <c r="C923" s="19"/>
      <c r="D923" s="31"/>
      <c r="E923" s="31"/>
      <c r="F923" s="31"/>
      <c r="G923" s="31"/>
      <c r="H923" s="31"/>
      <c r="I923" s="31"/>
      <c r="J923" s="31"/>
      <c r="K923" s="19"/>
      <c r="L923" s="19"/>
      <c r="M923" s="19"/>
      <c r="N923" s="31"/>
      <c r="O923" s="31"/>
      <c r="P923" s="19"/>
      <c r="Q923" s="19"/>
    </row>
    <row r="924" spans="1:17" ht="46.5" customHeight="1" x14ac:dyDescent="0.7">
      <c r="A924" s="19"/>
      <c r="B924" s="19"/>
      <c r="C924" s="19"/>
      <c r="D924" s="31"/>
      <c r="E924" s="31"/>
      <c r="F924" s="31"/>
      <c r="G924" s="31"/>
      <c r="H924" s="31"/>
      <c r="I924" s="31"/>
      <c r="J924" s="31"/>
      <c r="K924" s="19"/>
      <c r="L924" s="19"/>
      <c r="M924" s="19"/>
      <c r="N924" s="31"/>
      <c r="O924" s="31"/>
      <c r="P924" s="19"/>
      <c r="Q924" s="19"/>
    </row>
    <row r="925" spans="1:17" ht="46.5" customHeight="1" x14ac:dyDescent="0.7">
      <c r="A925" s="19"/>
      <c r="B925" s="19"/>
      <c r="C925" s="19"/>
      <c r="D925" s="31"/>
      <c r="E925" s="31"/>
      <c r="F925" s="31"/>
      <c r="G925" s="31"/>
      <c r="H925" s="31"/>
      <c r="I925" s="31"/>
      <c r="J925" s="31"/>
      <c r="K925" s="19"/>
      <c r="L925" s="19"/>
      <c r="M925" s="19"/>
      <c r="N925" s="31"/>
      <c r="O925" s="31"/>
      <c r="P925" s="19"/>
      <c r="Q925" s="19"/>
    </row>
    <row r="926" spans="1:17" ht="46.5" customHeight="1" x14ac:dyDescent="0.7">
      <c r="A926" s="19"/>
      <c r="B926" s="19"/>
      <c r="C926" s="19"/>
      <c r="D926" s="31"/>
      <c r="E926" s="31"/>
      <c r="F926" s="31"/>
      <c r="G926" s="31"/>
      <c r="H926" s="31"/>
      <c r="I926" s="31"/>
      <c r="J926" s="31"/>
      <c r="K926" s="19"/>
      <c r="L926" s="19"/>
      <c r="M926" s="19"/>
      <c r="N926" s="31"/>
      <c r="O926" s="31"/>
      <c r="P926" s="19"/>
      <c r="Q926" s="19"/>
    </row>
    <row r="927" spans="1:17" ht="46.5" customHeight="1" x14ac:dyDescent="0.7">
      <c r="A927" s="19"/>
      <c r="B927" s="19"/>
      <c r="C927" s="19"/>
      <c r="D927" s="31"/>
      <c r="E927" s="31"/>
      <c r="F927" s="31"/>
      <c r="G927" s="31"/>
      <c r="H927" s="31"/>
      <c r="I927" s="31"/>
      <c r="J927" s="31"/>
      <c r="K927" s="19"/>
      <c r="L927" s="19"/>
      <c r="M927" s="19"/>
      <c r="N927" s="31"/>
      <c r="O927" s="31"/>
      <c r="P927" s="19"/>
      <c r="Q927" s="19"/>
    </row>
    <row r="928" spans="1:17" ht="46.5" customHeight="1" x14ac:dyDescent="0.7">
      <c r="A928" s="19"/>
      <c r="B928" s="19"/>
      <c r="C928" s="19"/>
      <c r="D928" s="31"/>
      <c r="E928" s="31"/>
      <c r="F928" s="31"/>
      <c r="G928" s="31"/>
      <c r="H928" s="31"/>
      <c r="I928" s="31"/>
      <c r="J928" s="31"/>
      <c r="K928" s="19"/>
      <c r="L928" s="19"/>
      <c r="M928" s="19"/>
      <c r="N928" s="31"/>
      <c r="O928" s="31"/>
      <c r="P928" s="19"/>
      <c r="Q928" s="19"/>
    </row>
    <row r="929" spans="1:17" ht="46.5" customHeight="1" x14ac:dyDescent="0.7">
      <c r="A929" s="19"/>
      <c r="B929" s="19"/>
      <c r="C929" s="19"/>
      <c r="D929" s="31"/>
      <c r="E929" s="31"/>
      <c r="F929" s="31"/>
      <c r="G929" s="31"/>
      <c r="H929" s="31"/>
      <c r="I929" s="31"/>
      <c r="J929" s="31"/>
      <c r="K929" s="19"/>
      <c r="L929" s="19"/>
      <c r="M929" s="19"/>
      <c r="N929" s="31"/>
      <c r="O929" s="31"/>
      <c r="P929" s="19"/>
      <c r="Q929" s="19"/>
    </row>
    <row r="930" spans="1:17" ht="46.5" customHeight="1" x14ac:dyDescent="0.7">
      <c r="A930" s="19"/>
      <c r="B930" s="19"/>
      <c r="C930" s="19"/>
      <c r="D930" s="31"/>
      <c r="E930" s="31"/>
      <c r="F930" s="31"/>
      <c r="G930" s="31"/>
      <c r="H930" s="31"/>
      <c r="I930" s="31"/>
      <c r="J930" s="31"/>
      <c r="K930" s="19"/>
      <c r="L930" s="19"/>
      <c r="M930" s="19"/>
      <c r="N930" s="31"/>
      <c r="O930" s="31"/>
      <c r="P930" s="19"/>
      <c r="Q930" s="19"/>
    </row>
    <row r="931" spans="1:17" ht="46.5" customHeight="1" x14ac:dyDescent="0.7">
      <c r="A931" s="19"/>
      <c r="B931" s="19"/>
      <c r="C931" s="19"/>
      <c r="D931" s="31"/>
      <c r="E931" s="31"/>
      <c r="F931" s="31"/>
      <c r="G931" s="31"/>
      <c r="H931" s="31"/>
      <c r="I931" s="31"/>
      <c r="J931" s="31"/>
      <c r="K931" s="19"/>
      <c r="L931" s="19"/>
      <c r="M931" s="19"/>
      <c r="N931" s="31"/>
      <c r="O931" s="31"/>
      <c r="P931" s="19"/>
      <c r="Q931" s="19"/>
    </row>
    <row r="932" spans="1:17" ht="46.5" customHeight="1" x14ac:dyDescent="0.7">
      <c r="A932" s="19"/>
      <c r="B932" s="19"/>
      <c r="C932" s="19"/>
      <c r="D932" s="31"/>
      <c r="E932" s="31"/>
      <c r="F932" s="31"/>
      <c r="G932" s="31"/>
      <c r="H932" s="31"/>
      <c r="I932" s="31"/>
      <c r="J932" s="31"/>
      <c r="K932" s="19"/>
      <c r="L932" s="19"/>
      <c r="M932" s="19"/>
      <c r="N932" s="31"/>
      <c r="O932" s="31"/>
      <c r="P932" s="19"/>
      <c r="Q932" s="19"/>
    </row>
    <row r="933" spans="1:17" ht="46.5" customHeight="1" x14ac:dyDescent="0.7">
      <c r="A933" s="19"/>
      <c r="B933" s="19"/>
      <c r="C933" s="19"/>
      <c r="D933" s="31"/>
      <c r="E933" s="31"/>
      <c r="F933" s="31"/>
      <c r="G933" s="31"/>
      <c r="H933" s="31"/>
      <c r="I933" s="31"/>
      <c r="J933" s="31"/>
      <c r="K933" s="19"/>
      <c r="L933" s="19"/>
      <c r="M933" s="19"/>
      <c r="N933" s="31"/>
      <c r="O933" s="31"/>
      <c r="P933" s="19"/>
      <c r="Q933" s="19"/>
    </row>
    <row r="934" spans="1:17" ht="46.5" customHeight="1" x14ac:dyDescent="0.7">
      <c r="A934" s="19"/>
      <c r="B934" s="19"/>
      <c r="C934" s="19"/>
      <c r="D934" s="31"/>
      <c r="E934" s="31"/>
      <c r="F934" s="31"/>
      <c r="G934" s="31"/>
      <c r="H934" s="31"/>
      <c r="I934" s="31"/>
      <c r="J934" s="31"/>
      <c r="K934" s="19"/>
      <c r="L934" s="19"/>
      <c r="M934" s="19"/>
      <c r="N934" s="31"/>
      <c r="O934" s="31"/>
      <c r="P934" s="19"/>
      <c r="Q934" s="19"/>
    </row>
    <row r="935" spans="1:17" ht="46.5" customHeight="1" x14ac:dyDescent="0.7">
      <c r="A935" s="19"/>
      <c r="B935" s="19"/>
      <c r="C935" s="19"/>
      <c r="D935" s="31"/>
      <c r="E935" s="31"/>
      <c r="F935" s="31"/>
      <c r="G935" s="31"/>
      <c r="H935" s="31"/>
      <c r="I935" s="31"/>
      <c r="J935" s="31"/>
      <c r="K935" s="19"/>
      <c r="L935" s="19"/>
      <c r="M935" s="19"/>
      <c r="N935" s="31"/>
      <c r="O935" s="31"/>
      <c r="P935" s="19"/>
      <c r="Q935" s="19"/>
    </row>
    <row r="936" spans="1:17" ht="46.5" customHeight="1" x14ac:dyDescent="0.7">
      <c r="A936" s="19"/>
      <c r="B936" s="19"/>
      <c r="C936" s="19"/>
      <c r="D936" s="31"/>
      <c r="E936" s="31"/>
      <c r="F936" s="31"/>
      <c r="G936" s="31"/>
      <c r="H936" s="31"/>
      <c r="I936" s="31"/>
      <c r="J936" s="31"/>
      <c r="K936" s="19"/>
      <c r="L936" s="19"/>
      <c r="M936" s="19"/>
      <c r="N936" s="31"/>
      <c r="O936" s="31"/>
      <c r="P936" s="19"/>
      <c r="Q936" s="19"/>
    </row>
    <row r="937" spans="1:17" ht="46.5" customHeight="1" x14ac:dyDescent="0.7">
      <c r="A937" s="19"/>
      <c r="B937" s="19"/>
      <c r="C937" s="19"/>
      <c r="D937" s="31"/>
      <c r="E937" s="31"/>
      <c r="F937" s="31"/>
      <c r="G937" s="31"/>
      <c r="H937" s="31"/>
      <c r="I937" s="31"/>
      <c r="J937" s="31"/>
      <c r="K937" s="19"/>
      <c r="L937" s="19"/>
      <c r="M937" s="19"/>
      <c r="N937" s="31"/>
      <c r="O937" s="31"/>
      <c r="P937" s="19"/>
      <c r="Q937" s="19"/>
    </row>
    <row r="938" spans="1:17" ht="46.5" customHeight="1" x14ac:dyDescent="0.7">
      <c r="A938" s="19"/>
      <c r="B938" s="19"/>
      <c r="C938" s="19"/>
      <c r="D938" s="31"/>
      <c r="E938" s="31"/>
      <c r="F938" s="31"/>
      <c r="G938" s="31"/>
      <c r="H938" s="31"/>
      <c r="I938" s="31"/>
      <c r="J938" s="31"/>
      <c r="K938" s="19"/>
      <c r="L938" s="19"/>
      <c r="M938" s="19"/>
      <c r="N938" s="31"/>
      <c r="O938" s="31"/>
      <c r="P938" s="19"/>
      <c r="Q938" s="19"/>
    </row>
    <row r="939" spans="1:17" ht="46.5" customHeight="1" x14ac:dyDescent="0.7">
      <c r="A939" s="19"/>
      <c r="B939" s="19"/>
      <c r="C939" s="19"/>
      <c r="D939" s="31"/>
      <c r="E939" s="31"/>
      <c r="F939" s="31"/>
      <c r="G939" s="31"/>
      <c r="H939" s="31"/>
      <c r="I939" s="31"/>
      <c r="J939" s="31"/>
      <c r="K939" s="19"/>
      <c r="L939" s="19"/>
      <c r="M939" s="19"/>
      <c r="N939" s="31"/>
      <c r="O939" s="31"/>
      <c r="P939" s="19"/>
      <c r="Q939" s="19"/>
    </row>
    <row r="940" spans="1:17" ht="46.5" customHeight="1" x14ac:dyDescent="0.7">
      <c r="A940" s="19"/>
      <c r="B940" s="19"/>
      <c r="C940" s="19"/>
      <c r="D940" s="31"/>
      <c r="E940" s="31"/>
      <c r="F940" s="31"/>
      <c r="G940" s="31"/>
      <c r="H940" s="31"/>
      <c r="I940" s="31"/>
      <c r="J940" s="31"/>
      <c r="K940" s="19"/>
      <c r="L940" s="19"/>
      <c r="M940" s="19"/>
      <c r="N940" s="31"/>
      <c r="O940" s="31"/>
      <c r="P940" s="19"/>
      <c r="Q940" s="19"/>
    </row>
    <row r="941" spans="1:17" ht="46.5" customHeight="1" x14ac:dyDescent="0.7">
      <c r="A941" s="19"/>
      <c r="B941" s="19"/>
      <c r="C941" s="19"/>
      <c r="D941" s="31"/>
      <c r="E941" s="31"/>
      <c r="F941" s="31"/>
      <c r="G941" s="31"/>
      <c r="H941" s="31"/>
      <c r="I941" s="31"/>
      <c r="J941" s="31"/>
      <c r="K941" s="19"/>
      <c r="L941" s="19"/>
      <c r="M941" s="19"/>
      <c r="N941" s="31"/>
      <c r="O941" s="31"/>
      <c r="P941" s="19"/>
      <c r="Q941" s="19"/>
    </row>
    <row r="942" spans="1:17" ht="46.5" customHeight="1" x14ac:dyDescent="0.7">
      <c r="A942" s="19"/>
      <c r="B942" s="19"/>
      <c r="C942" s="19"/>
      <c r="D942" s="31"/>
      <c r="E942" s="31"/>
      <c r="F942" s="31"/>
      <c r="G942" s="31"/>
      <c r="H942" s="31"/>
      <c r="I942" s="31"/>
      <c r="J942" s="31"/>
      <c r="K942" s="19"/>
      <c r="L942" s="19"/>
      <c r="M942" s="19"/>
      <c r="N942" s="31"/>
      <c r="O942" s="31"/>
      <c r="P942" s="19"/>
      <c r="Q942" s="19"/>
    </row>
    <row r="943" spans="1:17" ht="46.5" customHeight="1" x14ac:dyDescent="0.7">
      <c r="A943" s="19"/>
      <c r="B943" s="19"/>
      <c r="C943" s="19"/>
      <c r="D943" s="31"/>
      <c r="E943" s="31"/>
      <c r="F943" s="31"/>
      <c r="G943" s="31"/>
      <c r="H943" s="31"/>
      <c r="I943" s="31"/>
      <c r="J943" s="31"/>
      <c r="K943" s="19"/>
      <c r="L943" s="19"/>
      <c r="M943" s="19"/>
      <c r="N943" s="31"/>
      <c r="O943" s="31"/>
      <c r="P943" s="19"/>
      <c r="Q943" s="19"/>
    </row>
    <row r="944" spans="1:17" ht="46.5" customHeight="1" x14ac:dyDescent="0.7">
      <c r="A944" s="19"/>
      <c r="B944" s="19"/>
      <c r="C944" s="19"/>
      <c r="D944" s="31"/>
      <c r="E944" s="31"/>
      <c r="F944" s="31"/>
      <c r="G944" s="31"/>
      <c r="H944" s="31"/>
      <c r="I944" s="31"/>
      <c r="J944" s="31"/>
      <c r="K944" s="19"/>
      <c r="L944" s="19"/>
      <c r="M944" s="19"/>
      <c r="N944" s="31"/>
      <c r="O944" s="31"/>
      <c r="P944" s="19"/>
      <c r="Q944" s="19"/>
    </row>
    <row r="945" spans="1:17" ht="46.5" customHeight="1" x14ac:dyDescent="0.7">
      <c r="A945" s="19"/>
      <c r="B945" s="19"/>
      <c r="C945" s="19"/>
      <c r="D945" s="31"/>
      <c r="E945" s="31"/>
      <c r="F945" s="31"/>
      <c r="G945" s="31"/>
      <c r="H945" s="31"/>
      <c r="I945" s="31"/>
      <c r="J945" s="31"/>
      <c r="K945" s="19"/>
      <c r="L945" s="19"/>
      <c r="M945" s="19"/>
      <c r="N945" s="31"/>
      <c r="O945" s="31"/>
      <c r="P945" s="19"/>
      <c r="Q945" s="19"/>
    </row>
    <row r="946" spans="1:17" ht="46.5" customHeight="1" x14ac:dyDescent="0.7">
      <c r="A946" s="19"/>
      <c r="B946" s="19"/>
      <c r="C946" s="19"/>
      <c r="D946" s="31"/>
      <c r="E946" s="31"/>
      <c r="F946" s="31"/>
      <c r="G946" s="31"/>
      <c r="H946" s="31"/>
      <c r="I946" s="31"/>
      <c r="J946" s="31"/>
      <c r="K946" s="19"/>
      <c r="L946" s="19"/>
      <c r="M946" s="19"/>
      <c r="N946" s="31"/>
      <c r="O946" s="31"/>
      <c r="P946" s="19"/>
      <c r="Q946" s="19"/>
    </row>
    <row r="947" spans="1:17" ht="46.5" customHeight="1" x14ac:dyDescent="0.7">
      <c r="A947" s="19"/>
      <c r="B947" s="19"/>
      <c r="C947" s="19"/>
      <c r="D947" s="31"/>
      <c r="E947" s="31"/>
      <c r="F947" s="31"/>
      <c r="G947" s="31"/>
      <c r="H947" s="31"/>
      <c r="I947" s="31"/>
      <c r="J947" s="31"/>
      <c r="K947" s="19"/>
      <c r="L947" s="19"/>
      <c r="M947" s="19"/>
      <c r="N947" s="31"/>
      <c r="O947" s="31"/>
      <c r="P947" s="19"/>
      <c r="Q947" s="19"/>
    </row>
    <row r="948" spans="1:17" ht="46.5" customHeight="1" x14ac:dyDescent="0.7">
      <c r="A948" s="19"/>
      <c r="B948" s="19"/>
      <c r="C948" s="19"/>
      <c r="D948" s="31"/>
      <c r="E948" s="31"/>
      <c r="F948" s="31"/>
      <c r="G948" s="31"/>
      <c r="H948" s="31"/>
      <c r="I948" s="31"/>
      <c r="J948" s="31"/>
      <c r="K948" s="19"/>
      <c r="L948" s="19"/>
      <c r="M948" s="19"/>
      <c r="N948" s="31"/>
      <c r="O948" s="31"/>
      <c r="P948" s="19"/>
      <c r="Q948" s="19"/>
    </row>
    <row r="949" spans="1:17" ht="46.5" customHeight="1" x14ac:dyDescent="0.7">
      <c r="A949" s="19"/>
      <c r="B949" s="19"/>
      <c r="C949" s="19"/>
      <c r="D949" s="31"/>
      <c r="E949" s="31"/>
      <c r="F949" s="31"/>
      <c r="G949" s="31"/>
      <c r="H949" s="31"/>
      <c r="I949" s="31"/>
      <c r="J949" s="31"/>
      <c r="K949" s="19"/>
      <c r="L949" s="19"/>
      <c r="M949" s="19"/>
      <c r="N949" s="31"/>
      <c r="O949" s="31"/>
      <c r="P949" s="19"/>
      <c r="Q949" s="19"/>
    </row>
    <row r="950" spans="1:17" ht="46.5" customHeight="1" x14ac:dyDescent="0.7">
      <c r="A950" s="19"/>
      <c r="B950" s="19"/>
      <c r="C950" s="19"/>
      <c r="D950" s="31"/>
      <c r="E950" s="31"/>
      <c r="F950" s="31"/>
      <c r="G950" s="31"/>
      <c r="H950" s="31"/>
      <c r="I950" s="31"/>
      <c r="J950" s="31"/>
      <c r="K950" s="19"/>
      <c r="L950" s="19"/>
      <c r="M950" s="19"/>
      <c r="N950" s="31"/>
      <c r="O950" s="31"/>
      <c r="P950" s="19"/>
      <c r="Q950" s="19"/>
    </row>
    <row r="951" spans="1:17" ht="46.5" customHeight="1" x14ac:dyDescent="0.7">
      <c r="A951" s="19"/>
      <c r="B951" s="19"/>
      <c r="C951" s="19"/>
      <c r="D951" s="31"/>
      <c r="E951" s="31"/>
      <c r="F951" s="31"/>
      <c r="G951" s="31"/>
      <c r="H951" s="31"/>
      <c r="I951" s="31"/>
      <c r="J951" s="31"/>
      <c r="K951" s="19"/>
      <c r="L951" s="19"/>
      <c r="M951" s="19"/>
      <c r="N951" s="31"/>
      <c r="O951" s="31"/>
      <c r="P951" s="19"/>
      <c r="Q951" s="19"/>
    </row>
    <row r="952" spans="1:17" ht="46.5" customHeight="1" x14ac:dyDescent="0.7">
      <c r="A952" s="19"/>
      <c r="B952" s="19"/>
      <c r="C952" s="19"/>
      <c r="D952" s="31"/>
      <c r="E952" s="31"/>
      <c r="F952" s="31"/>
      <c r="G952" s="31"/>
      <c r="H952" s="31"/>
      <c r="I952" s="31"/>
      <c r="J952" s="31"/>
      <c r="K952" s="19"/>
      <c r="L952" s="19"/>
      <c r="M952" s="19"/>
      <c r="N952" s="31"/>
      <c r="O952" s="31"/>
      <c r="P952" s="19"/>
      <c r="Q952" s="19"/>
    </row>
    <row r="953" spans="1:17" ht="46.5" customHeight="1" x14ac:dyDescent="0.7">
      <c r="A953" s="19"/>
      <c r="B953" s="19"/>
      <c r="C953" s="19"/>
      <c r="D953" s="31"/>
      <c r="E953" s="31"/>
      <c r="F953" s="31"/>
      <c r="G953" s="31"/>
      <c r="H953" s="31"/>
      <c r="I953" s="31"/>
      <c r="J953" s="31"/>
      <c r="K953" s="19"/>
      <c r="L953" s="19"/>
      <c r="M953" s="19"/>
      <c r="N953" s="31"/>
      <c r="O953" s="31"/>
      <c r="P953" s="19"/>
      <c r="Q953" s="19"/>
    </row>
    <row r="954" spans="1:17" ht="46.5" customHeight="1" x14ac:dyDescent="0.7">
      <c r="A954" s="19"/>
      <c r="B954" s="19"/>
      <c r="C954" s="19"/>
      <c r="D954" s="31"/>
      <c r="E954" s="31"/>
      <c r="F954" s="31"/>
      <c r="G954" s="31"/>
      <c r="H954" s="31"/>
      <c r="I954" s="31"/>
      <c r="J954" s="31"/>
      <c r="K954" s="19"/>
      <c r="L954" s="19"/>
      <c r="M954" s="19"/>
      <c r="N954" s="31"/>
      <c r="O954" s="31"/>
      <c r="P954" s="19"/>
      <c r="Q954" s="19"/>
    </row>
    <row r="955" spans="1:17" ht="46.5" customHeight="1" x14ac:dyDescent="0.7">
      <c r="A955" s="19"/>
      <c r="B955" s="19"/>
      <c r="C955" s="19"/>
      <c r="D955" s="31"/>
      <c r="E955" s="31"/>
      <c r="F955" s="31"/>
      <c r="G955" s="31"/>
      <c r="H955" s="31"/>
      <c r="I955" s="31"/>
      <c r="J955" s="31"/>
      <c r="K955" s="19"/>
      <c r="L955" s="19"/>
      <c r="M955" s="19"/>
      <c r="N955" s="31"/>
      <c r="O955" s="31"/>
      <c r="P955" s="19"/>
      <c r="Q955" s="19"/>
    </row>
    <row r="956" spans="1:17" ht="46.5" customHeight="1" x14ac:dyDescent="0.7">
      <c r="A956" s="19"/>
      <c r="B956" s="19"/>
      <c r="C956" s="19"/>
      <c r="D956" s="31"/>
      <c r="E956" s="31"/>
      <c r="F956" s="31"/>
      <c r="G956" s="31"/>
      <c r="H956" s="31"/>
      <c r="I956" s="31"/>
      <c r="J956" s="31"/>
      <c r="K956" s="19"/>
      <c r="L956" s="19"/>
      <c r="M956" s="19"/>
      <c r="N956" s="31"/>
      <c r="O956" s="31"/>
      <c r="P956" s="19"/>
      <c r="Q956" s="19"/>
    </row>
    <row r="957" spans="1:17" ht="46.5" customHeight="1" x14ac:dyDescent="0.7">
      <c r="A957" s="19"/>
      <c r="B957" s="19"/>
      <c r="C957" s="19"/>
      <c r="D957" s="31"/>
      <c r="E957" s="31"/>
      <c r="F957" s="31"/>
      <c r="G957" s="31"/>
      <c r="H957" s="31"/>
      <c r="I957" s="31"/>
      <c r="J957" s="31"/>
      <c r="K957" s="19"/>
      <c r="L957" s="19"/>
      <c r="M957" s="19"/>
      <c r="N957" s="31"/>
      <c r="O957" s="31"/>
      <c r="P957" s="19"/>
      <c r="Q957" s="19"/>
    </row>
    <row r="958" spans="1:17" ht="46.5" customHeight="1" x14ac:dyDescent="0.7">
      <c r="A958" s="19"/>
      <c r="B958" s="19"/>
      <c r="C958" s="19"/>
      <c r="D958" s="31"/>
      <c r="E958" s="31"/>
      <c r="F958" s="31"/>
      <c r="G958" s="31"/>
      <c r="H958" s="31"/>
      <c r="I958" s="31"/>
      <c r="J958" s="31"/>
      <c r="K958" s="19"/>
      <c r="L958" s="19"/>
      <c r="M958" s="19"/>
      <c r="N958" s="31"/>
      <c r="O958" s="31"/>
      <c r="P958" s="19"/>
      <c r="Q958" s="19"/>
    </row>
    <row r="959" spans="1:17" ht="46.5" customHeight="1" x14ac:dyDescent="0.7">
      <c r="A959" s="19"/>
      <c r="B959" s="19"/>
      <c r="C959" s="19"/>
      <c r="D959" s="31"/>
      <c r="E959" s="31"/>
      <c r="F959" s="31"/>
      <c r="G959" s="31"/>
      <c r="H959" s="31"/>
      <c r="I959" s="31"/>
      <c r="J959" s="31"/>
      <c r="K959" s="19"/>
      <c r="L959" s="19"/>
      <c r="M959" s="19"/>
      <c r="N959" s="31"/>
      <c r="O959" s="31"/>
      <c r="P959" s="19"/>
      <c r="Q959" s="19"/>
    </row>
    <row r="960" spans="1:17" ht="46.5" customHeight="1" x14ac:dyDescent="0.7">
      <c r="A960" s="19"/>
      <c r="B960" s="19"/>
      <c r="C960" s="19"/>
      <c r="D960" s="31"/>
      <c r="E960" s="31"/>
      <c r="F960" s="31"/>
      <c r="G960" s="31"/>
      <c r="H960" s="31"/>
      <c r="I960" s="31"/>
      <c r="J960" s="31"/>
      <c r="K960" s="19"/>
      <c r="L960" s="19"/>
      <c r="M960" s="19"/>
      <c r="N960" s="31"/>
      <c r="O960" s="31"/>
      <c r="P960" s="19"/>
      <c r="Q960" s="19"/>
    </row>
    <row r="961" spans="1:17" ht="46.5" customHeight="1" x14ac:dyDescent="0.7">
      <c r="A961" s="19"/>
      <c r="B961" s="19"/>
      <c r="C961" s="19"/>
      <c r="D961" s="31"/>
      <c r="E961" s="31"/>
      <c r="F961" s="31"/>
      <c r="G961" s="31"/>
      <c r="H961" s="31"/>
      <c r="I961" s="31"/>
      <c r="J961" s="31"/>
      <c r="K961" s="19"/>
      <c r="L961" s="19"/>
      <c r="M961" s="19"/>
      <c r="N961" s="31"/>
      <c r="O961" s="31"/>
      <c r="P961" s="19"/>
      <c r="Q961" s="19"/>
    </row>
    <row r="962" spans="1:17" ht="46.5" customHeight="1" x14ac:dyDescent="0.7">
      <c r="A962" s="19"/>
      <c r="B962" s="19"/>
      <c r="C962" s="19"/>
      <c r="D962" s="31"/>
      <c r="E962" s="31"/>
      <c r="F962" s="31"/>
      <c r="G962" s="31"/>
      <c r="H962" s="31"/>
      <c r="I962" s="31"/>
      <c r="J962" s="31"/>
      <c r="K962" s="19"/>
      <c r="L962" s="19"/>
      <c r="M962" s="19"/>
      <c r="N962" s="31"/>
      <c r="O962" s="31"/>
      <c r="P962" s="19"/>
      <c r="Q962" s="19"/>
    </row>
    <row r="963" spans="1:17" ht="46.5" customHeight="1" x14ac:dyDescent="0.7">
      <c r="A963" s="19"/>
      <c r="B963" s="19"/>
      <c r="C963" s="19"/>
      <c r="D963" s="31"/>
      <c r="E963" s="31"/>
      <c r="F963" s="31"/>
      <c r="G963" s="31"/>
      <c r="H963" s="31"/>
      <c r="I963" s="31"/>
      <c r="J963" s="31"/>
      <c r="K963" s="19"/>
      <c r="L963" s="19"/>
      <c r="M963" s="19"/>
      <c r="N963" s="31"/>
      <c r="O963" s="31"/>
      <c r="P963" s="19"/>
      <c r="Q963" s="19"/>
    </row>
    <row r="964" spans="1:17" ht="46.5" customHeight="1" x14ac:dyDescent="0.7">
      <c r="A964" s="19"/>
      <c r="B964" s="19"/>
      <c r="C964" s="19"/>
      <c r="D964" s="31"/>
      <c r="E964" s="31"/>
      <c r="F964" s="31"/>
      <c r="G964" s="31"/>
      <c r="H964" s="31"/>
      <c r="I964" s="31"/>
      <c r="J964" s="31"/>
      <c r="K964" s="19"/>
      <c r="L964" s="19"/>
      <c r="M964" s="19"/>
      <c r="N964" s="31"/>
      <c r="O964" s="31"/>
      <c r="P964" s="19"/>
      <c r="Q964" s="19"/>
    </row>
    <row r="965" spans="1:17" ht="46.5" customHeight="1" x14ac:dyDescent="0.7">
      <c r="A965" s="19"/>
      <c r="B965" s="19"/>
      <c r="C965" s="19"/>
      <c r="D965" s="31"/>
      <c r="E965" s="31"/>
      <c r="F965" s="31"/>
      <c r="G965" s="31"/>
      <c r="H965" s="31"/>
      <c r="I965" s="31"/>
      <c r="J965" s="31"/>
      <c r="K965" s="19"/>
      <c r="L965" s="19"/>
      <c r="M965" s="19"/>
      <c r="N965" s="31"/>
      <c r="O965" s="31"/>
      <c r="P965" s="19"/>
      <c r="Q965" s="19"/>
    </row>
    <row r="966" spans="1:17" ht="46.5" customHeight="1" x14ac:dyDescent="0.7">
      <c r="A966" s="19"/>
      <c r="B966" s="19"/>
      <c r="C966" s="19"/>
      <c r="D966" s="31"/>
      <c r="E966" s="31"/>
      <c r="F966" s="31"/>
      <c r="G966" s="31"/>
      <c r="H966" s="31"/>
      <c r="I966" s="31"/>
      <c r="J966" s="31"/>
      <c r="K966" s="19"/>
      <c r="L966" s="19"/>
      <c r="M966" s="19"/>
      <c r="N966" s="31"/>
      <c r="O966" s="31"/>
      <c r="P966" s="19"/>
      <c r="Q966" s="19"/>
    </row>
    <row r="967" spans="1:17" ht="46.5" customHeight="1" x14ac:dyDescent="0.7">
      <c r="A967" s="19"/>
      <c r="B967" s="19"/>
      <c r="C967" s="19"/>
      <c r="D967" s="31"/>
      <c r="E967" s="31"/>
      <c r="F967" s="31"/>
      <c r="G967" s="31"/>
      <c r="H967" s="31"/>
      <c r="I967" s="31"/>
      <c r="J967" s="31"/>
      <c r="K967" s="19"/>
      <c r="L967" s="19"/>
      <c r="M967" s="19"/>
      <c r="N967" s="31"/>
      <c r="O967" s="31"/>
      <c r="P967" s="19"/>
      <c r="Q967" s="19"/>
    </row>
    <row r="968" spans="1:17" ht="46.5" customHeight="1" x14ac:dyDescent="0.7">
      <c r="A968" s="19"/>
      <c r="B968" s="19"/>
      <c r="C968" s="19"/>
      <c r="D968" s="31"/>
      <c r="E968" s="31"/>
      <c r="F968" s="31"/>
      <c r="G968" s="31"/>
      <c r="H968" s="31"/>
      <c r="I968" s="31"/>
      <c r="J968" s="31"/>
      <c r="K968" s="19"/>
      <c r="L968" s="19"/>
      <c r="M968" s="19"/>
      <c r="N968" s="31"/>
      <c r="O968" s="31"/>
      <c r="P968" s="19"/>
      <c r="Q968" s="19"/>
    </row>
    <row r="969" spans="1:17" ht="46.5" customHeight="1" x14ac:dyDescent="0.7">
      <c r="A969" s="19"/>
      <c r="B969" s="19"/>
      <c r="C969" s="19"/>
      <c r="D969" s="31"/>
      <c r="E969" s="31"/>
      <c r="F969" s="31"/>
      <c r="G969" s="31"/>
      <c r="H969" s="31"/>
      <c r="I969" s="31"/>
      <c r="J969" s="31"/>
      <c r="K969" s="19"/>
      <c r="L969" s="19"/>
      <c r="M969" s="19"/>
      <c r="N969" s="31"/>
      <c r="O969" s="31"/>
      <c r="P969" s="19"/>
      <c r="Q969" s="19"/>
    </row>
    <row r="970" spans="1:17" ht="46.5" customHeight="1" x14ac:dyDescent="0.7">
      <c r="A970" s="19"/>
      <c r="B970" s="19"/>
      <c r="C970" s="19"/>
      <c r="D970" s="31"/>
      <c r="E970" s="31"/>
      <c r="F970" s="31"/>
      <c r="G970" s="31"/>
      <c r="H970" s="31"/>
      <c r="I970" s="31"/>
      <c r="J970" s="31"/>
      <c r="K970" s="19"/>
      <c r="L970" s="19"/>
      <c r="M970" s="19"/>
      <c r="N970" s="31"/>
      <c r="O970" s="31"/>
      <c r="P970" s="19"/>
      <c r="Q970" s="19"/>
    </row>
    <row r="971" spans="1:17" ht="46.5" customHeight="1" x14ac:dyDescent="0.7">
      <c r="A971" s="19"/>
      <c r="B971" s="19"/>
      <c r="C971" s="19"/>
      <c r="D971" s="31"/>
      <c r="E971" s="31"/>
      <c r="F971" s="31"/>
      <c r="G971" s="31"/>
      <c r="H971" s="31"/>
      <c r="I971" s="31"/>
      <c r="J971" s="31"/>
      <c r="K971" s="19"/>
      <c r="L971" s="19"/>
      <c r="M971" s="19"/>
      <c r="N971" s="31"/>
      <c r="O971" s="31"/>
      <c r="P971" s="19"/>
      <c r="Q971" s="19"/>
    </row>
    <row r="972" spans="1:17" ht="46.5" customHeight="1" x14ac:dyDescent="0.7">
      <c r="A972" s="19"/>
      <c r="B972" s="19"/>
      <c r="C972" s="19"/>
      <c r="D972" s="31"/>
      <c r="E972" s="31"/>
      <c r="F972" s="31"/>
      <c r="G972" s="31"/>
      <c r="H972" s="31"/>
      <c r="I972" s="31"/>
      <c r="J972" s="31"/>
      <c r="K972" s="19"/>
      <c r="L972" s="19"/>
      <c r="M972" s="19"/>
      <c r="N972" s="31"/>
      <c r="O972" s="31"/>
      <c r="P972" s="19"/>
      <c r="Q972" s="19"/>
    </row>
    <row r="973" spans="1:17" ht="46.5" customHeight="1" x14ac:dyDescent="0.7">
      <c r="A973" s="19"/>
      <c r="B973" s="19"/>
      <c r="C973" s="19"/>
      <c r="D973" s="31"/>
      <c r="E973" s="31"/>
      <c r="F973" s="31"/>
      <c r="G973" s="31"/>
      <c r="H973" s="31"/>
      <c r="I973" s="31"/>
      <c r="J973" s="31"/>
      <c r="K973" s="19"/>
      <c r="L973" s="19"/>
      <c r="M973" s="19"/>
      <c r="N973" s="31"/>
      <c r="O973" s="31"/>
      <c r="P973" s="19"/>
      <c r="Q973" s="19"/>
    </row>
    <row r="974" spans="1:17" ht="46.5" customHeight="1" x14ac:dyDescent="0.7">
      <c r="A974" s="19"/>
      <c r="B974" s="19"/>
      <c r="C974" s="19"/>
      <c r="D974" s="31"/>
      <c r="E974" s="31"/>
      <c r="F974" s="31"/>
      <c r="G974" s="31"/>
      <c r="H974" s="31"/>
      <c r="I974" s="31"/>
      <c r="J974" s="31"/>
      <c r="K974" s="19"/>
      <c r="L974" s="19"/>
      <c r="M974" s="19"/>
      <c r="N974" s="31"/>
      <c r="O974" s="31"/>
      <c r="P974" s="19"/>
      <c r="Q974" s="19"/>
    </row>
    <row r="975" spans="1:17" ht="46.5" customHeight="1" x14ac:dyDescent="0.7">
      <c r="A975" s="19"/>
      <c r="B975" s="19"/>
      <c r="C975" s="19"/>
      <c r="D975" s="31"/>
      <c r="E975" s="31"/>
      <c r="F975" s="31"/>
      <c r="G975" s="31"/>
      <c r="H975" s="31"/>
      <c r="I975" s="31"/>
      <c r="J975" s="31"/>
      <c r="K975" s="19"/>
      <c r="L975" s="19"/>
      <c r="M975" s="19"/>
      <c r="N975" s="31"/>
      <c r="O975" s="31"/>
      <c r="P975" s="19"/>
      <c r="Q975" s="19"/>
    </row>
    <row r="976" spans="1:17" ht="46.5" customHeight="1" x14ac:dyDescent="0.7">
      <c r="A976" s="19"/>
      <c r="B976" s="19"/>
      <c r="C976" s="19"/>
      <c r="D976" s="31"/>
      <c r="E976" s="31"/>
      <c r="F976" s="31"/>
      <c r="G976" s="31"/>
      <c r="H976" s="31"/>
      <c r="I976" s="31"/>
      <c r="J976" s="31"/>
      <c r="K976" s="19"/>
      <c r="L976" s="19"/>
      <c r="M976" s="19"/>
      <c r="N976" s="31"/>
      <c r="O976" s="31"/>
      <c r="P976" s="19"/>
      <c r="Q976" s="19"/>
    </row>
    <row r="977" spans="1:17" ht="46.5" customHeight="1" x14ac:dyDescent="0.7">
      <c r="A977" s="19"/>
      <c r="B977" s="19"/>
      <c r="C977" s="19"/>
      <c r="D977" s="31"/>
      <c r="E977" s="31"/>
      <c r="F977" s="31"/>
      <c r="G977" s="31"/>
      <c r="H977" s="31"/>
      <c r="I977" s="31"/>
      <c r="J977" s="31"/>
      <c r="K977" s="19"/>
      <c r="L977" s="19"/>
      <c r="M977" s="19"/>
      <c r="N977" s="31"/>
      <c r="O977" s="31"/>
      <c r="P977" s="19"/>
      <c r="Q977" s="19"/>
    </row>
    <row r="978" spans="1:17" ht="46.5" customHeight="1" x14ac:dyDescent="0.7">
      <c r="A978" s="19"/>
      <c r="B978" s="19"/>
      <c r="C978" s="19"/>
      <c r="D978" s="31"/>
      <c r="E978" s="31"/>
      <c r="F978" s="31"/>
      <c r="G978" s="31"/>
      <c r="H978" s="31"/>
      <c r="I978" s="31"/>
      <c r="J978" s="31"/>
      <c r="K978" s="19"/>
      <c r="L978" s="19"/>
      <c r="M978" s="19"/>
      <c r="N978" s="31"/>
      <c r="O978" s="31"/>
      <c r="P978" s="19"/>
      <c r="Q978" s="19"/>
    </row>
    <row r="979" spans="1:17" ht="46.5" customHeight="1" x14ac:dyDescent="0.7">
      <c r="A979" s="19"/>
      <c r="B979" s="19"/>
      <c r="C979" s="19"/>
      <c r="D979" s="31"/>
      <c r="E979" s="31"/>
      <c r="F979" s="31"/>
      <c r="G979" s="31"/>
      <c r="H979" s="31"/>
      <c r="I979" s="31"/>
      <c r="J979" s="31"/>
      <c r="K979" s="19"/>
      <c r="L979" s="19"/>
      <c r="M979" s="19"/>
      <c r="N979" s="31"/>
      <c r="O979" s="31"/>
      <c r="P979" s="19"/>
      <c r="Q979" s="19"/>
    </row>
    <row r="980" spans="1:17" ht="46.5" customHeight="1" x14ac:dyDescent="0.7">
      <c r="A980" s="19"/>
      <c r="B980" s="19"/>
      <c r="C980" s="19"/>
      <c r="D980" s="31"/>
      <c r="E980" s="31"/>
      <c r="F980" s="31"/>
      <c r="G980" s="31"/>
      <c r="H980" s="31"/>
      <c r="I980" s="31"/>
      <c r="J980" s="31"/>
      <c r="K980" s="19"/>
      <c r="L980" s="19"/>
      <c r="M980" s="19"/>
      <c r="N980" s="31"/>
      <c r="O980" s="31"/>
      <c r="P980" s="19"/>
      <c r="Q980" s="19"/>
    </row>
    <row r="981" spans="1:17" ht="46.5" customHeight="1" x14ac:dyDescent="0.7">
      <c r="A981" s="19"/>
      <c r="B981" s="19"/>
      <c r="C981" s="19"/>
      <c r="D981" s="31"/>
      <c r="E981" s="31"/>
      <c r="F981" s="31"/>
      <c r="G981" s="31"/>
      <c r="H981" s="31"/>
      <c r="I981" s="31"/>
      <c r="J981" s="31"/>
      <c r="K981" s="19"/>
      <c r="L981" s="19"/>
      <c r="M981" s="19"/>
      <c r="N981" s="31"/>
      <c r="O981" s="31"/>
      <c r="P981" s="19"/>
      <c r="Q981" s="19"/>
    </row>
    <row r="982" spans="1:17" ht="46.5" customHeight="1" x14ac:dyDescent="0.7">
      <c r="A982" s="19"/>
      <c r="B982" s="19"/>
      <c r="C982" s="19"/>
      <c r="D982" s="31"/>
      <c r="E982" s="31"/>
      <c r="F982" s="31"/>
      <c r="G982" s="31"/>
      <c r="H982" s="31"/>
      <c r="I982" s="31"/>
      <c r="J982" s="31"/>
      <c r="K982" s="19"/>
      <c r="L982" s="19"/>
      <c r="M982" s="19"/>
      <c r="N982" s="31"/>
      <c r="O982" s="31"/>
      <c r="P982" s="19"/>
      <c r="Q982" s="19"/>
    </row>
    <row r="983" spans="1:17" ht="46.5" customHeight="1" x14ac:dyDescent="0.7">
      <c r="A983" s="19"/>
      <c r="B983" s="19"/>
      <c r="C983" s="19"/>
      <c r="D983" s="31"/>
      <c r="E983" s="31"/>
      <c r="F983" s="31"/>
      <c r="G983" s="31"/>
      <c r="H983" s="31"/>
      <c r="I983" s="31"/>
      <c r="J983" s="31"/>
      <c r="K983" s="19"/>
      <c r="L983" s="19"/>
      <c r="M983" s="19"/>
      <c r="N983" s="31"/>
      <c r="O983" s="31"/>
      <c r="P983" s="19"/>
      <c r="Q983" s="19"/>
    </row>
  </sheetData>
  <mergeCells count="526">
    <mergeCell ref="Q26:Q27"/>
    <mergeCell ref="H26:H27"/>
    <mergeCell ref="I26:I27"/>
    <mergeCell ref="J26:J27"/>
    <mergeCell ref="K26:K27"/>
    <mergeCell ref="L26:L27"/>
    <mergeCell ref="M26:M27"/>
    <mergeCell ref="N26:N27"/>
    <mergeCell ref="O30:O31"/>
    <mergeCell ref="P30:P31"/>
    <mergeCell ref="H30:H31"/>
    <mergeCell ref="I30:I31"/>
    <mergeCell ref="J30:J31"/>
    <mergeCell ref="K30:K31"/>
    <mergeCell ref="L30:L31"/>
    <mergeCell ref="M30:M31"/>
    <mergeCell ref="N30:N31"/>
    <mergeCell ref="Q28:Q29"/>
    <mergeCell ref="Q30:Q31"/>
    <mergeCell ref="N28:N29"/>
    <mergeCell ref="A26:A27"/>
    <mergeCell ref="B26:B27"/>
    <mergeCell ref="C26:C27"/>
    <mergeCell ref="D26:D27"/>
    <mergeCell ref="E26:E27"/>
    <mergeCell ref="F26:F27"/>
    <mergeCell ref="G26:G27"/>
    <mergeCell ref="O28:O29"/>
    <mergeCell ref="P28:P29"/>
    <mergeCell ref="A28:A29"/>
    <mergeCell ref="B28:B29"/>
    <mergeCell ref="C28:C29"/>
    <mergeCell ref="D28:D29"/>
    <mergeCell ref="E28:E29"/>
    <mergeCell ref="F28:F29"/>
    <mergeCell ref="G28:G29"/>
    <mergeCell ref="O26:O27"/>
    <mergeCell ref="P26:P27"/>
    <mergeCell ref="H28:H29"/>
    <mergeCell ref="I28:I29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G30:G31"/>
    <mergeCell ref="O11:O12"/>
    <mergeCell ref="P11:P12"/>
    <mergeCell ref="H11:H12"/>
    <mergeCell ref="J11:J12"/>
    <mergeCell ref="K11:K12"/>
    <mergeCell ref="L11:L12"/>
    <mergeCell ref="M11:M12"/>
    <mergeCell ref="N11:N12"/>
    <mergeCell ref="I11:I12"/>
    <mergeCell ref="O17:O18"/>
    <mergeCell ref="P17:P18"/>
    <mergeCell ref="H17:H18"/>
    <mergeCell ref="I17:I18"/>
    <mergeCell ref="J17:J18"/>
    <mergeCell ref="K17:K18"/>
    <mergeCell ref="L17:L18"/>
    <mergeCell ref="M17:M18"/>
    <mergeCell ref="J6:J7"/>
    <mergeCell ref="N6:N7"/>
    <mergeCell ref="K7:M7"/>
    <mergeCell ref="O6:O7"/>
    <mergeCell ref="P6:P7"/>
    <mergeCell ref="A1:P5"/>
    <mergeCell ref="Q1:Q5"/>
    <mergeCell ref="A6:A7"/>
    <mergeCell ref="B6:B7"/>
    <mergeCell ref="D6:H6"/>
    <mergeCell ref="I6:I7"/>
    <mergeCell ref="Q6:Q7"/>
    <mergeCell ref="C6:C7"/>
    <mergeCell ref="M9:M10"/>
    <mergeCell ref="N9:N10"/>
    <mergeCell ref="O9:O10"/>
    <mergeCell ref="P9:P10"/>
    <mergeCell ref="Q9:Q10"/>
    <mergeCell ref="Q11:Q12"/>
    <mergeCell ref="F9:F10"/>
    <mergeCell ref="G9:G10"/>
    <mergeCell ref="H9:H10"/>
    <mergeCell ref="J9:J10"/>
    <mergeCell ref="K9:K10"/>
    <mergeCell ref="L9:L10"/>
    <mergeCell ref="I9:I10"/>
    <mergeCell ref="F11:F12"/>
    <mergeCell ref="G11:G12"/>
    <mergeCell ref="A8:C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N17:N18"/>
    <mergeCell ref="O13:O14"/>
    <mergeCell ref="P13:P14"/>
    <mergeCell ref="Q13:Q14"/>
    <mergeCell ref="H13:H14"/>
    <mergeCell ref="J13:J14"/>
    <mergeCell ref="K13:K14"/>
    <mergeCell ref="L13:L14"/>
    <mergeCell ref="M13:M14"/>
    <mergeCell ref="N13:N14"/>
    <mergeCell ref="I13:I14"/>
    <mergeCell ref="Q15:Q16"/>
    <mergeCell ref="Q17:Q18"/>
    <mergeCell ref="A13:A14"/>
    <mergeCell ref="B13:B14"/>
    <mergeCell ref="C13:C14"/>
    <mergeCell ref="D13:D14"/>
    <mergeCell ref="E13:E14"/>
    <mergeCell ref="F13:F14"/>
    <mergeCell ref="G13:G14"/>
    <mergeCell ref="O15:O16"/>
    <mergeCell ref="P15:P16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A17:A18"/>
    <mergeCell ref="B17:B18"/>
    <mergeCell ref="C17:C18"/>
    <mergeCell ref="D17:D18"/>
    <mergeCell ref="E17:E18"/>
    <mergeCell ref="F17:F18"/>
    <mergeCell ref="G17:G18"/>
    <mergeCell ref="N24:N25"/>
    <mergeCell ref="O24:O25"/>
    <mergeCell ref="G24:G25"/>
    <mergeCell ref="H24:H25"/>
    <mergeCell ref="I24:I25"/>
    <mergeCell ref="J24:J25"/>
    <mergeCell ref="K24:K25"/>
    <mergeCell ref="L24:L25"/>
    <mergeCell ref="M24:M25"/>
    <mergeCell ref="O19:O20"/>
    <mergeCell ref="A19:A20"/>
    <mergeCell ref="B19:B20"/>
    <mergeCell ref="C19:C20"/>
    <mergeCell ref="D19:D20"/>
    <mergeCell ref="E19:E20"/>
    <mergeCell ref="F19:F20"/>
    <mergeCell ref="G19:G20"/>
    <mergeCell ref="P19:P20"/>
    <mergeCell ref="Q19:Q20"/>
    <mergeCell ref="H19:H20"/>
    <mergeCell ref="I19:I20"/>
    <mergeCell ref="J19:J20"/>
    <mergeCell ref="K19:K20"/>
    <mergeCell ref="L19:L20"/>
    <mergeCell ref="M19:M20"/>
    <mergeCell ref="N19:N20"/>
    <mergeCell ref="O21:O22"/>
    <mergeCell ref="P21:P22"/>
    <mergeCell ref="Q21:Q22"/>
    <mergeCell ref="P24:P25"/>
    <mergeCell ref="Q24:Q25"/>
    <mergeCell ref="H21:H22"/>
    <mergeCell ref="I21:I22"/>
    <mergeCell ref="J21:J22"/>
    <mergeCell ref="K21:K22"/>
    <mergeCell ref="L21:L22"/>
    <mergeCell ref="M21:M22"/>
    <mergeCell ref="N21:N22"/>
    <mergeCell ref="B21:B22"/>
    <mergeCell ref="C21:C22"/>
    <mergeCell ref="D21:D22"/>
    <mergeCell ref="E21:E22"/>
    <mergeCell ref="F21:F22"/>
    <mergeCell ref="G21:G22"/>
    <mergeCell ref="A23:C23"/>
    <mergeCell ref="A21:A22"/>
    <mergeCell ref="A24:A25"/>
    <mergeCell ref="B24:B25"/>
    <mergeCell ref="C24:C25"/>
    <mergeCell ref="D24:D25"/>
    <mergeCell ref="E24:E25"/>
    <mergeCell ref="F24:F25"/>
    <mergeCell ref="O47:O48"/>
    <mergeCell ref="P47:P48"/>
    <mergeCell ref="Q47:Q48"/>
    <mergeCell ref="H47:H48"/>
    <mergeCell ref="J47:J48"/>
    <mergeCell ref="K47:K48"/>
    <mergeCell ref="L47:L48"/>
    <mergeCell ref="M47:M48"/>
    <mergeCell ref="N47:N48"/>
    <mergeCell ref="I47:I48"/>
    <mergeCell ref="A49:A50"/>
    <mergeCell ref="B49:B50"/>
    <mergeCell ref="C49:C50"/>
    <mergeCell ref="D49:D50"/>
    <mergeCell ref="E49:E50"/>
    <mergeCell ref="F49:F50"/>
    <mergeCell ref="G49:G50"/>
    <mergeCell ref="A47:A48"/>
    <mergeCell ref="B47:B48"/>
    <mergeCell ref="C47:C48"/>
    <mergeCell ref="D47:D48"/>
    <mergeCell ref="E47:E48"/>
    <mergeCell ref="F47:F48"/>
    <mergeCell ref="G47:G48"/>
    <mergeCell ref="K54:K55"/>
    <mergeCell ref="L54:L55"/>
    <mergeCell ref="M54:M55"/>
    <mergeCell ref="N54:N55"/>
    <mergeCell ref="Q49:Q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P51:P52"/>
    <mergeCell ref="Q51:Q52"/>
    <mergeCell ref="I51:I52"/>
    <mergeCell ref="J51:J52"/>
    <mergeCell ref="K51:K52"/>
    <mergeCell ref="L51:L52"/>
    <mergeCell ref="M51:M52"/>
    <mergeCell ref="N51:N52"/>
    <mergeCell ref="O51:O52"/>
    <mergeCell ref="B51:B52"/>
    <mergeCell ref="C51:C52"/>
    <mergeCell ref="D51:D52"/>
    <mergeCell ref="F51:F52"/>
    <mergeCell ref="G51:G52"/>
    <mergeCell ref="H51:H52"/>
    <mergeCell ref="A53:C53"/>
    <mergeCell ref="A51:A52"/>
    <mergeCell ref="A54:A55"/>
    <mergeCell ref="B54:B55"/>
    <mergeCell ref="C54:C55"/>
    <mergeCell ref="D54:D55"/>
    <mergeCell ref="F54:F55"/>
    <mergeCell ref="G54:G55"/>
    <mergeCell ref="H54:H55"/>
    <mergeCell ref="A56:A57"/>
    <mergeCell ref="B56:B57"/>
    <mergeCell ref="C56:C57"/>
    <mergeCell ref="D56:D57"/>
    <mergeCell ref="E56:E57"/>
    <mergeCell ref="F56:F57"/>
    <mergeCell ref="G56:G57"/>
    <mergeCell ref="O58:O59"/>
    <mergeCell ref="P58:P59"/>
    <mergeCell ref="N58:N59"/>
    <mergeCell ref="A58:A59"/>
    <mergeCell ref="B58:B59"/>
    <mergeCell ref="C58:C59"/>
    <mergeCell ref="D58:D59"/>
    <mergeCell ref="E58:E59"/>
    <mergeCell ref="F58:F59"/>
    <mergeCell ref="G58:G59"/>
    <mergeCell ref="O56:O57"/>
    <mergeCell ref="P56:P57"/>
    <mergeCell ref="H56:H57"/>
    <mergeCell ref="I56:I57"/>
    <mergeCell ref="J56:J57"/>
    <mergeCell ref="K56:K57"/>
    <mergeCell ref="L56:L57"/>
    <mergeCell ref="A64:A65"/>
    <mergeCell ref="B64:B65"/>
    <mergeCell ref="C64:C65"/>
    <mergeCell ref="D64:D65"/>
    <mergeCell ref="E64:E65"/>
    <mergeCell ref="F64:F65"/>
    <mergeCell ref="G64:G65"/>
    <mergeCell ref="Q58:Q59"/>
    <mergeCell ref="Q60:Q61"/>
    <mergeCell ref="A60:A61"/>
    <mergeCell ref="B60:B61"/>
    <mergeCell ref="C60:C61"/>
    <mergeCell ref="D60:D61"/>
    <mergeCell ref="E60:E61"/>
    <mergeCell ref="F60:F61"/>
    <mergeCell ref="G60:G61"/>
    <mergeCell ref="O60:O61"/>
    <mergeCell ref="P60:P61"/>
    <mergeCell ref="H60:H61"/>
    <mergeCell ref="I60:I61"/>
    <mergeCell ref="J60:J61"/>
    <mergeCell ref="K60:K61"/>
    <mergeCell ref="L60:L61"/>
    <mergeCell ref="M60:M61"/>
    <mergeCell ref="A62:A63"/>
    <mergeCell ref="B62:B63"/>
    <mergeCell ref="C62:C63"/>
    <mergeCell ref="D62:D63"/>
    <mergeCell ref="E62:E63"/>
    <mergeCell ref="F62:F63"/>
    <mergeCell ref="G62:G63"/>
    <mergeCell ref="O64:O65"/>
    <mergeCell ref="P64:P65"/>
    <mergeCell ref="O62:O63"/>
    <mergeCell ref="P62:P63"/>
    <mergeCell ref="H62:H63"/>
    <mergeCell ref="I62:I63"/>
    <mergeCell ref="J62:J63"/>
    <mergeCell ref="K62:K63"/>
    <mergeCell ref="L62:L63"/>
    <mergeCell ref="M62:M63"/>
    <mergeCell ref="N62:N63"/>
    <mergeCell ref="H64:H65"/>
    <mergeCell ref="I64:I65"/>
    <mergeCell ref="J64:J65"/>
    <mergeCell ref="K64:K65"/>
    <mergeCell ref="L64:L65"/>
    <mergeCell ref="M64:M65"/>
    <mergeCell ref="A66:A67"/>
    <mergeCell ref="B66:B67"/>
    <mergeCell ref="C66:C67"/>
    <mergeCell ref="D66:D67"/>
    <mergeCell ref="E66:E67"/>
    <mergeCell ref="F66:F67"/>
    <mergeCell ref="G66:G67"/>
    <mergeCell ref="O66:O67"/>
    <mergeCell ref="P66:P67"/>
    <mergeCell ref="H66:H67"/>
    <mergeCell ref="I66:I67"/>
    <mergeCell ref="J66:J67"/>
    <mergeCell ref="K66:K67"/>
    <mergeCell ref="L66:L67"/>
    <mergeCell ref="M66:M67"/>
    <mergeCell ref="N66:N67"/>
    <mergeCell ref="Q32:Q33"/>
    <mergeCell ref="H32:H33"/>
    <mergeCell ref="I32:I33"/>
    <mergeCell ref="J32:J33"/>
    <mergeCell ref="K32:K33"/>
    <mergeCell ref="L32:L33"/>
    <mergeCell ref="M32:M33"/>
    <mergeCell ref="N32:N33"/>
    <mergeCell ref="Q64:Q65"/>
    <mergeCell ref="Q62:Q63"/>
    <mergeCell ref="N64:N65"/>
    <mergeCell ref="N60:N61"/>
    <mergeCell ref="H58:H59"/>
    <mergeCell ref="I58:I59"/>
    <mergeCell ref="J58:J59"/>
    <mergeCell ref="K58:K59"/>
    <mergeCell ref="L58:L59"/>
    <mergeCell ref="M58:M59"/>
    <mergeCell ref="Q56:Q57"/>
    <mergeCell ref="M56:M57"/>
    <mergeCell ref="N56:N57"/>
    <mergeCell ref="O54:O55"/>
    <mergeCell ref="P54:P55"/>
    <mergeCell ref="Q54:Q55"/>
    <mergeCell ref="A32:A33"/>
    <mergeCell ref="B32:B33"/>
    <mergeCell ref="C32:C33"/>
    <mergeCell ref="D32:D33"/>
    <mergeCell ref="E32:E33"/>
    <mergeCell ref="F32:F33"/>
    <mergeCell ref="G32:G33"/>
    <mergeCell ref="O34:O35"/>
    <mergeCell ref="P34:P35"/>
    <mergeCell ref="A34:A35"/>
    <mergeCell ref="B34:B35"/>
    <mergeCell ref="C34:C35"/>
    <mergeCell ref="D34:D35"/>
    <mergeCell ref="E34:E35"/>
    <mergeCell ref="F34:F35"/>
    <mergeCell ref="G34:G35"/>
    <mergeCell ref="O32:O33"/>
    <mergeCell ref="P32:P33"/>
    <mergeCell ref="Q34:Q35"/>
    <mergeCell ref="Q36:Q37"/>
    <mergeCell ref="H34:H35"/>
    <mergeCell ref="I34:I35"/>
    <mergeCell ref="J34:J35"/>
    <mergeCell ref="K34:K35"/>
    <mergeCell ref="L34:L35"/>
    <mergeCell ref="M34:M35"/>
    <mergeCell ref="N34:N35"/>
    <mergeCell ref="O36:O37"/>
    <mergeCell ref="P36:P37"/>
    <mergeCell ref="H36:H37"/>
    <mergeCell ref="I36:I37"/>
    <mergeCell ref="J36:J37"/>
    <mergeCell ref="K36:K37"/>
    <mergeCell ref="L36:L37"/>
    <mergeCell ref="M36:M37"/>
    <mergeCell ref="N36:N37"/>
    <mergeCell ref="P39:P40"/>
    <mergeCell ref="Q39:Q40"/>
    <mergeCell ref="G39:G40"/>
    <mergeCell ref="H39:H40"/>
    <mergeCell ref="I39:I40"/>
    <mergeCell ref="J39:J40"/>
    <mergeCell ref="K39:K40"/>
    <mergeCell ref="L39:L40"/>
    <mergeCell ref="M39:M40"/>
    <mergeCell ref="Q41:Q42"/>
    <mergeCell ref="H41:H42"/>
    <mergeCell ref="I41:I42"/>
    <mergeCell ref="J41:J42"/>
    <mergeCell ref="K41:K42"/>
    <mergeCell ref="L41:L42"/>
    <mergeCell ref="M41:M42"/>
    <mergeCell ref="N41:N42"/>
    <mergeCell ref="B36:B37"/>
    <mergeCell ref="C36:C37"/>
    <mergeCell ref="D36:D37"/>
    <mergeCell ref="E36:E37"/>
    <mergeCell ref="F36:F37"/>
    <mergeCell ref="G36:G37"/>
    <mergeCell ref="A38:C38"/>
    <mergeCell ref="A36:A37"/>
    <mergeCell ref="A39:A40"/>
    <mergeCell ref="B39:B40"/>
    <mergeCell ref="C39:C40"/>
    <mergeCell ref="D39:D40"/>
    <mergeCell ref="E39:E40"/>
    <mergeCell ref="F39:F40"/>
    <mergeCell ref="N39:N40"/>
    <mergeCell ref="O39:O40"/>
    <mergeCell ref="A41:A42"/>
    <mergeCell ref="B41:B42"/>
    <mergeCell ref="C41:C42"/>
    <mergeCell ref="D41:D42"/>
    <mergeCell ref="E41:E42"/>
    <mergeCell ref="F41:F42"/>
    <mergeCell ref="G41:G42"/>
    <mergeCell ref="O43:O44"/>
    <mergeCell ref="P43:P44"/>
    <mergeCell ref="O41:O42"/>
    <mergeCell ref="P41:P42"/>
    <mergeCell ref="H43:H44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Q43:Q44"/>
    <mergeCell ref="Q45:Q46"/>
    <mergeCell ref="A45:A46"/>
    <mergeCell ref="B45:B46"/>
    <mergeCell ref="C45:C46"/>
    <mergeCell ref="D45:D46"/>
    <mergeCell ref="E45:E46"/>
    <mergeCell ref="F45:F46"/>
    <mergeCell ref="G45:G46"/>
    <mergeCell ref="O45:O46"/>
    <mergeCell ref="P45:P46"/>
    <mergeCell ref="H45:H46"/>
    <mergeCell ref="I45:I46"/>
    <mergeCell ref="J45:J46"/>
    <mergeCell ref="K45:K46"/>
    <mergeCell ref="L45:L46"/>
    <mergeCell ref="M45:M46"/>
    <mergeCell ref="N45:N46"/>
    <mergeCell ref="G43:G44"/>
    <mergeCell ref="K68:K69"/>
    <mergeCell ref="L68:L69"/>
    <mergeCell ref="M68:M69"/>
    <mergeCell ref="N68:N69"/>
    <mergeCell ref="O70:O71"/>
    <mergeCell ref="P70:P71"/>
    <mergeCell ref="Q70:Q71"/>
    <mergeCell ref="H70:H71"/>
    <mergeCell ref="I70:I71"/>
    <mergeCell ref="J70:J71"/>
    <mergeCell ref="K70:K71"/>
    <mergeCell ref="L70:L71"/>
    <mergeCell ref="M70:M71"/>
    <mergeCell ref="N70:N71"/>
    <mergeCell ref="Q66:Q67"/>
    <mergeCell ref="I54:I55"/>
    <mergeCell ref="J54:J55"/>
    <mergeCell ref="A72:C72"/>
    <mergeCell ref="A68:A69"/>
    <mergeCell ref="B68:B69"/>
    <mergeCell ref="C68:C69"/>
    <mergeCell ref="D68:D69"/>
    <mergeCell ref="E68:E69"/>
    <mergeCell ref="F68:F69"/>
    <mergeCell ref="G68:G69"/>
    <mergeCell ref="A70:A71"/>
    <mergeCell ref="B70:B71"/>
    <mergeCell ref="C70:C71"/>
    <mergeCell ref="D70:D71"/>
    <mergeCell ref="E70:E71"/>
    <mergeCell ref="F70:F71"/>
    <mergeCell ref="G70:G71"/>
    <mergeCell ref="O68:O69"/>
    <mergeCell ref="P68:P69"/>
    <mergeCell ref="Q68:Q69"/>
    <mergeCell ref="H68:H69"/>
    <mergeCell ref="I68:I69"/>
    <mergeCell ref="J68:J69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8FA5-61AA-4C20-8A3F-01D4BBF8809B}">
  <dimension ref="A1:Q70"/>
  <sheetViews>
    <sheetView zoomScale="21" zoomScaleNormal="25" workbookViewId="0">
      <selection activeCell="N82" sqref="N82"/>
    </sheetView>
  </sheetViews>
  <sheetFormatPr defaultRowHeight="15" x14ac:dyDescent="0.25"/>
  <cols>
    <col min="1" max="1" width="35.85546875" bestFit="1" customWidth="1"/>
    <col min="2" max="2" width="32.28515625" bestFit="1" customWidth="1"/>
    <col min="3" max="3" width="20.5703125" customWidth="1"/>
    <col min="4" max="4" width="57.28515625" bestFit="1" customWidth="1"/>
    <col min="5" max="5" width="66.85546875" bestFit="1" customWidth="1"/>
    <col min="6" max="6" width="61.42578125" bestFit="1" customWidth="1"/>
    <col min="7" max="7" width="59.28515625" bestFit="1" customWidth="1"/>
    <col min="8" max="8" width="64.7109375" bestFit="1" customWidth="1"/>
    <col min="9" max="9" width="75.7109375" customWidth="1"/>
    <col min="10" max="10" width="73.85546875" customWidth="1"/>
    <col min="11" max="13" width="17.7109375" hidden="1" customWidth="1"/>
    <col min="14" max="14" width="22.42578125" customWidth="1"/>
    <col min="15" max="15" width="50.85546875" customWidth="1"/>
    <col min="16" max="16" width="28.7109375" customWidth="1"/>
    <col min="17" max="17" width="97.5703125" style="57" bestFit="1" customWidth="1"/>
  </cols>
  <sheetData>
    <row r="1" spans="1:17" ht="311.25" customHeight="1" x14ac:dyDescent="0.25">
      <c r="A1" s="176" t="s">
        <v>76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17" ht="60" customHeight="1" x14ac:dyDescent="0.25">
      <c r="A2" s="177" t="s">
        <v>1</v>
      </c>
      <c r="B2" s="177" t="s">
        <v>2</v>
      </c>
      <c r="C2" s="177" t="s">
        <v>3</v>
      </c>
      <c r="D2" s="178" t="s">
        <v>58</v>
      </c>
      <c r="E2" s="178"/>
      <c r="F2" s="178"/>
      <c r="G2" s="178"/>
      <c r="H2" s="178"/>
      <c r="I2" s="179" t="s">
        <v>5</v>
      </c>
      <c r="J2" s="180" t="s">
        <v>6</v>
      </c>
      <c r="K2" s="49"/>
      <c r="L2" s="49"/>
      <c r="M2" s="49"/>
      <c r="N2" s="181" t="s">
        <v>8</v>
      </c>
      <c r="O2" s="181" t="s">
        <v>9</v>
      </c>
      <c r="P2" s="182" t="s">
        <v>10</v>
      </c>
      <c r="Q2" s="183" t="s">
        <v>11</v>
      </c>
    </row>
    <row r="3" spans="1:17" ht="60" customHeight="1" x14ac:dyDescent="0.25">
      <c r="A3" s="177"/>
      <c r="B3" s="177"/>
      <c r="C3" s="177"/>
      <c r="D3" s="50" t="s">
        <v>12</v>
      </c>
      <c r="E3" s="50" t="s">
        <v>13</v>
      </c>
      <c r="F3" s="50" t="s">
        <v>14</v>
      </c>
      <c r="G3" s="51" t="s">
        <v>15</v>
      </c>
      <c r="H3" s="51" t="s">
        <v>16</v>
      </c>
      <c r="I3" s="179"/>
      <c r="J3" s="180"/>
      <c r="K3" s="184" t="s">
        <v>7</v>
      </c>
      <c r="L3" s="184"/>
      <c r="M3" s="184"/>
      <c r="N3" s="181"/>
      <c r="O3" s="181"/>
      <c r="P3" s="182"/>
      <c r="Q3" s="183"/>
    </row>
    <row r="4" spans="1:17" ht="48" hidden="1" customHeight="1" x14ac:dyDescent="0.25">
      <c r="A4" s="171" t="s">
        <v>20</v>
      </c>
      <c r="B4" s="171"/>
      <c r="C4" s="171"/>
      <c r="D4" s="52">
        <f t="shared" ref="D4:I4" si="0">SUBTOTAL(9,D5:D18)</f>
        <v>5494020</v>
      </c>
      <c r="E4" s="52">
        <f t="shared" si="0"/>
        <v>6094746</v>
      </c>
      <c r="F4" s="52">
        <f t="shared" si="0"/>
        <v>27757065</v>
      </c>
      <c r="G4" s="52">
        <f t="shared" si="0"/>
        <v>56066668</v>
      </c>
      <c r="H4" s="52">
        <f t="shared" si="0"/>
        <v>0</v>
      </c>
      <c r="I4" s="52">
        <f t="shared" si="0"/>
        <v>83999950</v>
      </c>
      <c r="J4" s="52">
        <f>SUM(J5:M18)</f>
        <v>95412499</v>
      </c>
      <c r="K4" s="52">
        <f>SUBTOTAL(9,K5:K18)</f>
        <v>0</v>
      </c>
      <c r="L4" s="52">
        <f>SUBTOTAL(9,L5:L18)</f>
        <v>0</v>
      </c>
      <c r="M4" s="52">
        <f>SUBTOTAL(9,M5:M18)</f>
        <v>0</v>
      </c>
      <c r="N4" s="52">
        <f>SUBTOTAL(9,N5:N18)</f>
        <v>56</v>
      </c>
      <c r="O4" s="52">
        <f>J4/N4</f>
        <v>1703794.625</v>
      </c>
      <c r="P4" s="52">
        <f>SUBTOTAL(9,P5:P18)</f>
        <v>27</v>
      </c>
      <c r="Q4" s="55"/>
    </row>
    <row r="5" spans="1:17" ht="27" hidden="1" customHeight="1" x14ac:dyDescent="0.25">
      <c r="A5" s="162">
        <v>45778</v>
      </c>
      <c r="B5" s="163" t="s">
        <v>21</v>
      </c>
      <c r="C5" s="197" t="s">
        <v>22</v>
      </c>
      <c r="D5" s="159"/>
      <c r="E5" s="159"/>
      <c r="F5" s="159">
        <v>4913601</v>
      </c>
      <c r="G5" s="159"/>
      <c r="H5" s="159"/>
      <c r="I5" s="159">
        <f>4639000-325000</f>
        <v>4314000</v>
      </c>
      <c r="J5" s="161">
        <f>SUM(D5:H6)</f>
        <v>4913601</v>
      </c>
      <c r="K5" s="159"/>
      <c r="L5" s="159"/>
      <c r="M5" s="159"/>
      <c r="N5" s="159">
        <v>4</v>
      </c>
      <c r="O5" s="159">
        <f>J5/N5</f>
        <v>1228400.25</v>
      </c>
      <c r="P5" s="159">
        <v>4</v>
      </c>
      <c r="Q5" s="166"/>
    </row>
    <row r="6" spans="1:17" ht="27" hidden="1" customHeight="1" x14ac:dyDescent="0.25">
      <c r="A6" s="162"/>
      <c r="B6" s="164"/>
      <c r="C6" s="197"/>
      <c r="D6" s="160"/>
      <c r="E6" s="160"/>
      <c r="F6" s="160"/>
      <c r="G6" s="160"/>
      <c r="H6" s="160"/>
      <c r="I6" s="160"/>
      <c r="J6" s="161"/>
      <c r="K6" s="160"/>
      <c r="L6" s="160"/>
      <c r="M6" s="160"/>
      <c r="N6" s="160"/>
      <c r="O6" s="160"/>
      <c r="P6" s="160"/>
      <c r="Q6" s="166"/>
    </row>
    <row r="7" spans="1:17" ht="27" hidden="1" customHeight="1" x14ac:dyDescent="0.25">
      <c r="A7" s="162">
        <v>45779</v>
      </c>
      <c r="B7" s="163" t="s">
        <v>23</v>
      </c>
      <c r="C7" s="197" t="s">
        <v>22</v>
      </c>
      <c r="D7" s="161">
        <v>3815574</v>
      </c>
      <c r="E7" s="161">
        <v>6094746</v>
      </c>
      <c r="F7" s="161"/>
      <c r="G7" s="161">
        <v>5851837</v>
      </c>
      <c r="H7" s="161"/>
      <c r="I7" s="161">
        <f>15192000-1306650</f>
        <v>13885350</v>
      </c>
      <c r="J7" s="161">
        <f>SUM(D7:H8)</f>
        <v>15762157</v>
      </c>
      <c r="K7" s="161"/>
      <c r="L7" s="161"/>
      <c r="M7" s="161"/>
      <c r="N7" s="161">
        <v>17</v>
      </c>
      <c r="O7" s="159">
        <f>J7/N7</f>
        <v>927185.70588235289</v>
      </c>
      <c r="P7" s="161">
        <v>8</v>
      </c>
      <c r="Q7" s="165" t="s">
        <v>61</v>
      </c>
    </row>
    <row r="8" spans="1:17" ht="27" hidden="1" customHeight="1" x14ac:dyDescent="0.25">
      <c r="A8" s="162"/>
      <c r="B8" s="164"/>
      <c r="C8" s="197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0"/>
      <c r="P8" s="161"/>
      <c r="Q8" s="166"/>
    </row>
    <row r="9" spans="1:17" ht="27" hidden="1" customHeight="1" x14ac:dyDescent="0.25">
      <c r="A9" s="162">
        <v>45780</v>
      </c>
      <c r="B9" s="163" t="s">
        <v>25</v>
      </c>
      <c r="C9" s="197" t="s">
        <v>22</v>
      </c>
      <c r="D9" s="161">
        <v>1678446</v>
      </c>
      <c r="E9" s="161"/>
      <c r="F9" s="161">
        <v>10657332</v>
      </c>
      <c r="G9" s="161"/>
      <c r="H9" s="161" t="s">
        <v>77</v>
      </c>
      <c r="I9" s="161">
        <v>10867000</v>
      </c>
      <c r="J9" s="161">
        <f>SUM(D9:H10)</f>
        <v>12335778</v>
      </c>
      <c r="K9" s="161"/>
      <c r="L9" s="161"/>
      <c r="M9" s="161"/>
      <c r="N9" s="161">
        <v>10</v>
      </c>
      <c r="O9" s="159">
        <f>J9/N9</f>
        <v>1233577.8</v>
      </c>
      <c r="P9" s="161">
        <v>4</v>
      </c>
      <c r="Q9" s="166"/>
    </row>
    <row r="10" spans="1:17" ht="27" hidden="1" customHeight="1" x14ac:dyDescent="0.25">
      <c r="A10" s="162"/>
      <c r="B10" s="164"/>
      <c r="C10" s="197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0"/>
      <c r="P10" s="161"/>
      <c r="Q10" s="166"/>
    </row>
    <row r="11" spans="1:17" ht="27" hidden="1" customHeight="1" x14ac:dyDescent="0.25">
      <c r="A11" s="162">
        <v>45781</v>
      </c>
      <c r="B11" s="163" t="s">
        <v>60</v>
      </c>
      <c r="C11" s="197" t="s">
        <v>22</v>
      </c>
      <c r="D11" s="161"/>
      <c r="E11" s="161"/>
      <c r="F11" s="161">
        <v>4247670</v>
      </c>
      <c r="G11" s="161">
        <v>19086184</v>
      </c>
      <c r="H11" s="161"/>
      <c r="I11" s="161">
        <f>20565850</f>
        <v>20565850</v>
      </c>
      <c r="J11" s="161">
        <f>SUM(D11:H12)</f>
        <v>23333854</v>
      </c>
      <c r="K11" s="161"/>
      <c r="L11" s="161"/>
      <c r="M11" s="161"/>
      <c r="N11" s="161">
        <v>9</v>
      </c>
      <c r="O11" s="159">
        <f>J11/N11</f>
        <v>2592650.4444444445</v>
      </c>
      <c r="P11" s="161">
        <v>3</v>
      </c>
      <c r="Q11" s="165"/>
    </row>
    <row r="12" spans="1:17" ht="27" hidden="1" customHeight="1" x14ac:dyDescent="0.25">
      <c r="A12" s="162"/>
      <c r="B12" s="164"/>
      <c r="C12" s="197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0"/>
      <c r="P12" s="161"/>
      <c r="Q12" s="166"/>
    </row>
    <row r="13" spans="1:17" ht="27" hidden="1" customHeight="1" x14ac:dyDescent="0.25">
      <c r="A13" s="162">
        <v>45782</v>
      </c>
      <c r="B13" s="163" t="s">
        <v>30</v>
      </c>
      <c r="C13" s="197" t="s">
        <v>22</v>
      </c>
      <c r="D13" s="161"/>
      <c r="E13" s="161"/>
      <c r="F13" s="161">
        <v>669900</v>
      </c>
      <c r="G13" s="161"/>
      <c r="H13" s="161"/>
      <c r="I13" s="161">
        <v>580000</v>
      </c>
      <c r="J13" s="161">
        <f>SUM(D13:H14)</f>
        <v>669900</v>
      </c>
      <c r="K13" s="161"/>
      <c r="L13" s="161"/>
      <c r="M13" s="161"/>
      <c r="N13" s="161">
        <v>2</v>
      </c>
      <c r="O13" s="159">
        <f>J13/N13</f>
        <v>334950</v>
      </c>
      <c r="P13" s="161">
        <v>1</v>
      </c>
      <c r="Q13" s="165"/>
    </row>
    <row r="14" spans="1:17" ht="27" hidden="1" customHeight="1" x14ac:dyDescent="0.25">
      <c r="A14" s="162"/>
      <c r="B14" s="164"/>
      <c r="C14" s="197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0"/>
      <c r="P14" s="161"/>
      <c r="Q14" s="166"/>
    </row>
    <row r="15" spans="1:17" ht="27" hidden="1" customHeight="1" x14ac:dyDescent="0.25">
      <c r="A15" s="162">
        <v>45783</v>
      </c>
      <c r="B15" s="163" t="s">
        <v>31</v>
      </c>
      <c r="C15" s="197" t="s">
        <v>22</v>
      </c>
      <c r="D15" s="161"/>
      <c r="E15" s="161"/>
      <c r="F15" s="161">
        <v>2125956</v>
      </c>
      <c r="G15" s="161">
        <v>30879167</v>
      </c>
      <c r="H15" s="161"/>
      <c r="I15" s="161">
        <v>29058750</v>
      </c>
      <c r="J15" s="161">
        <f>SUM(D15:H16)</f>
        <v>33005123</v>
      </c>
      <c r="K15" s="161"/>
      <c r="L15" s="161"/>
      <c r="M15" s="161"/>
      <c r="N15" s="161">
        <v>14</v>
      </c>
      <c r="O15" s="159">
        <f>J15/N15</f>
        <v>2357508.7857142859</v>
      </c>
      <c r="P15" s="161">
        <v>4</v>
      </c>
      <c r="Q15" s="166"/>
    </row>
    <row r="16" spans="1:17" ht="27" hidden="1" customHeight="1" x14ac:dyDescent="0.25">
      <c r="A16" s="162"/>
      <c r="B16" s="164"/>
      <c r="C16" s="197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0"/>
      <c r="P16" s="161"/>
      <c r="Q16" s="166"/>
    </row>
    <row r="17" spans="1:17" ht="27" hidden="1" customHeight="1" x14ac:dyDescent="0.25">
      <c r="A17" s="162">
        <v>45784</v>
      </c>
      <c r="B17" s="163" t="s">
        <v>32</v>
      </c>
      <c r="C17" s="197" t="s">
        <v>22</v>
      </c>
      <c r="D17" s="161"/>
      <c r="E17" s="161"/>
      <c r="F17" s="161">
        <v>5142606</v>
      </c>
      <c r="G17" s="161">
        <v>249480</v>
      </c>
      <c r="H17" s="161"/>
      <c r="I17" s="161">
        <v>4729000</v>
      </c>
      <c r="J17" s="161">
        <f>SUM(D17:H18)</f>
        <v>5392086</v>
      </c>
      <c r="K17" s="161"/>
      <c r="L17" s="161"/>
      <c r="M17" s="161"/>
      <c r="N17" s="161"/>
      <c r="O17" s="159" t="e">
        <f>J17/N17</f>
        <v>#DIV/0!</v>
      </c>
      <c r="P17" s="161">
        <v>3</v>
      </c>
      <c r="Q17" s="166" t="s">
        <v>59</v>
      </c>
    </row>
    <row r="18" spans="1:17" ht="27" hidden="1" customHeight="1" x14ac:dyDescent="0.25">
      <c r="A18" s="162"/>
      <c r="B18" s="164"/>
      <c r="C18" s="197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0"/>
      <c r="P18" s="161"/>
      <c r="Q18" s="166"/>
    </row>
    <row r="19" spans="1:17" ht="45" hidden="1" x14ac:dyDescent="0.25">
      <c r="A19" s="171" t="s">
        <v>29</v>
      </c>
      <c r="B19" s="171"/>
      <c r="C19" s="171"/>
      <c r="D19" s="52">
        <f t="shared" ref="D19:N19" si="1">SUM(D20:D33)</f>
        <v>2560572</v>
      </c>
      <c r="E19" s="52">
        <f t="shared" si="1"/>
        <v>4366824</v>
      </c>
      <c r="F19" s="52">
        <f t="shared" si="1"/>
        <v>113963787</v>
      </c>
      <c r="G19" s="52">
        <f t="shared" si="1"/>
        <v>25109721</v>
      </c>
      <c r="H19" s="52">
        <f t="shared" si="1"/>
        <v>5735125</v>
      </c>
      <c r="I19" s="52">
        <f t="shared" si="1"/>
        <v>132523728</v>
      </c>
      <c r="J19" s="52">
        <f t="shared" si="1"/>
        <v>151736029</v>
      </c>
      <c r="K19" s="52">
        <f t="shared" si="1"/>
        <v>0</v>
      </c>
      <c r="L19" s="52">
        <f t="shared" si="1"/>
        <v>0</v>
      </c>
      <c r="M19" s="52">
        <f t="shared" si="1"/>
        <v>0</v>
      </c>
      <c r="N19" s="52">
        <f t="shared" si="1"/>
        <v>91</v>
      </c>
      <c r="O19" s="52">
        <f>J19/N19</f>
        <v>1667428.8901098901</v>
      </c>
      <c r="P19" s="52">
        <f>SUM(P20:P33)</f>
        <v>36</v>
      </c>
      <c r="Q19" s="55"/>
    </row>
    <row r="20" spans="1:17" ht="27" hidden="1" customHeight="1" x14ac:dyDescent="0.25">
      <c r="A20" s="162">
        <v>45785</v>
      </c>
      <c r="B20" s="163" t="s">
        <v>21</v>
      </c>
      <c r="C20" s="197" t="s">
        <v>22</v>
      </c>
      <c r="D20" s="161"/>
      <c r="E20" s="161"/>
      <c r="F20" s="161">
        <v>9241596</v>
      </c>
      <c r="G20" s="161"/>
      <c r="H20" s="161"/>
      <c r="I20" s="161">
        <v>8094000</v>
      </c>
      <c r="J20" s="161">
        <f>SUM(D20:H21)</f>
        <v>9241596</v>
      </c>
      <c r="K20" s="161"/>
      <c r="L20" s="161"/>
      <c r="M20" s="161"/>
      <c r="N20" s="161">
        <v>7</v>
      </c>
      <c r="O20" s="161">
        <f>J20/N20</f>
        <v>1320228</v>
      </c>
      <c r="P20" s="161">
        <v>6</v>
      </c>
      <c r="Q20" s="166"/>
    </row>
    <row r="21" spans="1:17" ht="27" hidden="1" customHeight="1" x14ac:dyDescent="0.25">
      <c r="A21" s="162"/>
      <c r="B21" s="164"/>
      <c r="C21" s="197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6"/>
    </row>
    <row r="22" spans="1:17" ht="27" hidden="1" customHeight="1" x14ac:dyDescent="0.25">
      <c r="A22" s="162">
        <v>45786</v>
      </c>
      <c r="B22" s="163" t="s">
        <v>23</v>
      </c>
      <c r="C22" s="197" t="s">
        <v>22</v>
      </c>
      <c r="D22" s="161"/>
      <c r="E22" s="161">
        <v>2365524</v>
      </c>
      <c r="F22" s="161">
        <v>46015326</v>
      </c>
      <c r="G22" s="161">
        <v>18719064</v>
      </c>
      <c r="H22" s="161">
        <v>5735125</v>
      </c>
      <c r="I22" s="161">
        <v>63616300</v>
      </c>
      <c r="J22" s="161">
        <f>SUM(D22:H23)</f>
        <v>72835039</v>
      </c>
      <c r="K22" s="161"/>
      <c r="L22" s="161"/>
      <c r="M22" s="161"/>
      <c r="N22" s="161">
        <v>41</v>
      </c>
      <c r="O22" s="161">
        <f>J22/N22</f>
        <v>1776464.3658536586</v>
      </c>
      <c r="P22" s="161">
        <v>13</v>
      </c>
      <c r="Q22" s="166" t="s">
        <v>73</v>
      </c>
    </row>
    <row r="23" spans="1:17" ht="27" hidden="1" customHeight="1" x14ac:dyDescent="0.25">
      <c r="A23" s="162"/>
      <c r="B23" s="164"/>
      <c r="C23" s="197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6"/>
    </row>
    <row r="24" spans="1:17" ht="27" hidden="1" customHeight="1" x14ac:dyDescent="0.25">
      <c r="A24" s="162">
        <v>45787</v>
      </c>
      <c r="B24" s="163" t="s">
        <v>25</v>
      </c>
      <c r="C24" s="197" t="s">
        <v>22</v>
      </c>
      <c r="D24" s="161">
        <v>2560572</v>
      </c>
      <c r="E24" s="161"/>
      <c r="F24" s="161"/>
      <c r="G24" s="161"/>
      <c r="H24" s="161"/>
      <c r="I24" s="161">
        <v>2258000</v>
      </c>
      <c r="J24" s="161">
        <f>SUM(D24:H25)</f>
        <v>2560572</v>
      </c>
      <c r="K24" s="161"/>
      <c r="L24" s="161"/>
      <c r="M24" s="161"/>
      <c r="N24" s="161">
        <v>6</v>
      </c>
      <c r="O24" s="161">
        <f>J24/N24</f>
        <v>426762</v>
      </c>
      <c r="P24" s="161">
        <v>1</v>
      </c>
      <c r="Q24" s="165"/>
    </row>
    <row r="25" spans="1:17" ht="27" hidden="1" customHeight="1" x14ac:dyDescent="0.25">
      <c r="A25" s="162"/>
      <c r="B25" s="164"/>
      <c r="C25" s="197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6"/>
    </row>
    <row r="26" spans="1:17" ht="27" hidden="1" customHeight="1" x14ac:dyDescent="0.25">
      <c r="A26" s="162">
        <v>45788</v>
      </c>
      <c r="B26" s="163" t="s">
        <v>60</v>
      </c>
      <c r="C26" s="197" t="s">
        <v>22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6"/>
    </row>
    <row r="27" spans="1:17" ht="27" hidden="1" customHeight="1" x14ac:dyDescent="0.25">
      <c r="A27" s="162"/>
      <c r="B27" s="164"/>
      <c r="C27" s="197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6"/>
    </row>
    <row r="28" spans="1:17" ht="27" hidden="1" customHeight="1" x14ac:dyDescent="0.25">
      <c r="A28" s="162">
        <v>45789</v>
      </c>
      <c r="B28" s="163" t="s">
        <v>30</v>
      </c>
      <c r="C28" s="197" t="s">
        <v>22</v>
      </c>
      <c r="D28" s="161"/>
      <c r="E28" s="161"/>
      <c r="F28" s="161">
        <v>9581292</v>
      </c>
      <c r="G28" s="161"/>
      <c r="H28" s="161"/>
      <c r="I28" s="161">
        <v>8413000</v>
      </c>
      <c r="J28" s="161">
        <f>SUM(D28:H29)</f>
        <v>9581292</v>
      </c>
      <c r="K28" s="161"/>
      <c r="L28" s="161"/>
      <c r="M28" s="161"/>
      <c r="N28" s="161">
        <v>4</v>
      </c>
      <c r="O28" s="161">
        <f>J28/N28</f>
        <v>2395323</v>
      </c>
      <c r="P28" s="161">
        <v>6</v>
      </c>
      <c r="Q28" s="166"/>
    </row>
    <row r="29" spans="1:17" ht="27" hidden="1" customHeight="1" x14ac:dyDescent="0.25">
      <c r="A29" s="162"/>
      <c r="B29" s="164"/>
      <c r="C29" s="197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6"/>
    </row>
    <row r="30" spans="1:17" ht="27" hidden="1" customHeight="1" x14ac:dyDescent="0.25">
      <c r="A30" s="162">
        <v>45790</v>
      </c>
      <c r="B30" s="163" t="s">
        <v>31</v>
      </c>
      <c r="C30" s="197" t="s">
        <v>22</v>
      </c>
      <c r="D30" s="161"/>
      <c r="E30" s="161"/>
      <c r="F30" s="161">
        <v>24677709</v>
      </c>
      <c r="G30" s="161"/>
      <c r="H30" s="161"/>
      <c r="I30" s="161">
        <v>21563500</v>
      </c>
      <c r="J30" s="161">
        <f>SUM(D30:H31)</f>
        <v>24677709</v>
      </c>
      <c r="K30" s="161"/>
      <c r="L30" s="161"/>
      <c r="M30" s="161"/>
      <c r="N30" s="161">
        <v>7</v>
      </c>
      <c r="O30" s="161">
        <f>J30/N30</f>
        <v>3525387</v>
      </c>
      <c r="P30" s="161">
        <v>2</v>
      </c>
      <c r="Q30" s="166"/>
    </row>
    <row r="31" spans="1:17" ht="27" hidden="1" customHeight="1" x14ac:dyDescent="0.25">
      <c r="A31" s="162"/>
      <c r="B31" s="164"/>
      <c r="C31" s="197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6"/>
    </row>
    <row r="32" spans="1:17" ht="27" hidden="1" customHeight="1" x14ac:dyDescent="0.25">
      <c r="A32" s="162">
        <v>45791</v>
      </c>
      <c r="B32" s="163" t="s">
        <v>32</v>
      </c>
      <c r="C32" s="197" t="s">
        <v>22</v>
      </c>
      <c r="D32" s="161"/>
      <c r="E32" s="161">
        <v>2001300</v>
      </c>
      <c r="F32" s="161">
        <v>24447864</v>
      </c>
      <c r="G32" s="161">
        <v>6390657</v>
      </c>
      <c r="H32" s="161"/>
      <c r="I32" s="161">
        <v>28578928</v>
      </c>
      <c r="J32" s="161">
        <f>35400393-2560572</f>
        <v>32839821</v>
      </c>
      <c r="K32" s="161"/>
      <c r="L32" s="161"/>
      <c r="M32" s="161"/>
      <c r="N32" s="161">
        <v>26</v>
      </c>
      <c r="O32" s="161">
        <f>J32/N32</f>
        <v>1263070.0384615385</v>
      </c>
      <c r="P32" s="161">
        <v>8</v>
      </c>
      <c r="Q32" s="169" t="s">
        <v>59</v>
      </c>
    </row>
    <row r="33" spans="1:17" ht="27" hidden="1" customHeight="1" x14ac:dyDescent="0.25">
      <c r="A33" s="162"/>
      <c r="B33" s="164"/>
      <c r="C33" s="197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70"/>
    </row>
    <row r="34" spans="1:17" ht="45" hidden="1" x14ac:dyDescent="0.25">
      <c r="A34" s="171" t="s">
        <v>34</v>
      </c>
      <c r="B34" s="171"/>
      <c r="C34" s="171"/>
      <c r="D34" s="52">
        <f t="shared" ref="D34:N34" si="2">SUM(D35:D48)</f>
        <v>33494136</v>
      </c>
      <c r="E34" s="52">
        <f t="shared" si="2"/>
        <v>4906447</v>
      </c>
      <c r="F34" s="52">
        <f t="shared" si="2"/>
        <v>83970523</v>
      </c>
      <c r="G34" s="52">
        <f t="shared" si="2"/>
        <v>56425093</v>
      </c>
      <c r="H34" s="52">
        <f t="shared" si="2"/>
        <v>0</v>
      </c>
      <c r="I34" s="52">
        <f t="shared" si="2"/>
        <v>156966475</v>
      </c>
      <c r="J34" s="52">
        <f t="shared" si="2"/>
        <v>178796199</v>
      </c>
      <c r="K34" s="52">
        <f t="shared" si="2"/>
        <v>0</v>
      </c>
      <c r="L34" s="52">
        <f t="shared" si="2"/>
        <v>0</v>
      </c>
      <c r="M34" s="52">
        <f t="shared" si="2"/>
        <v>0</v>
      </c>
      <c r="N34" s="52">
        <f t="shared" si="2"/>
        <v>91</v>
      </c>
      <c r="O34" s="52">
        <f>J34/N34</f>
        <v>1964793.3956043955</v>
      </c>
      <c r="P34" s="52">
        <f>SUM(P35:P48)</f>
        <v>37</v>
      </c>
      <c r="Q34" s="55"/>
    </row>
    <row r="35" spans="1:17" ht="27" hidden="1" customHeight="1" x14ac:dyDescent="0.25">
      <c r="A35" s="162">
        <v>45792</v>
      </c>
      <c r="B35" s="197" t="s">
        <v>21</v>
      </c>
      <c r="C35" s="197" t="s">
        <v>22</v>
      </c>
      <c r="D35" s="161">
        <v>5250420</v>
      </c>
      <c r="E35" s="161"/>
      <c r="F35" s="161">
        <v>27184290</v>
      </c>
      <c r="G35" s="161">
        <v>36456003</v>
      </c>
      <c r="H35" s="161"/>
      <c r="I35" s="161">
        <v>60608150</v>
      </c>
      <c r="J35" s="161">
        <f>SUM(D35:H36)</f>
        <v>68890713</v>
      </c>
      <c r="K35" s="161"/>
      <c r="L35" s="161"/>
      <c r="M35" s="161"/>
      <c r="N35" s="161">
        <v>30</v>
      </c>
      <c r="O35" s="161">
        <f>J35/N35</f>
        <v>2296357.1</v>
      </c>
      <c r="P35" s="161">
        <v>6</v>
      </c>
      <c r="Q35" s="166" t="s">
        <v>78</v>
      </c>
    </row>
    <row r="36" spans="1:17" ht="27" hidden="1" customHeight="1" x14ac:dyDescent="0.25">
      <c r="A36" s="162"/>
      <c r="B36" s="197"/>
      <c r="C36" s="197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6"/>
    </row>
    <row r="37" spans="1:17" ht="27" hidden="1" customHeight="1" x14ac:dyDescent="0.25">
      <c r="A37" s="162">
        <v>45793</v>
      </c>
      <c r="B37" s="163" t="s">
        <v>23</v>
      </c>
      <c r="C37" s="197" t="s">
        <v>22</v>
      </c>
      <c r="D37" s="161">
        <v>260820</v>
      </c>
      <c r="E37" s="161"/>
      <c r="F37" s="161"/>
      <c r="G37" s="161"/>
      <c r="H37" s="161"/>
      <c r="I37" s="161">
        <v>230000</v>
      </c>
      <c r="J37" s="161">
        <f>SUM(D37:H38)</f>
        <v>260820</v>
      </c>
      <c r="K37" s="161"/>
      <c r="L37" s="161"/>
      <c r="M37" s="161"/>
      <c r="N37" s="161">
        <v>1</v>
      </c>
      <c r="O37" s="161">
        <f>J37/N37</f>
        <v>260820</v>
      </c>
      <c r="P37" s="161">
        <v>1</v>
      </c>
      <c r="Q37" s="166"/>
    </row>
    <row r="38" spans="1:17" ht="27" hidden="1" customHeight="1" x14ac:dyDescent="0.25">
      <c r="A38" s="162"/>
      <c r="B38" s="164"/>
      <c r="C38" s="197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6"/>
    </row>
    <row r="39" spans="1:17" ht="27" hidden="1" customHeight="1" x14ac:dyDescent="0.25">
      <c r="A39" s="162">
        <v>45794</v>
      </c>
      <c r="B39" s="197" t="s">
        <v>25</v>
      </c>
      <c r="C39" s="197" t="s">
        <v>22</v>
      </c>
      <c r="D39" s="161">
        <v>18000000</v>
      </c>
      <c r="E39" s="161"/>
      <c r="F39" s="161">
        <v>37176261</v>
      </c>
      <c r="G39" s="161">
        <v>1294518</v>
      </c>
      <c r="H39" s="161"/>
      <c r="I39" s="161">
        <v>49540550</v>
      </c>
      <c r="J39" s="161">
        <f>SUM(D39:H40)</f>
        <v>56470779</v>
      </c>
      <c r="K39" s="161"/>
      <c r="L39" s="161"/>
      <c r="M39" s="161"/>
      <c r="N39" s="161">
        <v>29</v>
      </c>
      <c r="O39" s="161">
        <f>J39/N39</f>
        <v>1947268.2413793104</v>
      </c>
      <c r="P39" s="161">
        <v>11</v>
      </c>
      <c r="Q39" s="198" t="s">
        <v>61</v>
      </c>
    </row>
    <row r="40" spans="1:17" ht="27" hidden="1" customHeight="1" x14ac:dyDescent="0.25">
      <c r="A40" s="162"/>
      <c r="B40" s="197"/>
      <c r="C40" s="197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99"/>
    </row>
    <row r="41" spans="1:17" ht="27" hidden="1" customHeight="1" x14ac:dyDescent="0.25">
      <c r="A41" s="162">
        <v>45795</v>
      </c>
      <c r="B41" s="197" t="s">
        <v>60</v>
      </c>
      <c r="C41" s="197" t="s">
        <v>22</v>
      </c>
      <c r="D41" s="161"/>
      <c r="E41" s="161"/>
      <c r="F41" s="161">
        <v>4334694</v>
      </c>
      <c r="G41" s="161">
        <v>6053880</v>
      </c>
      <c r="H41" s="161"/>
      <c r="I41" s="161">
        <v>9086000</v>
      </c>
      <c r="J41" s="161">
        <f>SUM(D41:H42)</f>
        <v>10388574</v>
      </c>
      <c r="K41" s="161"/>
      <c r="L41" s="161"/>
      <c r="M41" s="161"/>
      <c r="N41" s="161">
        <v>7</v>
      </c>
      <c r="O41" s="161">
        <f>J41/N41</f>
        <v>1484082</v>
      </c>
      <c r="P41" s="161">
        <v>4</v>
      </c>
      <c r="Q41" s="166" t="s">
        <v>80</v>
      </c>
    </row>
    <row r="42" spans="1:17" ht="27" hidden="1" customHeight="1" x14ac:dyDescent="0.25">
      <c r="A42" s="162"/>
      <c r="B42" s="197"/>
      <c r="C42" s="197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6"/>
    </row>
    <row r="43" spans="1:17" ht="27" hidden="1" customHeight="1" x14ac:dyDescent="0.25">
      <c r="A43" s="162">
        <v>45796</v>
      </c>
      <c r="B43" s="163" t="s">
        <v>30</v>
      </c>
      <c r="C43" s="197" t="s">
        <v>22</v>
      </c>
      <c r="D43" s="161">
        <v>1035006</v>
      </c>
      <c r="E43" s="161">
        <v>226800</v>
      </c>
      <c r="F43" s="161">
        <v>10378410</v>
      </c>
      <c r="G43" s="161"/>
      <c r="H43" s="161"/>
      <c r="I43" s="161">
        <v>10149000</v>
      </c>
      <c r="J43" s="161">
        <f>SUM(D43:H44)</f>
        <v>11640216</v>
      </c>
      <c r="K43" s="161"/>
      <c r="L43" s="161"/>
      <c r="M43" s="161"/>
      <c r="N43" s="161">
        <v>7</v>
      </c>
      <c r="O43" s="161">
        <f>J43/N43</f>
        <v>1662888</v>
      </c>
      <c r="P43" s="161">
        <v>5</v>
      </c>
      <c r="Q43" s="166"/>
    </row>
    <row r="44" spans="1:17" ht="27" hidden="1" customHeight="1" x14ac:dyDescent="0.25">
      <c r="A44" s="162"/>
      <c r="B44" s="164"/>
      <c r="C44" s="197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6"/>
    </row>
    <row r="45" spans="1:17" ht="27" hidden="1" customHeight="1" x14ac:dyDescent="0.25">
      <c r="A45" s="162">
        <v>45797</v>
      </c>
      <c r="B45" s="163" t="s">
        <v>31</v>
      </c>
      <c r="C45" s="197" t="s">
        <v>22</v>
      </c>
      <c r="D45" s="161">
        <v>8947890</v>
      </c>
      <c r="E45" s="161"/>
      <c r="F45" s="161">
        <v>2964532</v>
      </c>
      <c r="G45" s="161">
        <v>12620692</v>
      </c>
      <c r="H45" s="161"/>
      <c r="I45" s="161">
        <v>21544325</v>
      </c>
      <c r="J45" s="161">
        <f>SUM(D45:H46)</f>
        <v>24533114</v>
      </c>
      <c r="K45" s="161"/>
      <c r="L45" s="161"/>
      <c r="M45" s="161"/>
      <c r="N45" s="161">
        <v>13</v>
      </c>
      <c r="O45" s="161">
        <f>J45/N45</f>
        <v>1887162.6153846155</v>
      </c>
      <c r="P45" s="161">
        <v>7</v>
      </c>
      <c r="Q45" s="166" t="s">
        <v>81</v>
      </c>
    </row>
    <row r="46" spans="1:17" ht="27" hidden="1" customHeight="1" x14ac:dyDescent="0.25">
      <c r="A46" s="162"/>
      <c r="B46" s="164"/>
      <c r="C46" s="197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6"/>
    </row>
    <row r="47" spans="1:17" ht="27" hidden="1" customHeight="1" x14ac:dyDescent="0.25">
      <c r="A47" s="162">
        <v>45798</v>
      </c>
      <c r="B47" s="197" t="s">
        <v>79</v>
      </c>
      <c r="C47" s="197" t="s">
        <v>22</v>
      </c>
      <c r="D47" s="161"/>
      <c r="E47" s="161">
        <v>4679647</v>
      </c>
      <c r="F47" s="161">
        <v>1932336</v>
      </c>
      <c r="G47" s="161"/>
      <c r="H47" s="161"/>
      <c r="I47" s="161">
        <f>6421000-612550</f>
        <v>5808450</v>
      </c>
      <c r="J47" s="161">
        <f>SUM(D47:H48)</f>
        <v>6611983</v>
      </c>
      <c r="K47" s="161"/>
      <c r="L47" s="161"/>
      <c r="M47" s="161"/>
      <c r="N47" s="161">
        <v>4</v>
      </c>
      <c r="O47" s="161">
        <f>J47/N47</f>
        <v>1652995.75</v>
      </c>
      <c r="P47" s="161">
        <v>3</v>
      </c>
      <c r="Q47" s="169"/>
    </row>
    <row r="48" spans="1:17" ht="27" hidden="1" customHeight="1" x14ac:dyDescent="0.25">
      <c r="A48" s="162"/>
      <c r="B48" s="197"/>
      <c r="C48" s="197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70"/>
    </row>
    <row r="49" spans="1:17" ht="45" x14ac:dyDescent="0.25">
      <c r="A49" s="171" t="s">
        <v>36</v>
      </c>
      <c r="B49" s="171"/>
      <c r="C49" s="171"/>
      <c r="D49" s="52">
        <f>SUM(D50:D67)</f>
        <v>4319238</v>
      </c>
      <c r="E49" s="52">
        <f>SUM(E50:E67)</f>
        <v>24183340</v>
      </c>
      <c r="F49" s="52">
        <f>SUM(F50:F67)</f>
        <v>75186933</v>
      </c>
      <c r="G49" s="52">
        <f>SUM(G50:G67)</f>
        <v>29296798</v>
      </c>
      <c r="H49" s="52">
        <f>SUM(H50:H67)</f>
        <v>13705884</v>
      </c>
      <c r="I49" s="52">
        <f>SUM(I50:I68)</f>
        <v>158435200</v>
      </c>
      <c r="J49" s="52">
        <f>SUM(J50:J68)</f>
        <v>176382529</v>
      </c>
      <c r="K49" s="52">
        <f>SUM(K50:K63)</f>
        <v>0</v>
      </c>
      <c r="L49" s="52">
        <f>SUM(L50:L63)</f>
        <v>0</v>
      </c>
      <c r="M49" s="52">
        <f>SUM(M50:M63)</f>
        <v>0</v>
      </c>
      <c r="N49" s="52">
        <f>SUM(N50:N67)</f>
        <v>91</v>
      </c>
      <c r="O49" s="52">
        <f>J49/N49</f>
        <v>1938269.5494505495</v>
      </c>
      <c r="P49" s="52">
        <f>SUM(P50:P67)</f>
        <v>57</v>
      </c>
      <c r="Q49" s="55"/>
    </row>
    <row r="50" spans="1:17" ht="27" customHeight="1" x14ac:dyDescent="0.7">
      <c r="A50" s="162">
        <v>45799</v>
      </c>
      <c r="B50" s="197" t="s">
        <v>21</v>
      </c>
      <c r="C50" s="197" t="s">
        <v>22</v>
      </c>
      <c r="D50" s="161"/>
      <c r="E50" s="53"/>
      <c r="F50" s="161">
        <v>5994240</v>
      </c>
      <c r="G50" s="161"/>
      <c r="H50" s="161"/>
      <c r="I50" s="161">
        <f>5280000</f>
        <v>5280000</v>
      </c>
      <c r="J50" s="161">
        <f>5994240</f>
        <v>5994240</v>
      </c>
      <c r="K50" s="161"/>
      <c r="L50" s="161"/>
      <c r="M50" s="161"/>
      <c r="N50" s="161">
        <v>5</v>
      </c>
      <c r="O50" s="161">
        <f>J50/N50</f>
        <v>1198848</v>
      </c>
      <c r="P50" s="161">
        <v>3</v>
      </c>
      <c r="Q50" s="166"/>
    </row>
    <row r="51" spans="1:17" ht="27" customHeight="1" x14ac:dyDescent="0.7">
      <c r="A51" s="162"/>
      <c r="B51" s="197"/>
      <c r="C51" s="197"/>
      <c r="D51" s="161"/>
      <c r="E51" s="53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6"/>
    </row>
    <row r="52" spans="1:17" ht="27" customHeight="1" x14ac:dyDescent="0.25">
      <c r="A52" s="162">
        <v>45800</v>
      </c>
      <c r="B52" s="197" t="s">
        <v>23</v>
      </c>
      <c r="C52" s="197" t="s">
        <v>22</v>
      </c>
      <c r="D52" s="161"/>
      <c r="E52" s="161"/>
      <c r="F52" s="161">
        <v>9313500</v>
      </c>
      <c r="G52" s="161">
        <v>158760</v>
      </c>
      <c r="H52" s="161"/>
      <c r="I52" s="161">
        <v>8260000</v>
      </c>
      <c r="J52" s="161">
        <f>SUM(D52:H53)</f>
        <v>9472260</v>
      </c>
      <c r="K52" s="161"/>
      <c r="L52" s="161"/>
      <c r="M52" s="161"/>
      <c r="N52" s="161">
        <v>3</v>
      </c>
      <c r="O52" s="161">
        <f>J52/N52</f>
        <v>3157420</v>
      </c>
      <c r="P52" s="161">
        <v>3</v>
      </c>
      <c r="Q52" s="166" t="s">
        <v>59</v>
      </c>
    </row>
    <row r="53" spans="1:17" ht="27" customHeight="1" x14ac:dyDescent="0.25">
      <c r="A53" s="162"/>
      <c r="B53" s="197"/>
      <c r="C53" s="197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6"/>
    </row>
    <row r="54" spans="1:17" ht="27" customHeight="1" x14ac:dyDescent="0.25">
      <c r="A54" s="162">
        <v>45801</v>
      </c>
      <c r="B54" s="197" t="s">
        <v>25</v>
      </c>
      <c r="C54" s="197" t="s">
        <v>22</v>
      </c>
      <c r="D54" s="161"/>
      <c r="E54" s="161"/>
      <c r="F54" s="161">
        <v>19719630</v>
      </c>
      <c r="G54" s="161">
        <v>15758361</v>
      </c>
      <c r="H54" s="161"/>
      <c r="I54" s="161">
        <v>31110150</v>
      </c>
      <c r="J54" s="161">
        <f>SUM(D54:H55)</f>
        <v>35477991</v>
      </c>
      <c r="K54" s="161"/>
      <c r="L54" s="161"/>
      <c r="M54" s="161"/>
      <c r="N54" s="161">
        <v>18</v>
      </c>
      <c r="O54" s="161">
        <f>J54/N54</f>
        <v>1970999.5</v>
      </c>
      <c r="P54" s="161">
        <v>10</v>
      </c>
      <c r="Q54" s="166"/>
    </row>
    <row r="55" spans="1:17" ht="27" customHeight="1" x14ac:dyDescent="0.25">
      <c r="A55" s="162"/>
      <c r="B55" s="197"/>
      <c r="C55" s="197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6"/>
    </row>
    <row r="56" spans="1:17" ht="27" customHeight="1" x14ac:dyDescent="0.25">
      <c r="A56" s="162">
        <v>45802</v>
      </c>
      <c r="B56" s="197" t="s">
        <v>60</v>
      </c>
      <c r="C56" s="197" t="s">
        <v>22</v>
      </c>
      <c r="D56" s="161"/>
      <c r="E56" s="161"/>
      <c r="F56" s="161">
        <v>561750</v>
      </c>
      <c r="G56" s="161"/>
      <c r="H56" s="161"/>
      <c r="I56" s="161">
        <v>490000</v>
      </c>
      <c r="J56" s="161">
        <f>SUM(D56:H57)</f>
        <v>561750</v>
      </c>
      <c r="K56" s="161"/>
      <c r="L56" s="161"/>
      <c r="M56" s="161"/>
      <c r="N56" s="161">
        <v>2</v>
      </c>
      <c r="O56" s="161">
        <f>J56/N56</f>
        <v>280875</v>
      </c>
      <c r="P56" s="161">
        <v>2</v>
      </c>
      <c r="Q56" s="166"/>
    </row>
    <row r="57" spans="1:17" ht="27" customHeight="1" x14ac:dyDescent="0.25">
      <c r="A57" s="162"/>
      <c r="B57" s="197"/>
      <c r="C57" s="197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6"/>
    </row>
    <row r="58" spans="1:17" ht="27" customHeight="1" x14ac:dyDescent="0.25">
      <c r="A58" s="162">
        <v>45803</v>
      </c>
      <c r="B58" s="197" t="s">
        <v>30</v>
      </c>
      <c r="C58" s="197" t="s">
        <v>22</v>
      </c>
      <c r="D58" s="161"/>
      <c r="E58" s="161">
        <v>22112908</v>
      </c>
      <c r="F58" s="161"/>
      <c r="G58" s="161">
        <v>1828519</v>
      </c>
      <c r="H58" s="161"/>
      <c r="I58" s="161">
        <v>20983850</v>
      </c>
      <c r="J58" s="161">
        <f>SUM(D58:H59)</f>
        <v>23941427</v>
      </c>
      <c r="K58" s="161"/>
      <c r="L58" s="161"/>
      <c r="M58" s="161"/>
      <c r="N58" s="161">
        <v>14</v>
      </c>
      <c r="O58" s="161">
        <f>J58/N58</f>
        <v>1710101.9285714286</v>
      </c>
      <c r="P58" s="161">
        <v>12</v>
      </c>
      <c r="Q58" s="165" t="s">
        <v>61</v>
      </c>
    </row>
    <row r="59" spans="1:17" ht="27" customHeight="1" x14ac:dyDescent="0.25">
      <c r="A59" s="162"/>
      <c r="B59" s="197"/>
      <c r="C59" s="197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6"/>
    </row>
    <row r="60" spans="1:17" ht="27" customHeight="1" x14ac:dyDescent="0.25">
      <c r="A60" s="162">
        <v>45804</v>
      </c>
      <c r="B60" s="197" t="s">
        <v>31</v>
      </c>
      <c r="C60" s="163" t="s">
        <v>22</v>
      </c>
      <c r="D60" s="161">
        <v>2466660</v>
      </c>
      <c r="E60" s="159"/>
      <c r="F60" s="159">
        <v>3056193</v>
      </c>
      <c r="G60" s="159">
        <v>11551158</v>
      </c>
      <c r="H60" s="159">
        <v>6651099</v>
      </c>
      <c r="I60" s="161">
        <v>20791150</v>
      </c>
      <c r="J60" s="161">
        <f>SUM(D60:H61)</f>
        <v>23725110</v>
      </c>
      <c r="K60" s="159"/>
      <c r="L60" s="159"/>
      <c r="M60" s="159"/>
      <c r="N60" s="159">
        <v>18</v>
      </c>
      <c r="O60" s="161">
        <f>J60/N60</f>
        <v>1318061.6666666667</v>
      </c>
      <c r="P60" s="159">
        <v>10</v>
      </c>
      <c r="Q60" s="166" t="s">
        <v>73</v>
      </c>
    </row>
    <row r="61" spans="1:17" ht="27" customHeight="1" x14ac:dyDescent="0.25">
      <c r="A61" s="162"/>
      <c r="B61" s="197"/>
      <c r="C61" s="164"/>
      <c r="D61" s="161"/>
      <c r="E61" s="160"/>
      <c r="F61" s="160"/>
      <c r="G61" s="160"/>
      <c r="H61" s="160"/>
      <c r="I61" s="161"/>
      <c r="J61" s="161"/>
      <c r="K61" s="160"/>
      <c r="L61" s="160"/>
      <c r="M61" s="160"/>
      <c r="N61" s="160"/>
      <c r="O61" s="161"/>
      <c r="P61" s="160"/>
      <c r="Q61" s="166"/>
    </row>
    <row r="62" spans="1:17" ht="27" customHeight="1" x14ac:dyDescent="0.25">
      <c r="A62" s="162">
        <v>45805</v>
      </c>
      <c r="B62" s="197" t="s">
        <v>32</v>
      </c>
      <c r="C62" s="163" t="s">
        <v>22</v>
      </c>
      <c r="D62" s="161">
        <v>1852578</v>
      </c>
      <c r="E62" s="159">
        <v>2070432</v>
      </c>
      <c r="F62" s="159">
        <v>4733033</v>
      </c>
      <c r="G62" s="159"/>
      <c r="H62" s="159"/>
      <c r="I62" s="161">
        <v>9558750</v>
      </c>
      <c r="J62" s="161">
        <f>SUM(D62:H63)</f>
        <v>8656043</v>
      </c>
      <c r="K62" s="159"/>
      <c r="L62" s="159"/>
      <c r="M62" s="159"/>
      <c r="N62" s="159">
        <v>11</v>
      </c>
      <c r="O62" s="159">
        <f>J62/N62</f>
        <v>786913</v>
      </c>
      <c r="P62" s="159">
        <v>7</v>
      </c>
      <c r="Q62" s="194"/>
    </row>
    <row r="63" spans="1:17" ht="27" customHeight="1" x14ac:dyDescent="0.25">
      <c r="A63" s="162"/>
      <c r="B63" s="197"/>
      <c r="C63" s="164"/>
      <c r="D63" s="161"/>
      <c r="E63" s="160"/>
      <c r="F63" s="160"/>
      <c r="G63" s="160"/>
      <c r="H63" s="160"/>
      <c r="I63" s="161"/>
      <c r="J63" s="161"/>
      <c r="K63" s="160"/>
      <c r="L63" s="160"/>
      <c r="M63" s="160"/>
      <c r="N63" s="160"/>
      <c r="O63" s="160"/>
      <c r="P63" s="160"/>
      <c r="Q63" s="195"/>
    </row>
    <row r="64" spans="1:17" ht="27" customHeight="1" x14ac:dyDescent="0.25">
      <c r="A64" s="162">
        <v>45806</v>
      </c>
      <c r="B64" s="197" t="s">
        <v>21</v>
      </c>
      <c r="C64" s="163" t="s">
        <v>22</v>
      </c>
      <c r="D64" s="161"/>
      <c r="E64" s="159"/>
      <c r="F64" s="159">
        <v>26811007</v>
      </c>
      <c r="G64" s="159"/>
      <c r="H64" s="159">
        <v>1850688</v>
      </c>
      <c r="I64" s="161">
        <f>28283000-1379100</f>
        <v>26903900</v>
      </c>
      <c r="J64" s="161">
        <f>SUM(D64:H65)</f>
        <v>28661695</v>
      </c>
      <c r="K64" s="159"/>
      <c r="L64" s="159"/>
      <c r="M64" s="159"/>
      <c r="N64" s="159">
        <v>12</v>
      </c>
      <c r="O64" s="159">
        <f>J64/N64</f>
        <v>2388474.5833333335</v>
      </c>
      <c r="P64" s="159">
        <v>5</v>
      </c>
      <c r="Q64" s="169"/>
    </row>
    <row r="65" spans="1:17" ht="27" customHeight="1" x14ac:dyDescent="0.25">
      <c r="A65" s="162"/>
      <c r="B65" s="197"/>
      <c r="C65" s="164"/>
      <c r="D65" s="161"/>
      <c r="E65" s="160"/>
      <c r="F65" s="160"/>
      <c r="G65" s="160"/>
      <c r="H65" s="160"/>
      <c r="I65" s="161"/>
      <c r="J65" s="161"/>
      <c r="K65" s="160"/>
      <c r="L65" s="160"/>
      <c r="M65" s="160"/>
      <c r="N65" s="160"/>
      <c r="O65" s="160"/>
      <c r="P65" s="160"/>
      <c r="Q65" s="169"/>
    </row>
    <row r="66" spans="1:17" ht="27" customHeight="1" x14ac:dyDescent="0.25">
      <c r="A66" s="162">
        <v>45807</v>
      </c>
      <c r="B66" s="197" t="s">
        <v>23</v>
      </c>
      <c r="C66" s="163" t="s">
        <v>22</v>
      </c>
      <c r="D66" s="161"/>
      <c r="E66" s="159"/>
      <c r="F66" s="159">
        <v>4997580</v>
      </c>
      <c r="G66" s="159"/>
      <c r="H66" s="159">
        <v>5204097</v>
      </c>
      <c r="I66" s="159">
        <v>8964150</v>
      </c>
      <c r="J66" s="161">
        <f>SUM(D66:H67)</f>
        <v>10201677</v>
      </c>
      <c r="K66" s="159"/>
      <c r="L66" s="159"/>
      <c r="M66" s="159"/>
      <c r="N66" s="159">
        <v>8</v>
      </c>
      <c r="O66" s="159">
        <f>J66/N66</f>
        <v>1275209.625</v>
      </c>
      <c r="P66" s="159">
        <v>5</v>
      </c>
      <c r="Q66" s="194"/>
    </row>
    <row r="67" spans="1:17" ht="27" customHeight="1" x14ac:dyDescent="0.25">
      <c r="A67" s="162"/>
      <c r="B67" s="197"/>
      <c r="C67" s="164"/>
      <c r="D67" s="161"/>
      <c r="E67" s="160"/>
      <c r="F67" s="160"/>
      <c r="G67" s="160"/>
      <c r="H67" s="160"/>
      <c r="I67" s="160"/>
      <c r="J67" s="161"/>
      <c r="K67" s="160"/>
      <c r="L67" s="160"/>
      <c r="M67" s="160"/>
      <c r="N67" s="160"/>
      <c r="O67" s="160"/>
      <c r="P67" s="160"/>
      <c r="Q67" s="195"/>
    </row>
    <row r="68" spans="1:17" ht="27" customHeight="1" x14ac:dyDescent="0.25">
      <c r="A68" s="162">
        <v>45808</v>
      </c>
      <c r="B68" s="197" t="s">
        <v>25</v>
      </c>
      <c r="C68" s="163" t="s">
        <v>22</v>
      </c>
      <c r="D68" s="161"/>
      <c r="E68" s="159"/>
      <c r="F68" s="159">
        <v>11086572</v>
      </c>
      <c r="G68" s="159">
        <v>18603764</v>
      </c>
      <c r="H68" s="159"/>
      <c r="I68" s="159">
        <v>26093250</v>
      </c>
      <c r="J68" s="161">
        <f>SUM(D68:H69)</f>
        <v>29690336</v>
      </c>
      <c r="K68" s="159"/>
      <c r="L68" s="159"/>
      <c r="M68" s="159"/>
      <c r="N68" s="159">
        <v>15</v>
      </c>
      <c r="O68" s="159">
        <f>J68/N68</f>
        <v>1979355.7333333334</v>
      </c>
      <c r="P68" s="159">
        <v>9</v>
      </c>
      <c r="Q68" s="166" t="s">
        <v>82</v>
      </c>
    </row>
    <row r="69" spans="1:17" ht="27" customHeight="1" x14ac:dyDescent="0.25">
      <c r="A69" s="162"/>
      <c r="B69" s="197"/>
      <c r="C69" s="164"/>
      <c r="D69" s="161"/>
      <c r="E69" s="160"/>
      <c r="F69" s="160"/>
      <c r="G69" s="160"/>
      <c r="H69" s="160"/>
      <c r="I69" s="160"/>
      <c r="J69" s="161"/>
      <c r="K69" s="160"/>
      <c r="L69" s="160"/>
      <c r="M69" s="160"/>
      <c r="N69" s="160"/>
      <c r="O69" s="160"/>
      <c r="P69" s="160"/>
      <c r="Q69" s="166"/>
    </row>
    <row r="70" spans="1:17" ht="45" x14ac:dyDescent="0.25">
      <c r="A70" s="158" t="s">
        <v>40</v>
      </c>
      <c r="B70" s="158"/>
      <c r="C70" s="158"/>
      <c r="D70" s="54">
        <f t="shared" ref="D70:N70" si="3">D4+D19+D34+D49</f>
        <v>45867966</v>
      </c>
      <c r="E70" s="54">
        <f t="shared" si="3"/>
        <v>39551357</v>
      </c>
      <c r="F70" s="54">
        <f t="shared" si="3"/>
        <v>300878308</v>
      </c>
      <c r="G70" s="54">
        <f t="shared" si="3"/>
        <v>166898280</v>
      </c>
      <c r="H70" s="54">
        <f t="shared" si="3"/>
        <v>19441009</v>
      </c>
      <c r="I70" s="54">
        <f>I4+I19+I34+I49</f>
        <v>531925353</v>
      </c>
      <c r="J70" s="54">
        <f>J34+J19+J4+J49</f>
        <v>602327256</v>
      </c>
      <c r="K70" s="54">
        <f t="shared" si="3"/>
        <v>0</v>
      </c>
      <c r="L70" s="54">
        <f t="shared" si="3"/>
        <v>0</v>
      </c>
      <c r="M70" s="54">
        <f t="shared" si="3"/>
        <v>0</v>
      </c>
      <c r="N70" s="54">
        <f t="shared" si="3"/>
        <v>329</v>
      </c>
      <c r="O70" s="54">
        <f>J70/N70</f>
        <v>1830781.933130699</v>
      </c>
      <c r="P70" s="54">
        <f>P4+P19+P34+P49</f>
        <v>157</v>
      </c>
      <c r="Q70" s="56"/>
    </row>
  </sheetData>
  <mergeCells count="543">
    <mergeCell ref="P2:P3"/>
    <mergeCell ref="Q2:Q3"/>
    <mergeCell ref="K3:M3"/>
    <mergeCell ref="A4:C4"/>
    <mergeCell ref="A5:A6"/>
    <mergeCell ref="B5:B6"/>
    <mergeCell ref="C5:C6"/>
    <mergeCell ref="D5:D6"/>
    <mergeCell ref="E5:E6"/>
    <mergeCell ref="F5:F6"/>
    <mergeCell ref="A2:A3"/>
    <mergeCell ref="B2:B3"/>
    <mergeCell ref="C2:C3"/>
    <mergeCell ref="D2:H2"/>
    <mergeCell ref="I2:I3"/>
    <mergeCell ref="J2:J3"/>
    <mergeCell ref="N2:N3"/>
    <mergeCell ref="O2:O3"/>
    <mergeCell ref="M5:M6"/>
    <mergeCell ref="N5:N6"/>
    <mergeCell ref="O5:O6"/>
    <mergeCell ref="P5:P6"/>
    <mergeCell ref="Q5:Q6"/>
    <mergeCell ref="K5:K6"/>
    <mergeCell ref="A7:A8"/>
    <mergeCell ref="B7:B8"/>
    <mergeCell ref="C7:C8"/>
    <mergeCell ref="D7:D8"/>
    <mergeCell ref="E7:E8"/>
    <mergeCell ref="G5:G6"/>
    <mergeCell ref="H5:H6"/>
    <mergeCell ref="I5:I6"/>
    <mergeCell ref="J5:J6"/>
    <mergeCell ref="L5:L6"/>
    <mergeCell ref="L7:L8"/>
    <mergeCell ref="M7:M8"/>
    <mergeCell ref="N7:N8"/>
    <mergeCell ref="O7:O8"/>
    <mergeCell ref="P7:P8"/>
    <mergeCell ref="Q7:Q8"/>
    <mergeCell ref="F7:F8"/>
    <mergeCell ref="G7:G8"/>
    <mergeCell ref="H7:H8"/>
    <mergeCell ref="I7:I8"/>
    <mergeCell ref="J7:J8"/>
    <mergeCell ref="K7:K8"/>
    <mergeCell ref="M9:M10"/>
    <mergeCell ref="N9:N10"/>
    <mergeCell ref="O9:O10"/>
    <mergeCell ref="P9:P10"/>
    <mergeCell ref="Q9:Q10"/>
    <mergeCell ref="A11:A12"/>
    <mergeCell ref="B11:B12"/>
    <mergeCell ref="C11:C12"/>
    <mergeCell ref="D11:D12"/>
    <mergeCell ref="E11:E1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L11:L12"/>
    <mergeCell ref="M11:M12"/>
    <mergeCell ref="N11:N12"/>
    <mergeCell ref="O11:O12"/>
    <mergeCell ref="P11:P12"/>
    <mergeCell ref="Q11:Q12"/>
    <mergeCell ref="F11:F12"/>
    <mergeCell ref="G11:G12"/>
    <mergeCell ref="H11:H12"/>
    <mergeCell ref="I11:I12"/>
    <mergeCell ref="J11:J12"/>
    <mergeCell ref="K11:K12"/>
    <mergeCell ref="M13:M14"/>
    <mergeCell ref="N13:N14"/>
    <mergeCell ref="O13:O14"/>
    <mergeCell ref="P13:P14"/>
    <mergeCell ref="Q13:Q14"/>
    <mergeCell ref="A15:A16"/>
    <mergeCell ref="B15:B16"/>
    <mergeCell ref="C15:C16"/>
    <mergeCell ref="D15:D16"/>
    <mergeCell ref="E15:E16"/>
    <mergeCell ref="G13:G14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M17:M18"/>
    <mergeCell ref="N17:N18"/>
    <mergeCell ref="O17:O18"/>
    <mergeCell ref="P17:P18"/>
    <mergeCell ref="Q17:Q18"/>
    <mergeCell ref="A19:C19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M20:M21"/>
    <mergeCell ref="N20:N21"/>
    <mergeCell ref="O20:O21"/>
    <mergeCell ref="P20:P21"/>
    <mergeCell ref="Q20:Q21"/>
    <mergeCell ref="A22:A23"/>
    <mergeCell ref="B22:B23"/>
    <mergeCell ref="C22:C23"/>
    <mergeCell ref="D22:D23"/>
    <mergeCell ref="E22:E23"/>
    <mergeCell ref="G20:G21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M24:M25"/>
    <mergeCell ref="N24:N25"/>
    <mergeCell ref="O24:O25"/>
    <mergeCell ref="P24:P25"/>
    <mergeCell ref="Q24:Q25"/>
    <mergeCell ref="A26:A27"/>
    <mergeCell ref="B26:B27"/>
    <mergeCell ref="C26:C27"/>
    <mergeCell ref="D26:D27"/>
    <mergeCell ref="E26:E27"/>
    <mergeCell ref="G24:G25"/>
    <mergeCell ref="H24:H25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M28:M29"/>
    <mergeCell ref="N28:N29"/>
    <mergeCell ref="O28:O29"/>
    <mergeCell ref="P28:P29"/>
    <mergeCell ref="Q28:Q29"/>
    <mergeCell ref="A30:A31"/>
    <mergeCell ref="B30:B31"/>
    <mergeCell ref="C30:C31"/>
    <mergeCell ref="D30:D31"/>
    <mergeCell ref="E30:E31"/>
    <mergeCell ref="G28:G29"/>
    <mergeCell ref="H28:H29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M32:M33"/>
    <mergeCell ref="N32:N33"/>
    <mergeCell ref="O32:O33"/>
    <mergeCell ref="P32:P33"/>
    <mergeCell ref="Q32:Q33"/>
    <mergeCell ref="A34:C34"/>
    <mergeCell ref="G32:G33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M35:M36"/>
    <mergeCell ref="N35:N36"/>
    <mergeCell ref="O35:O36"/>
    <mergeCell ref="P35:P36"/>
    <mergeCell ref="Q35:Q36"/>
    <mergeCell ref="A37:A38"/>
    <mergeCell ref="B37:B38"/>
    <mergeCell ref="C37:C38"/>
    <mergeCell ref="D37:D38"/>
    <mergeCell ref="E37:E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L37:L38"/>
    <mergeCell ref="M37:M38"/>
    <mergeCell ref="N37:N38"/>
    <mergeCell ref="O37:O38"/>
    <mergeCell ref="P37:P38"/>
    <mergeCell ref="Q37:Q38"/>
    <mergeCell ref="F37:F38"/>
    <mergeCell ref="G37:G38"/>
    <mergeCell ref="H37:H38"/>
    <mergeCell ref="I37:I38"/>
    <mergeCell ref="J37:J38"/>
    <mergeCell ref="K37:K38"/>
    <mergeCell ref="M39:M40"/>
    <mergeCell ref="N39:N40"/>
    <mergeCell ref="O39:O40"/>
    <mergeCell ref="P39:P40"/>
    <mergeCell ref="Q39:Q40"/>
    <mergeCell ref="A41:A42"/>
    <mergeCell ref="B41:B42"/>
    <mergeCell ref="C41:C42"/>
    <mergeCell ref="D41:D42"/>
    <mergeCell ref="E41:E42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L41:L42"/>
    <mergeCell ref="M41:M42"/>
    <mergeCell ref="N41:N42"/>
    <mergeCell ref="O41:O42"/>
    <mergeCell ref="P41:P42"/>
    <mergeCell ref="Q41:Q42"/>
    <mergeCell ref="F41:F42"/>
    <mergeCell ref="G41:G42"/>
    <mergeCell ref="H41:H42"/>
    <mergeCell ref="I41:I42"/>
    <mergeCell ref="J41:J42"/>
    <mergeCell ref="K41:K42"/>
    <mergeCell ref="M43:M44"/>
    <mergeCell ref="N43:N44"/>
    <mergeCell ref="O43:O44"/>
    <mergeCell ref="P43:P44"/>
    <mergeCell ref="Q43:Q44"/>
    <mergeCell ref="A45:A46"/>
    <mergeCell ref="B45:B46"/>
    <mergeCell ref="C45:C46"/>
    <mergeCell ref="D45:D46"/>
    <mergeCell ref="E45:E46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L45:L46"/>
    <mergeCell ref="M45:M46"/>
    <mergeCell ref="N45:N46"/>
    <mergeCell ref="O45:O46"/>
    <mergeCell ref="P45:P46"/>
    <mergeCell ref="Q45:Q46"/>
    <mergeCell ref="F45:F46"/>
    <mergeCell ref="G45:G46"/>
    <mergeCell ref="H45:H46"/>
    <mergeCell ref="I45:I46"/>
    <mergeCell ref="J45:J46"/>
    <mergeCell ref="K45:K46"/>
    <mergeCell ref="N47:N48"/>
    <mergeCell ref="O47:O48"/>
    <mergeCell ref="P47:P48"/>
    <mergeCell ref="Q47:Q48"/>
    <mergeCell ref="A49:C49"/>
    <mergeCell ref="A50:A51"/>
    <mergeCell ref="B50:B51"/>
    <mergeCell ref="C50:C51"/>
    <mergeCell ref="D50:D51"/>
    <mergeCell ref="F50:F51"/>
    <mergeCell ref="H47:H48"/>
    <mergeCell ref="I47:I48"/>
    <mergeCell ref="J47:J48"/>
    <mergeCell ref="K47:K48"/>
    <mergeCell ref="L47:L48"/>
    <mergeCell ref="M47:M48"/>
    <mergeCell ref="A47:A48"/>
    <mergeCell ref="B47:B48"/>
    <mergeCell ref="C47:C48"/>
    <mergeCell ref="D47:D48"/>
    <mergeCell ref="F47:F48"/>
    <mergeCell ref="G47:G48"/>
    <mergeCell ref="M50:M51"/>
    <mergeCell ref="N50:N51"/>
    <mergeCell ref="O50:O51"/>
    <mergeCell ref="P50:P51"/>
    <mergeCell ref="Q50:Q51"/>
    <mergeCell ref="A52:A53"/>
    <mergeCell ref="B52:B53"/>
    <mergeCell ref="C52:C53"/>
    <mergeCell ref="D52:D53"/>
    <mergeCell ref="E52:E53"/>
    <mergeCell ref="G50:G51"/>
    <mergeCell ref="H50:H51"/>
    <mergeCell ref="I50:I51"/>
    <mergeCell ref="J50:J51"/>
    <mergeCell ref="K50:K51"/>
    <mergeCell ref="L50:L51"/>
    <mergeCell ref="L52:L53"/>
    <mergeCell ref="M52:M53"/>
    <mergeCell ref="N52:N53"/>
    <mergeCell ref="O52:O53"/>
    <mergeCell ref="P52:P53"/>
    <mergeCell ref="Q52:Q53"/>
    <mergeCell ref="F52:F53"/>
    <mergeCell ref="G52:G53"/>
    <mergeCell ref="H52:H53"/>
    <mergeCell ref="I52:I53"/>
    <mergeCell ref="J52:J53"/>
    <mergeCell ref="K52:K53"/>
    <mergeCell ref="M54:M55"/>
    <mergeCell ref="N54:N55"/>
    <mergeCell ref="O54:O55"/>
    <mergeCell ref="P54:P55"/>
    <mergeCell ref="Q54:Q55"/>
    <mergeCell ref="A56:A57"/>
    <mergeCell ref="B56:B57"/>
    <mergeCell ref="C56:C57"/>
    <mergeCell ref="D56:D57"/>
    <mergeCell ref="E56:E57"/>
    <mergeCell ref="G54:G55"/>
    <mergeCell ref="H54:H55"/>
    <mergeCell ref="I54:I55"/>
    <mergeCell ref="J54:J55"/>
    <mergeCell ref="K54:K55"/>
    <mergeCell ref="L54:L55"/>
    <mergeCell ref="A54:A55"/>
    <mergeCell ref="B54:B55"/>
    <mergeCell ref="C54:C55"/>
    <mergeCell ref="D54:D55"/>
    <mergeCell ref="E54:E55"/>
    <mergeCell ref="F54:F55"/>
    <mergeCell ref="L56:L57"/>
    <mergeCell ref="M56:M57"/>
    <mergeCell ref="N56:N57"/>
    <mergeCell ref="O56:O57"/>
    <mergeCell ref="P56:P57"/>
    <mergeCell ref="Q56:Q57"/>
    <mergeCell ref="F56:F57"/>
    <mergeCell ref="G56:G57"/>
    <mergeCell ref="H56:H57"/>
    <mergeCell ref="I56:I57"/>
    <mergeCell ref="J56:J57"/>
    <mergeCell ref="K56:K57"/>
    <mergeCell ref="M58:M59"/>
    <mergeCell ref="N58:N59"/>
    <mergeCell ref="O58:O59"/>
    <mergeCell ref="P58:P59"/>
    <mergeCell ref="Q58:Q59"/>
    <mergeCell ref="A60:A61"/>
    <mergeCell ref="B60:B61"/>
    <mergeCell ref="C60:C61"/>
    <mergeCell ref="D60:D61"/>
    <mergeCell ref="E60:E61"/>
    <mergeCell ref="G58:G59"/>
    <mergeCell ref="H58:H59"/>
    <mergeCell ref="I58:I59"/>
    <mergeCell ref="J58:J59"/>
    <mergeCell ref="K58:K59"/>
    <mergeCell ref="L58:L59"/>
    <mergeCell ref="A58:A59"/>
    <mergeCell ref="B58:B59"/>
    <mergeCell ref="C58:C59"/>
    <mergeCell ref="D58:D59"/>
    <mergeCell ref="E58:E59"/>
    <mergeCell ref="F58:F59"/>
    <mergeCell ref="L60:L61"/>
    <mergeCell ref="M60:M61"/>
    <mergeCell ref="N60:N61"/>
    <mergeCell ref="O60:O61"/>
    <mergeCell ref="P60:P61"/>
    <mergeCell ref="Q60:Q61"/>
    <mergeCell ref="F60:F61"/>
    <mergeCell ref="G60:G61"/>
    <mergeCell ref="H60:H61"/>
    <mergeCell ref="I60:I61"/>
    <mergeCell ref="J60:J61"/>
    <mergeCell ref="K60:K61"/>
    <mergeCell ref="A64:A65"/>
    <mergeCell ref="B64:B65"/>
    <mergeCell ref="C64:C65"/>
    <mergeCell ref="D64:D65"/>
    <mergeCell ref="E64:E65"/>
    <mergeCell ref="G62:G63"/>
    <mergeCell ref="H62:H63"/>
    <mergeCell ref="I62:I63"/>
    <mergeCell ref="J62:J63"/>
    <mergeCell ref="A62:A63"/>
    <mergeCell ref="B62:B63"/>
    <mergeCell ref="C62:C63"/>
    <mergeCell ref="D62:D63"/>
    <mergeCell ref="E62:E63"/>
    <mergeCell ref="F62:F63"/>
    <mergeCell ref="P64:P65"/>
    <mergeCell ref="Q64:Q65"/>
    <mergeCell ref="F64:F65"/>
    <mergeCell ref="G64:G65"/>
    <mergeCell ref="H64:H65"/>
    <mergeCell ref="I64:I65"/>
    <mergeCell ref="J64:J65"/>
    <mergeCell ref="K64:K65"/>
    <mergeCell ref="M62:M63"/>
    <mergeCell ref="N62:N63"/>
    <mergeCell ref="O62:O63"/>
    <mergeCell ref="P62:P63"/>
    <mergeCell ref="Q62:Q63"/>
    <mergeCell ref="K62:K63"/>
    <mergeCell ref="L62:L63"/>
    <mergeCell ref="E47:E48"/>
    <mergeCell ref="A1:Q1"/>
    <mergeCell ref="M66:M67"/>
    <mergeCell ref="N66:N67"/>
    <mergeCell ref="O66:O67"/>
    <mergeCell ref="P66:P67"/>
    <mergeCell ref="Q66:Q67"/>
    <mergeCell ref="A70:C70"/>
    <mergeCell ref="G66:G67"/>
    <mergeCell ref="H66:H67"/>
    <mergeCell ref="I66:I67"/>
    <mergeCell ref="J66:J67"/>
    <mergeCell ref="K66:K67"/>
    <mergeCell ref="L66:L67"/>
    <mergeCell ref="A66:A67"/>
    <mergeCell ref="B66:B67"/>
    <mergeCell ref="C66:C67"/>
    <mergeCell ref="D66:D67"/>
    <mergeCell ref="E66:E67"/>
    <mergeCell ref="F66:F67"/>
    <mergeCell ref="L64:L65"/>
    <mergeCell ref="M64:M65"/>
    <mergeCell ref="N64:N65"/>
    <mergeCell ref="O64:O65"/>
    <mergeCell ref="J68:J69"/>
    <mergeCell ref="K68:K69"/>
    <mergeCell ref="L68:L69"/>
    <mergeCell ref="M68:M69"/>
    <mergeCell ref="N68:N69"/>
    <mergeCell ref="O68:O69"/>
    <mergeCell ref="P68:P69"/>
    <mergeCell ref="Q68:Q69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</mergeCells>
  <phoneticPr fontId="2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DOANH THU T2</vt:lpstr>
      <vt:lpstr>DOANH THU T42024</vt:lpstr>
      <vt:lpstr>DOANH THU T3</vt:lpstr>
      <vt:lpstr>DOANH THU T1</vt:lpstr>
      <vt:lpstr>DOANH THU T2 </vt:lpstr>
      <vt:lpstr>DOANH THU T9 2025</vt:lpstr>
      <vt:lpstr>DOANH THU T10 2025</vt:lpstr>
      <vt:lpstr>DOANH THU T11 2025</vt:lpstr>
      <vt:lpstr>DOANH THU T12 2025</vt:lpstr>
      <vt:lpstr>DOANH THU T1 2026</vt:lpstr>
      <vt:lpstr>DOANH THU T2 2026</vt:lpstr>
      <vt:lpstr>DOANH THU T8 2025</vt:lpstr>
      <vt:lpstr>DOANH THU T7 2025</vt:lpstr>
      <vt:lpstr>DOANH THU T6 2025</vt:lpstr>
      <vt:lpstr>DOANH THU T42025</vt:lpstr>
      <vt:lpstr>DOANH THU T5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</dc:creator>
  <cp:lastModifiedBy>wy</cp:lastModifiedBy>
  <cp:lastPrinted>2025-11-03T16:01:59Z</cp:lastPrinted>
  <dcterms:created xsi:type="dcterms:W3CDTF">2024-01-26T16:41:00Z</dcterms:created>
  <dcterms:modified xsi:type="dcterms:W3CDTF">2026-02-28T16:10:01Z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88435EE3553F42709ECFEBC2B82E111D_13</vt:lpwstr>
  </property>
  <property fmtid="{D5CDD505-2E9C-101B-9397-08002B2CF9AE}" pid="3" name="KSOProductBuildVer">
    <vt:lpwstr>1033-12.2.0.17562</vt:lpwstr>
  </property>
</Properties>
</file>